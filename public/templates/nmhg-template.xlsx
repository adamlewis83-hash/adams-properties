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omments1.xml" ContentType="application/vnd.openxmlformats-officedocument.spreadsheetml.comments+xml"/>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omments2.xml" ContentType="application/vnd.openxmlformats-officedocument.spreadsheetml.comments+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ustomProperty23.bin" ContentType="application/vnd.openxmlformats-officedocument.spreadsheetml.customProperty"/>
  <Override PartName="/xl/drawings/drawing4.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ustomProperty2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Mac\Home\Downloads\"/>
    </mc:Choice>
  </mc:AlternateContent>
  <xr:revisionPtr revIDLastSave="0" documentId="13_ncr:1_{1094828B-B4A8-4836-A8B2-599259C6E80D}" xr6:coauthVersionLast="47" xr6:coauthVersionMax="47" xr10:uidLastSave="{00000000-0000-0000-0000-000000000000}"/>
  <bookViews>
    <workbookView xWindow="-120" yWindow="-120" windowWidth="28965" windowHeight="13605" tabRatio="771" activeTab="1" xr2:uid="{7ECBFB26-63CA-41F2-9611-B137917F51E3}"/>
  </bookViews>
  <sheets>
    <sheet name="Import" sheetId="38" state="hidden" r:id="rId1"/>
    <sheet name="Input" sheetId="1" r:id="rId2"/>
    <sheet name="Loan Amort Table" sheetId="30" state="hidden" r:id="rId3"/>
    <sheet name="Debt Input" sheetId="11" r:id="rId4"/>
    <sheet name="Rent Roll Input" sheetId="13" r:id="rId5"/>
    <sheet name="Rent Roll Summary Calculations" sheetId="33" state="hidden" r:id="rId6"/>
    <sheet name="Calculations" sheetId="7" state="hidden" r:id="rId7"/>
    <sheet name="Annualized Rents" sheetId="22" state="hidden" r:id="rId8"/>
    <sheet name="Rent Roll Calculations" sheetId="14" state="hidden" r:id="rId9"/>
    <sheet name="Rent Roll Detail Calculations" sheetId="17" state="hidden" r:id="rId10"/>
    <sheet name="Equity Returns Input" sheetId="35" r:id="rId11"/>
    <sheet name="Data Validation" sheetId="12" state="hidden" r:id="rId12"/>
    <sheet name="Rent Roll Detail" sheetId="16" r:id="rId13"/>
    <sheet name="Rent Roll Summary" sheetId="15" r:id="rId14"/>
    <sheet name="Operating Statement" sheetId="20" r:id="rId15"/>
    <sheet name="Notes" sheetId="26" r:id="rId16"/>
    <sheet name="Pricing Detail" sheetId="27" r:id="rId17"/>
    <sheet name="Growth Rates" sheetId="29" r:id="rId18"/>
    <sheet name="Cash Flow" sheetId="28" r:id="rId19"/>
    <sheet name="Proposal Price IRR" sheetId="34" r:id="rId20"/>
    <sheet name="Equity Returns Options" sheetId="37" r:id="rId21"/>
    <sheet name="Equity Returns Chart" sheetId="36" r:id="rId22"/>
    <sheet name="Comps Charts" sheetId="39" state="hidden" r:id="rId23"/>
    <sheet name="data" sheetId="8" state="hidden" r:id="rId24"/>
  </sheets>
  <externalReferences>
    <externalReference r:id="rId25"/>
    <externalReference r:id="rId26"/>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1" hidden="1">#REF!</definedName>
    <definedName name="_Fill" hidden="1">#REF!</definedName>
    <definedName name="_xlnm._FilterDatabase" localSheetId="22" hidden="1">'[1]Rent Roll Analysis'!$A$8:$AC$251</definedName>
    <definedName name="_xlnm._FilterDatabase" hidden="1">'[2]Rent Roll Analysis'!$A$8:$AC$251</definedName>
    <definedName name="_Key1" localSheetId="22" hidden="1">#REF!</definedName>
    <definedName name="_Key1" hidden="1">#REF!</definedName>
    <definedName name="_Key2" localSheetId="22" hidden="1">#REF!</definedName>
    <definedName name="_Key2" hidden="1">#REF!</definedName>
    <definedName name="_Key5" localSheetId="22" hidden="1">#REF!</definedName>
    <definedName name="_Key5" hidden="1">#REF!</definedName>
    <definedName name="_Key6" hidden="1">#REF!</definedName>
    <definedName name="_Key8" hidden="1">#REF!</definedName>
    <definedName name="_Key9" hidden="1">#REF!</definedName>
    <definedName name="_Order1" hidden="1">255</definedName>
    <definedName name="_Order2" hidden="1">255</definedName>
    <definedName name="_Sort" localSheetId="22" hidden="1">#REF!</definedName>
    <definedName name="_Sort" hidden="1">#REF!</definedName>
    <definedName name="Acq_Financing_Type_Switch">'Debt Input'!$F$3</definedName>
    <definedName name="acquisition_cost">Import!$C$50</definedName>
    <definedName name="adr">Import!$C$51</definedName>
    <definedName name="adr_pro_forma">Import!$C$52</definedName>
    <definedName name="AF_Amort_P_Adj">AF_Amort_Periods - AF_Interest_Only</definedName>
    <definedName name="AF_Amort_Periods" localSheetId="22">AF_Amort*12</definedName>
    <definedName name="AF_Amort_Periods">AF_Amort*12</definedName>
    <definedName name="AF_Annual_Debt_Service">AF_Loan_Payment*12</definedName>
    <definedName name="AF_CUMPRINC">IFERROR(CUMPRINC(AF_I_Adj,AF_Amort_P_Adj, AF_Orig_Loan_Amount,1, AF_Int_Only_Period,0),0)</definedName>
    <definedName name="AF_FV">FV(AF_I_Adj, AF_Orig_Term*12, AF_PMT, AF_Orig_Loan_Amount)</definedName>
    <definedName name="AF_I_Adj">(AF_Interest_Rate/AF_Rate_Compounding_Switch + 1) ^ (AF_Rate_Compounding_Switch/12)-1</definedName>
    <definedName name="AF_Int_Only_Period">AF_Rate_Period_Switch-(AF_Interest_Only/12 )*AF_Rate_Compounding_Switch</definedName>
    <definedName name="AF_IPMT">IPMT(AF_I_Adj,1,AF_Amort_P_Adj, AF_Orig_Loan_Amount,0)</definedName>
    <definedName name="AF_Loan_Constant">-AF_Loan_Payment/AF_Orig_Loan_Amount*12</definedName>
    <definedName name="AF_Loan_Due_Date">EDATE(AF_Origination_Date, AF_Orig_Term*12-1)</definedName>
    <definedName name="AF_Loan_Payment">IF(AF_Int_Only_Period&lt;0, AF_IPMT,AF_PMT)</definedName>
    <definedName name="AF_PMT">PMT(AF_I_Adj, AF_Amort_P_Adj, AF_Orig_Loan_Amount)</definedName>
    <definedName name="AF_PPMT">PPMT(AF_I_Adj,1, AF_Amort_P_Adj, AF_Orig_Loan_Amount,0)</definedName>
    <definedName name="AF_Rate_Compounding_Switch" localSheetId="22">_xlfn.SWITCH(AF_Compounding_Switch, "Monthly", 12, "Semi-Annually", 2)</definedName>
    <definedName name="AF_Rate_Compounding_Switch">_xlfn.SWITCH(AF_Compounding_Switch, "Monthly", 12, "Semi-Annually", 2)</definedName>
    <definedName name="AF_Time_Remaining">ROUNDUP(YEARFRAC(AF_Origination_Date, AF_Loan_Due_Date)*12,0)+1</definedName>
    <definedName name="Annualized_Rents_OS_Type">'Annualized Rents'!$C$1:$C$4</definedName>
    <definedName name="Annualized_Total_Rents">'Annualized Rents'!$B$1:$B$4</definedName>
    <definedName name="BadLink" localSheetId="22" hidden="1">#REF!</definedName>
    <definedName name="BadLink" hidden="1">#REF!</definedName>
    <definedName name="buildable_sq_ft">Import!$C$36</definedName>
    <definedName name="buildable_units">Import!$C$37</definedName>
    <definedName name="cap_over_lease">Import!$C$59</definedName>
    <definedName name="cap_rate">Import!$C$2</definedName>
    <definedName name="cap_rate_pro_forma">Import!$C$3</definedName>
    <definedName name="CapEx_1">Input!$E$27</definedName>
    <definedName name="CapEx_10">Input!$N$27</definedName>
    <definedName name="CapEx_2">Input!$F$27</definedName>
    <definedName name="CapEx_3">Input!$G$27</definedName>
    <definedName name="CapEx_4">Input!$H$27</definedName>
    <definedName name="CapEx_5">Input!$I$27</definedName>
    <definedName name="CapEx_6">Input!$J$27</definedName>
    <definedName name="CapEx_7">Input!$K$27</definedName>
    <definedName name="CapEx_8">Input!$L$27</definedName>
    <definedName name="CapEx_9">Input!$M$27</definedName>
    <definedName name="cash_on_cash">Import!$C$14</definedName>
    <definedName name="cash_on_cash_pro_forma">Import!$C$15</definedName>
    <definedName name="Cost_of_Sale">Input!$B$30</definedName>
    <definedName name="Current_Amort">IF(Acq_Financing_Type_Switch="Financed - Assumed Loan", SED_Amort,NEW_Amort)</definedName>
    <definedName name="Current_GAR">'Rent Roll Calculations'!$K$33</definedName>
    <definedName name="Current_Interest_Rate">IF(Acq_Financing_Type_Switch="Financed - Assumed Loan", SED_Interest_Rate,NEW_Interest_Rate)</definedName>
    <definedName name="Current_Loan_Balance">Calculations!$F$11</definedName>
    <definedName name="Current_Loan_Origination_Fee">Calculations!$F$26</definedName>
    <definedName name="Current_PMT">Calculations!$F$14</definedName>
    <definedName name="Current_Term">IF(Acq_Financing_Type_Switch="Financed - Assumed Loan", SED_Term,NEW_Term)</definedName>
    <definedName name="Date_of_Analysis">Input!$B$8</definedName>
    <definedName name="ddl_OpColumns">OFFSET(Calculations!$Y$3,5-Calculations!$Y$2,0,Calculations!$Y$2,1)</definedName>
    <definedName name="debt_service">Import!$C$4</definedName>
    <definedName name="debt_service_pro_forma">Import!$C$5</definedName>
    <definedName name="del" localSheetId="22" hidden="1">{"Page1",#N/A,FALSE,"7979";"Page2",#N/A,FALSE,"7979";"Page3",#N/A,FALSE,"7979"}</definedName>
    <definedName name="del" hidden="1">{"Page1",#N/A,FALSE,"7979";"Page2",#N/A,FALSE,"7979";"Page3",#N/A,FALSE,"7979"}</definedName>
    <definedName name="del_1" hidden="1">{"Page1",#N/A,FALSE,"7979";"Page2",#N/A,FALSE,"7979";"Page3",#N/A,FALSE,"7979"}</definedName>
    <definedName name="density">Import!$C$38</definedName>
    <definedName name="development_type">Import!$C$35</definedName>
    <definedName name="down_payment">Import!$C$6</definedName>
    <definedName name="Equity_Returns_Input">'Equity Returns Input'!$B$12:$L$27</definedName>
    <definedName name="Equity_Returns_Input_Headers">'Equity Returns Input'!$B$12:$L$12</definedName>
    <definedName name="Equity_Returns_List">'Data Validation'!$L$1:$L$4</definedName>
    <definedName name="ER_Exchange">'Equity Returns Input'!$B$12:$C$27</definedName>
    <definedName name="ER_Hold">'Equity Returns Input'!$E$12:$F$27</definedName>
    <definedName name="ER_Refinance">'Equity Returns Input'!$H$12:$I$27</definedName>
    <definedName name="ER_Sell">'Equity Returns Input'!$K$12:$L$27</definedName>
    <definedName name="ERO_H">'Equity Returns Input'!$F$6</definedName>
    <definedName name="ERO_R">'Equity Returns Input'!$F$7</definedName>
    <definedName name="ERO_S">'Equity Returns Input'!$F$8</definedName>
    <definedName name="ERO_SaleStart">'Equity Returns Input'!$B$4</definedName>
    <definedName name="ERO_SE">'Equity Returns Input'!$F$5</definedName>
    <definedName name="Existing_Debt_Switch">'Debt Input'!$F$7</definedName>
    <definedName name="Exit_CAP">Input!$B$29</definedName>
    <definedName name="exp_reimbursement">Import!$C$28</definedName>
    <definedName name="exp_reimbursement_pro_forma">Import!$C$29</definedName>
    <definedName name="expcomp">"Option Button 21"</definedName>
    <definedName name="expinet">"Option Button 20"</definedName>
    <definedName name="floor_area_ratio">Import!$C$39</definedName>
    <definedName name="Format_Rows">'Rent Roll Detail'!$C$2</definedName>
    <definedName name="franchise_fee">Import!$C$55</definedName>
    <definedName name="gross_scheduled_income">Import!$C$19</definedName>
    <definedName name="gross_scheduled_income_pro_forma">Import!$C$20</definedName>
    <definedName name="guarantor">Import!$C$44</definedName>
    <definedName name="home_inventory_cost">Import!$C$40</definedName>
    <definedName name="home_rent">Import!$C$41</definedName>
    <definedName name="home_rent_pro_forma">Import!$C$42</definedName>
    <definedName name="Input_Shading">'Operating Statement'!$AA$2</definedName>
    <definedName name="Label_Total">'Rent Roll Input'!$U$4</definedName>
    <definedName name="lease_end">Import!$C$45</definedName>
    <definedName name="lease_term">Import!$C$46</definedName>
    <definedName name="lease_type">Import!$C$47</definedName>
    <definedName name="leasing_commissions">Import!$C$30</definedName>
    <definedName name="leasing_commissions_pro_forma">Import!$C$31</definedName>
    <definedName name="List_Rent_Roll_Input">OFFSET('Data Validation'!$E$1,0,0,COUNTA('Data Validation'!$E$1:$E$50))</definedName>
    <definedName name="List_Rent_Roll_Item">OFFSET('Data Validation'!$C$1,0,0,COUNTA('Data Validation'!$C$1:$C$50))</definedName>
    <definedName name="loan_type">Import!$C$18</definedName>
    <definedName name="Lookup_Rent_Roll_Detail_Index">OFFSET('Data Validation'!$G$1,0,0,COUNTA('Data Validation'!$G$1:$G$50))</definedName>
    <definedName name="Lookup_Rent_Roll_Detail_Sort">OFFSET('Data Validation'!$G$1:$H$1,0,0,COUNTA('Data Validation'!$G$1:$G$50))</definedName>
    <definedName name="Lookup_Rent_Roll_List">OFFSET('Data Validation'!$C$1:$D$1,0,0,COUNTA('Data Validation'!$C:$C))</definedName>
    <definedName name="Mezz_Amort">'Debt Input'!$J$27</definedName>
    <definedName name="Mezz_Amort_P_Adj">Calculations!$D$7</definedName>
    <definedName name="Mezz_Amort_Periods">Calculations!$D$6</definedName>
    <definedName name="Mezz_Begin_PMT">Calculations!$D$25</definedName>
    <definedName name="Mezz_Compounding_Switch">'Debt Input'!$J$23</definedName>
    <definedName name="Mezz_CUMPRINC">Calculations!$D$10</definedName>
    <definedName name="Mezz_FV">Calculations!$D$18</definedName>
    <definedName name="Mezz_FV_Refi">Calculations!$D$22</definedName>
    <definedName name="Mezz_I_Adj">Calculations!$D$5</definedName>
    <definedName name="Mezz_Int_Only_Period">Calculations!$D$8</definedName>
    <definedName name="Mezz_Interest_Only">'Debt Input'!$J$26</definedName>
    <definedName name="Mezz_interest_Only_PMT">Calculations!$D$27</definedName>
    <definedName name="Mezz_Interest_Rate">'Debt Input'!$J$22</definedName>
    <definedName name="Mezz_IPMT">Calculations!$D$15</definedName>
    <definedName name="Mezz_Loan_Balance">Calculations!$D$11</definedName>
    <definedName name="Mezz_Loan_Constant">Calculations!$D$17</definedName>
    <definedName name="Mezz_Loan_Due_Date">Calculations!$D$13</definedName>
    <definedName name="Mezz_Loan_Name">'Debt Input'!$J$17</definedName>
    <definedName name="Mezz_Loan_Payment">Calculations!$D$12</definedName>
    <definedName name="Mezz_LTV">'Debt Input'!$J$20</definedName>
    <definedName name="Mezz_Orig_Loan_Amount">Calculations!$D$9</definedName>
    <definedName name="Mezz_Origination_Date">'Debt Input'!$J$18</definedName>
    <definedName name="Mezz_PMT">Calculations!$D$14</definedName>
    <definedName name="Mezz_PPMT">Calculations!$D$16</definedName>
    <definedName name="Mezz_Prepayment_Penalty">'Debt Input'!$J$35</definedName>
    <definedName name="Mezz_Rate_Compounding_Switch">Calculations!$D$3</definedName>
    <definedName name="Mezz_Rate_Period_Switch">Calculations!$D$4</definedName>
    <definedName name="Mezz_Refi_Term">Calculations!$D$21</definedName>
    <definedName name="Mezz_Switch">'Debt Input'!$F$4</definedName>
    <definedName name="Mezz_Table">'Loan Amort Table'!$S$6:$Z$500</definedName>
    <definedName name="Mezz_Term">Calculations!$D$24</definedName>
    <definedName name="Mezz_Time_Remaining">Calculations!$D$19</definedName>
    <definedName name="net_operating_income">Import!$C$7</definedName>
    <definedName name="net_operating_income_pro_forma">Import!$C$8</definedName>
    <definedName name="NEW_Amort">'Debt Input'!$H$27</definedName>
    <definedName name="NEW_Amort_P_Adj">Calculations!$C$7</definedName>
    <definedName name="NEW_Amort_Periods">Calculations!$C$6</definedName>
    <definedName name="NEW_Begin_PMT">Calculations!$C$25</definedName>
    <definedName name="NEW_Compounding_Switch">'Debt Input'!$H$23</definedName>
    <definedName name="NEW_CUMPRINC">Calculations!$C$10</definedName>
    <definedName name="NEW_FV">Calculations!$C$18</definedName>
    <definedName name="NEW_I_Adj">Calculations!$C$5</definedName>
    <definedName name="NEW_Int_Only_Period">Calculations!$C$8</definedName>
    <definedName name="NEW_Interest_Only">'Debt Input'!$H$26</definedName>
    <definedName name="New_Interest_Only_PMT">Calculations!$C$27</definedName>
    <definedName name="NEW_Interest_Rate">'Debt Input'!$H$22</definedName>
    <definedName name="NEW_IPMT">Calculations!$C$15</definedName>
    <definedName name="NEW_Loan_Balance">Calculations!$C$11</definedName>
    <definedName name="NEW_Loan_Constant">Calculations!$C$17</definedName>
    <definedName name="NEW_Loan_Due_Date">Calculations!$C$13</definedName>
    <definedName name="NEW_Loan_Name">'Debt Input'!$H$17</definedName>
    <definedName name="NEW_Loan_Payment">Calculations!$C$12</definedName>
    <definedName name="NEW_LTV">'Debt Input'!$H$20</definedName>
    <definedName name="NEW_Orig_Loan_Amount">Calculations!$C$9</definedName>
    <definedName name="NEW_Origination_Date">'Debt Input'!$H$18</definedName>
    <definedName name="NEW_Origination_Fee">'Debt Input'!$H$34</definedName>
    <definedName name="NEW_PMT">Calculations!$C$14</definedName>
    <definedName name="NEW_PPMT">Calculations!$C$16</definedName>
    <definedName name="NEW_Prepayment_Penalty">'Debt Input'!$H$35</definedName>
    <definedName name="NEW_Rate_Compounding_Switch">Calculations!$C$3</definedName>
    <definedName name="NEW_Rate_Period_Switch">Calculations!$C$4</definedName>
    <definedName name="NEW_Table">'Loan Amort Table'!$J$6:$Q$500</definedName>
    <definedName name="NEW_Term">'Debt Input'!$H$24</definedName>
    <definedName name="NEW_Time_Remaining">Calculations!$C$19</definedName>
    <definedName name="number_of_lots">Import!$C$34</definedName>
    <definedName name="operating_expenses">Import!$C$9</definedName>
    <definedName name="operating_expenses_pro_forma">Import!$C$10</definedName>
    <definedName name="OS_YrsHist">'Operating Statement'!$AA$2</definedName>
    <definedName name="other_income">Import!$C$21</definedName>
    <definedName name="other_income_pro_forma">Import!$C$22</definedName>
    <definedName name="pip">Import!$C$56</definedName>
    <definedName name="PPIRR_DispIncr">'Proposal Price IRR'!$R$4</definedName>
    <definedName name="PPIRR_Displncr">'Proposal Price IRR'!$R$4</definedName>
    <definedName name="PPIRR_Increments">'Proposal Price IRR'!$R$3</definedName>
    <definedName name="Price">sale_price</definedName>
    <definedName name="Price_Increments">Input!$B$9</definedName>
    <definedName name="Priced">Input!$B$7</definedName>
    <definedName name="principal_reduction_pro_forma">Import!$C$12</definedName>
    <definedName name="principal_reduction_yr_1">Import!$C$11</definedName>
    <definedName name="_xlnm.Print_Area" localSheetId="18">'Cash Flow'!$E$4:$P$47</definedName>
    <definedName name="_xlnm.Print_Area" localSheetId="22">'Comps Charts'!$G$4:$AB$40</definedName>
    <definedName name="_xlnm.Print_Area" localSheetId="20">'Equity Returns Options'!$C$6:$J$27</definedName>
    <definedName name="_xlnm.Print_Area" localSheetId="17">'Growth Rates'!$C$1:$M$22</definedName>
    <definedName name="_xlnm.Print_Area" localSheetId="15">Notes!$C$3:$D$33</definedName>
    <definedName name="_xlnm.Print_Area" localSheetId="14">'Operating Statement'!$C$4:$V$42</definedName>
    <definedName name="_xlnm.Print_Area" localSheetId="16">'Pricing Detail'!$E$3:$Q$39</definedName>
    <definedName name="_xlnm.Print_Area" localSheetId="12">'Rent Roll Detail'!$B$8:$H$58</definedName>
    <definedName name="_xlnm.Print_Area" localSheetId="13">'Rent Roll Summary'!$B$8:$K$21</definedName>
    <definedName name="Property_Address">Input!$B$12</definedName>
    <definedName name="Property_City">Input!$B$13</definedName>
    <definedName name="Property_Name">Input!$B$11</definedName>
    <definedName name="Property_State">Input!$B$14</definedName>
    <definedName name="Refi_Amort">'Debt Input'!$L$27</definedName>
    <definedName name="Refi_Amort_P_Adj">Calculations!$E$7</definedName>
    <definedName name="Refi_Amort_Periods">Calculations!$E$6</definedName>
    <definedName name="Refi_Begin_PMT">Calculations!$E$25</definedName>
    <definedName name="Refi_Compounding_Switch">'Debt Input'!$L$23</definedName>
    <definedName name="Refi_CUMIPMT">Calculations!$E$20</definedName>
    <definedName name="Refi_CUMPRINC">Calculations!$E$10</definedName>
    <definedName name="Refi_FV">Calculations!$E$18</definedName>
    <definedName name="Refi_I_Adj">Calculations!$E$5</definedName>
    <definedName name="Refi_Int_Only_Period">Calculations!$E$8</definedName>
    <definedName name="Refi_Interest_Only">'Debt Input'!$L$26</definedName>
    <definedName name="Refi_Interest_Only_PMT">Calculations!$E$27</definedName>
    <definedName name="Refi_Interest_Rate">'Debt Input'!$L$22</definedName>
    <definedName name="Refi_IPMT">Calculations!$E$15</definedName>
    <definedName name="Refi_Loan_Balance">Calculations!$E$11</definedName>
    <definedName name="Refi_Loan_Constant">Calculations!$E$17</definedName>
    <definedName name="Refi_Loan_Due_Date">Calculations!$E$13</definedName>
    <definedName name="Refi_Loan_Name">'Debt Input'!$L$17</definedName>
    <definedName name="Refi_Loan_Payment">Calculations!$E$12</definedName>
    <definedName name="Refi_Orig_Loan_Amount">'Debt Input'!$L$19</definedName>
    <definedName name="Refi_Origination_Date">'Debt Input'!$L$18</definedName>
    <definedName name="Refi_Origination_Feee">'Debt Input'!$L$34</definedName>
    <definedName name="Refi_PMT">Calculations!$E$14</definedName>
    <definedName name="Refi_PPMT">Calculations!$E$16</definedName>
    <definedName name="Refi_Rate_Compounding_Switch">Calculations!$E$3</definedName>
    <definedName name="Refi_Rate_Period_Switch">Calculations!$E$4</definedName>
    <definedName name="Refi_Refi_Term">Calculations!$E$21</definedName>
    <definedName name="Refi_Switch">'Debt Input'!$F$5</definedName>
    <definedName name="Refi_Table">'Loan Amort Table'!$AB$6:$AI$500</definedName>
    <definedName name="Refi_Term">'Debt Input'!$L$24</definedName>
    <definedName name="Refi_Time_Remaining">Calculations!$E$19</definedName>
    <definedName name="Renew_Opt_1" localSheetId="22">IF(Renewal_Opt_1 = "","", Renewal_Opt_1 &amp;CHAR(10))</definedName>
    <definedName name="Renew_Opt_1">IF(Renewal_Opt_1 = "","", Renewal_Opt_1 &amp;CHAR(10))</definedName>
    <definedName name="Renew_Opt_2" localSheetId="22">IF(Renewal_Opt_1 = "","", Renewal_Opt_2 &amp;CHAR(10))</definedName>
    <definedName name="Renew_Opt_2">IF(Renewal_Opt_1 = "","", Renewal_Opt_2 &amp;CHAR(10))</definedName>
    <definedName name="Renew_Opt_3" localSheetId="22">IF(Renewal_Opt_1 = "","", Renewal_Opt_3 &amp;CHAR(10))</definedName>
    <definedName name="Renew_Opt_3">IF(Renewal_Opt_1 = "","", Renewal_Opt_3 &amp;CHAR(10))</definedName>
    <definedName name="Renew_Opt_4" localSheetId="22">IF(Renewal_Opt_1 = "","", Renewal_Opt_4 &amp;CHAR(10))</definedName>
    <definedName name="Renew_Opt_4">IF(Renewal_Opt_1 = "","", Renewal_Opt_4 &amp;CHAR(10))</definedName>
    <definedName name="Renew_Opt_5" localSheetId="22">IF(Renewal_Opt_1 = "","", Renewal_Opt_5 &amp;CHAR(10))</definedName>
    <definedName name="Renew_Opt_5">IF(Renewal_Opt_1 = "","", Renewal_Opt_5 &amp;CHAR(10))</definedName>
    <definedName name="Renew_Opt_6" localSheetId="22">IF(Renewal_Opt_1 = "","", Renewal_Opt_6 &amp;CHAR(10))</definedName>
    <definedName name="Renew_Opt_6">IF(Renewal_Opt_1 = "","", Renewal_Opt_6 &amp;CHAR(10))</definedName>
    <definedName name="Rent_Roll_Calculations">OFFSET('Rent Roll Calculations'!$A$3:$AH$3,0,0,COUNTA('Rent Roll Calculations'!$A$3:$A$31))</definedName>
    <definedName name="Rent_Roll_Calculations_Headers">OFFSET('Rent Roll Calculations'!$A$2,0,0,1,COUNTA('Rent Roll Calculations'!$2:$2))</definedName>
    <definedName name="Rent_Roll_Input">OFFSET('Rent Roll Detail Calculations'!$A$3,0,0,COUNTA('Rent Roll Detail Calculations'!$A$3:$A$500), COUNTA('Rent Roll Detail Calculations'!$3:$3))</definedName>
    <definedName name="Rent_Roll_Input_Headers">OFFSET('Rent Roll Detail Calculations'!$A$1,0,0,1,COUNTA('Rent Roll Detail Calculations'!$A$1:$Z$1))</definedName>
    <definedName name="Rent_Roll_Input_SummaryUnit">OFFSET('Rent Roll Input'!$W$5,0,0,SUM(('Rent Roll Input'!$W$5:$W$214&lt;&gt;"")*1))</definedName>
    <definedName name="Rent_Roll_Input_Total">OFFSET('Rent Roll Detail Calculations'!$A$2,0,0,COUNTA('Rent Roll Detail Calculations'!$A$1:$A$30)-1, COUNTA('Rent Roll Detail Calculations'!$A$3:$Z$3))</definedName>
    <definedName name="RENT_SF" localSheetId="22">IFERROR(Annual_Rent/Gross_Leasable_Area,"")</definedName>
    <definedName name="RENT_SF">IFERROR(Annual_Rent/Gross_Leasable_Area,"")</definedName>
    <definedName name="RentMult">'Pricing Detail'!$T$3</definedName>
    <definedName name="RentRoll_StartDate">Input!$B$19</definedName>
    <definedName name="revpar">Import!$C$53</definedName>
    <definedName name="revpar_pro_forma">Import!$C$54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rm">Import!$C$57</definedName>
    <definedName name="rrm_pro_forma">Import!$C$58</definedName>
    <definedName name="sale_leaseback">Import!$C$48</definedName>
    <definedName name="sale_price">Input!$B$6</definedName>
    <definedName name="SED_Amort">'Debt Input'!$F$27</definedName>
    <definedName name="SED_Amort_P_Adj">Calculations!$B$7</definedName>
    <definedName name="SED_Amort_Periods">Calculations!$B$6</definedName>
    <definedName name="SED_Begin_PMT">Calculations!$B$25</definedName>
    <definedName name="SED_Compounding_Switch">'Debt Input'!$F$23</definedName>
    <definedName name="SED_CUMPRINC">Calculations!$B$10</definedName>
    <definedName name="SED_FV">Calculations!$B$18</definedName>
    <definedName name="SED_FV_Refi">Calculations!$B$22</definedName>
    <definedName name="SED_I_Adj">Calculations!$B$5</definedName>
    <definedName name="SED_Int_Only_Period">Calculations!$B$8</definedName>
    <definedName name="SED_Interest_Only">'Debt Input'!$F$26</definedName>
    <definedName name="SED_Interest_Only_PMT">Calculations!$B$27</definedName>
    <definedName name="SED_Interest_Rate">'Debt Input'!$F$22</definedName>
    <definedName name="SED_IPMT">Calculations!$B$15</definedName>
    <definedName name="SED_Loan_Balance">Calculations!$B$11</definedName>
    <definedName name="SED_Loan_Constant">Calculations!$B$17</definedName>
    <definedName name="SED_Loan_Due_Date">Calculations!$B$13</definedName>
    <definedName name="SED_Loan_Name">'Debt Input'!$F$17</definedName>
    <definedName name="SED_Loan_Payment">Calculations!$B$12</definedName>
    <definedName name="SED_LTV">'Debt Input'!$F$20</definedName>
    <definedName name="SED_Orig_Loan_Amount">'Debt Input'!$F$19</definedName>
    <definedName name="SED_Origination_Date">'Debt Input'!$F$18</definedName>
    <definedName name="SED_Origination_Fee">'Debt Input'!$F$34</definedName>
    <definedName name="SED_PMT">Calculations!$B$14</definedName>
    <definedName name="SED_PPMT">Calculations!$B$16</definedName>
    <definedName name="SED_Prepayment_Penalty">'Debt Input'!$F$35</definedName>
    <definedName name="SED_Rate_Compounding_Switch">Calculations!$B$3</definedName>
    <definedName name="SED_Rate_Period_Switch">Calculations!$B$4</definedName>
    <definedName name="SED_Refi_Term">Calculations!$B$21</definedName>
    <definedName name="SED_Table">'Loan Amort Table'!$A$6:$H$500</definedName>
    <definedName name="SED_Term">'Debt Input'!$F$24</definedName>
    <definedName name="SED_TIme_Remaining">Calculations!$B$19</definedName>
    <definedName name="SED_to_Refi_Period">Calculations!$I$26</definedName>
    <definedName name="Summary_MARKET_RENTS">IFERROR(AVERAGEIF(Rent_Roll_Input_SummaryUnit,Unit_Type_Summary,INDEX(Rent_Roll_Input,0,8)),0)</definedName>
    <definedName name="Summary_SCHEDULED_RENTS">IFERROR(AVERAGEIF(Rent_Roll_Input_SummaryUnit,Unit_Type_Summary,INDEX(Rent_Roll_Input,0,10)),0)</definedName>
    <definedName name="Summary_SQFT_UNIT">IFERROR( AVERAGEIF(Rent_Roll_Input_SummaryUnit,Unit_Type_Summary,INDEX(Rent_Roll_Input,0,6)),0)</definedName>
    <definedName name="SwitchCapEx">Input!$B$26</definedName>
    <definedName name="SwitchIRRCalc">Input!$B$17</definedName>
    <definedName name="SwitchLossToLease">Input!$B$21</definedName>
    <definedName name="SwitchRentRollType">Input!$B$20</definedName>
    <definedName name="tenant">Import!$C$49</definedName>
    <definedName name="tenant_improvements">Import!$C$32</definedName>
    <definedName name="tenant_improvements_pro_forma">Import!$C$33</definedName>
    <definedName name="tenant_type">Import!$C$43</definedName>
    <definedName name="total_return">Import!$C$16</definedName>
    <definedName name="total_return_pro_forma">Import!$C$17</definedName>
    <definedName name="Total_Sq_Ft">Calculations!$I$25</definedName>
    <definedName name="TotalOccupiedUnits">Input!$B$23</definedName>
    <definedName name="TotalUnits">Input!$B$22</definedName>
    <definedName name="Unit_Amt_Summary">IFERROR(SUMIF(Rent_Roll_Input_SummaryUnit,INDIRECT("'Rent Roll Summary Calculations'!B1:B"&amp;COUNTA(Unit_Type_Summary)),INDEX(Rent_Roll_Input,0,5)),0)</definedName>
    <definedName name="unit_count">Import!$C$27</definedName>
    <definedName name="unit_mix">Import!$E$4:$H$11</definedName>
    <definedName name="Unit_Type_Summary">IFERROR(_xlfn.UNIQUE(_xlfn._xlws.SORT(_xlfn._xlws.FILTER('Rent Roll Input'!$W$5:$W$214,'Rent Roll Input'!$W$5:$W$214&lt;&gt;""))),"")</definedName>
    <definedName name="Unit_Types">OFFSET('Rent Roll Calculations'!$A$3,0,0,COUNTA('Rent Roll Calculations'!$A$3:$A$31))</definedName>
    <definedName name="Units">Calculations!$I$24</definedName>
    <definedName name="vacancy_cost">Import!$C$23</definedName>
    <definedName name="vacancy_cost_pro_forma">Import!$C$24</definedName>
    <definedName name="vacancy_percent">Import!$C$25</definedName>
    <definedName name="vacancy_percent_pro_forma">Import!$C$26</definedName>
    <definedName name="Variable_Rent_Roll_Detail">Calculations!$I$3</definedName>
    <definedName name="what" localSheetId="22" hidden="1">{"Page1",#N/A,FALSE,"7979";"Page2",#N/A,FALSE,"7979";"Page3",#N/A,FALSE,"7979"}</definedName>
    <definedName name="what" hidden="1">{"Page1",#N/A,FALSE,"7979";"Page2",#N/A,FALSE,"7979";"Page3",#N/A,FALSE,"7979"}</definedName>
    <definedName name="wrn.ALL." localSheetId="22"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DETAIL._.SCHEDULES." localSheetId="22"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LETTERED." localSheetId="22"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oan._.Summary." localSheetId="22" hidden="1">{"Loan Summary",#N/A,FALSE,"Phase 1 loan &amp; data"}</definedName>
    <definedName name="wrn.Loan._.Summary." hidden="1">{"Loan Summary",#N/A,FALSE,"Phase 1 loan &amp; data"}</definedName>
    <definedName name="wrn.MARKETING." localSheetId="22" hidden="1">{#N/A,#N/A,FALSE,"MARKETING I";#N/A,#N/A,FALSE,"MARKETING II";#N/A,#N/A,FALSE,"MARKETING III"}</definedName>
    <definedName name="wrn.MARKETING." hidden="1">{#N/A,#N/A,FALSE,"MARKETING I";#N/A,#N/A,FALSE,"MARKETING II";#N/A,#N/A,FALSE,"MARKETING III"}</definedName>
    <definedName name="wrn.MINRENT." localSheetId="22" hidden="1">{"MINRENT2",#N/A,FALSE,"SCHEDULE B"}</definedName>
    <definedName name="wrn.MINRENT." hidden="1">{"MINRENT2",#N/A,FALSE,"SCHEDULE B"}</definedName>
    <definedName name="wrn.Partial." localSheetId="22" hidden="1">{#N/A,#N/A,FALSE,"1Summary";#N/A,#N/A,FALSE,"Assumptions";#N/A,#N/A,FALSE,"Rent Roll Summary";#N/A,#N/A,FALSE,"Effective Rental Income Detail";#N/A,#N/A,FALSE,"Cash Flow Projections";#N/A,#N/A,FALSE,"Operating Statement";#N/A,#N/A,FALSE,"Pricing Matrix"}</definedName>
    <definedName name="wrn.Partial." hidden="1">{#N/A,#N/A,FALSE,"1Summary";#N/A,#N/A,FALSE,"Assumptions";#N/A,#N/A,FALSE,"Rent Roll Summary";#N/A,#N/A,FALSE,"Effective Rental Income Detail";#N/A,#N/A,FALSE,"Cash Flow Projections";#N/A,#N/A,FALSE,"Operating Statement";#N/A,#N/A,FALSE,"Pricing Matrix"}</definedName>
    <definedName name="wrn.Partial_Template." localSheetId="22" hidden="1">{#N/A,#N/A,FALSE,"1Summary";#N/A,#N/A,FALSE,"2Assumptions";#N/A,#N/A,FALSE,"3Cash Flow";#N/A,#N/A,FALSE,"6Residual";#N/A,#N/A,FALSE,"AExpiration Schedule"}</definedName>
    <definedName name="wrn.Partial_Template." hidden="1">{#N/A,#N/A,FALSE,"1Summary";#N/A,#N/A,FALSE,"2Assumptions";#N/A,#N/A,FALSE,"3Cash Flow";#N/A,#N/A,FALSE,"6Residual";#N/A,#N/A,FALSE,"AExpiration Schedule"}</definedName>
    <definedName name="wrn.PERCENTAGE._.RENT." localSheetId="22" hidden="1">{"PERCENTAGE RENT",#N/A,TRUE,"SCHEDULE B"}</definedName>
    <definedName name="wrn.PERCENTAGE._.RENT." hidden="1">{"PERCENTAGE RENT",#N/A,TRUE,"SCHEDULE B"}</definedName>
    <definedName name="wrn.Portfolio." localSheetId="22" hidden="1">{#N/A,#N/A,FALSE,"Portfolio Summary";#N/A,#N/A,FALSE,"Portfolio Operating Stmt";#N/A,#N/A,FALSE,"Portfolio Cash Flow"}</definedName>
    <definedName name="wrn.Portfolio." hidden="1">{#N/A,#N/A,FALSE,"Portfolio Summary";#N/A,#N/A,FALSE,"Portfolio Operating Stmt";#N/A,#N/A,FALSE,"Portfolio Cash Flow"}</definedName>
    <definedName name="wrn.RATES." localSheetId="22"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SCHAs." localSheetId="22" hidden="1">{"ACCOUNTING COPY",#N/A,FALSE,"SCHEDULE A";"FINANCE COPY",#N/A,FALSE,"SCHEDULE A";"P.L. COPY",#N/A,FALSE,"SCHEDULE A"}</definedName>
    <definedName name="wrn.SCHAs." hidden="1">{"ACCOUNTING COPY",#N/A,FALSE,"SCHEDULE A";"FINANCE COPY",#N/A,FALSE,"SCHEDULE A";"P.L. COPY",#N/A,FALSE,"SCHEDULE A"}</definedName>
    <definedName name="wrn.SCHEDULES._.ABC." localSheetId="22" hidden="1">{#N/A,#N/A,FALSE,"SCHEDULE A";"MINIMUM RENT",#N/A,FALSE,"SCHEDULES B &amp; C";"PERCENTAGE RENT",#N/A,FALSE,"SCHEDULES B &amp; C"}</definedName>
    <definedName name="wrn.SCHEDULES._.ABC." hidden="1">{#N/A,#N/A,FALSE,"SCHEDULE A";"MINIMUM RENT",#N/A,FALSE,"SCHEDULES B &amp; C";"PERCENTAGE RENT",#N/A,FALSE,"SCHEDULES B &amp; C"}</definedName>
    <definedName name="wrn.TEST." localSheetId="22" hidden="1">{#N/A,#N/A,FALSE,"SCHEDULE G"}</definedName>
    <definedName name="wrn.TEST." hidden="1">{#N/A,#N/A,FALSE,"SCHEDULE G"}</definedName>
    <definedName name="wrn.valuation." localSheetId="22" hidden="1">{"Page1",#N/A,FALSE,"7979";"Page2",#N/A,FALSE,"7979";"Page3",#N/A,FALSE,"7979"}</definedName>
    <definedName name="wrn.valuation." hidden="1">{"Page1",#N/A,FALSE,"7979";"Page2",#N/A,FALSE,"7979";"Page3",#N/A,FALSE,"7979"}</definedName>
    <definedName name="Year_Built">Input!$B$15</definedName>
    <definedName name="Year1_RentGrowth">Input!$B$24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 i="1" l="1"/>
  <c r="J18" i="11"/>
  <c r="H18" i="11"/>
  <c r="D5" i="1" a="1"/>
  <c r="D5" i="1" s="1"/>
  <c r="F29" i="11"/>
  <c r="V3" i="30"/>
  <c r="M3" i="30"/>
  <c r="C13" i="38" l="1"/>
  <c r="C18" i="38"/>
  <c r="F34" i="39"/>
  <c r="F33" i="39"/>
  <c r="F32" i="39"/>
  <c r="F31" i="39"/>
  <c r="F30" i="39"/>
  <c r="F29" i="39"/>
  <c r="F28" i="39"/>
  <c r="F27" i="39"/>
  <c r="F26" i="39"/>
  <c r="F25" i="39"/>
  <c r="F24" i="39"/>
  <c r="F15" i="39"/>
  <c r="F14" i="39"/>
  <c r="F13" i="39"/>
  <c r="F12" i="39"/>
  <c r="F11" i="39"/>
  <c r="F10" i="39"/>
  <c r="F9" i="39"/>
  <c r="F8" i="39"/>
  <c r="F7" i="39"/>
  <c r="F6" i="39"/>
  <c r="F5" i="39"/>
  <c r="N22" i="11" l="1"/>
  <c r="N21" i="11"/>
  <c r="N20" i="11"/>
  <c r="N19" i="11"/>
  <c r="N18" i="11"/>
  <c r="P30" i="28" l="1"/>
  <c r="F32" i="28" l="1"/>
  <c r="G53" i="28" l="1"/>
  <c r="G4" i="27"/>
  <c r="F11" i="34" l="1"/>
  <c r="C8" i="35" l="1"/>
  <c r="F23" i="35" a="1"/>
  <c r="F23" i="35" s="1"/>
  <c r="F22" i="35" a="1"/>
  <c r="F22" i="35" s="1"/>
  <c r="F21" i="35" a="1"/>
  <c r="F21" i="35" s="1"/>
  <c r="N33" i="34"/>
  <c r="M28" i="7"/>
  <c r="M31" i="7" s="1"/>
  <c r="N28" i="7"/>
  <c r="N31" i="7" s="1"/>
  <c r="O28" i="7"/>
  <c r="O31" i="7" s="1"/>
  <c r="N31" i="27"/>
  <c r="P31" i="27"/>
  <c r="Q31" i="27"/>
  <c r="I19" i="27"/>
  <c r="I23" i="34" l="1"/>
  <c r="I22" i="34"/>
  <c r="M18" i="7" a="1"/>
  <c r="M18" i="7" s="1"/>
  <c r="T12" i="7"/>
  <c r="M12" i="7" a="1"/>
  <c r="M12" i="7" s="1"/>
  <c r="Q31" i="1" a="1"/>
  <c r="Q31" i="1" s="1"/>
  <c r="C23" i="37"/>
  <c r="M19" i="7" l="1"/>
  <c r="M20" i="7" s="1"/>
  <c r="M21" i="7" s="1"/>
  <c r="M22" i="7" s="1"/>
  <c r="M23" i="7" s="1"/>
  <c r="M17" i="7"/>
  <c r="M16" i="7" s="1"/>
  <c r="M15" i="7" s="1"/>
  <c r="M14" i="7" s="1"/>
  <c r="M13" i="7" s="1"/>
  <c r="Q32" i="1"/>
  <c r="Q33" i="1" s="1"/>
  <c r="Q34" i="1" s="1"/>
  <c r="Q35" i="1" s="1"/>
  <c r="Q36" i="1" s="1"/>
  <c r="Q30" i="1"/>
  <c r="Q29" i="1" s="1"/>
  <c r="Q28" i="1" s="1"/>
  <c r="Q27" i="1" s="1"/>
  <c r="Q26" i="1" s="1"/>
  <c r="F16" i="34" a="1"/>
  <c r="F16" i="34" s="1"/>
  <c r="F15" i="34" a="1"/>
  <c r="F15" i="34" s="1"/>
  <c r="F14" i="34" a="1"/>
  <c r="F14" i="34" s="1"/>
  <c r="F13" i="34" a="1"/>
  <c r="F13" i="34" s="1"/>
  <c r="F12" i="34" a="1"/>
  <c r="F12" i="34" s="1"/>
  <c r="F10" i="34" a="1"/>
  <c r="F10" i="34" s="1"/>
  <c r="F9" i="34" a="1"/>
  <c r="F9" i="34" s="1"/>
  <c r="F8" i="34" a="1"/>
  <c r="F8" i="34" s="1"/>
  <c r="F7" i="34" a="1"/>
  <c r="F7" i="34" s="1"/>
  <c r="F6" i="34" a="1"/>
  <c r="F6" i="34" s="1"/>
  <c r="C5" i="35"/>
  <c r="L13" i="35" s="1"/>
  <c r="L21" i="35" l="1"/>
  <c r="L25" i="35" s="1"/>
  <c r="N26" i="34"/>
  <c r="N23" i="34"/>
  <c r="N22" i="34"/>
  <c r="N21" i="34"/>
  <c r="M25" i="34" a="1"/>
  <c r="M25" i="34" s="1"/>
  <c r="M23" i="34" a="1"/>
  <c r="M23" i="34" s="1"/>
  <c r="M22" i="34" a="1"/>
  <c r="M22" i="34" s="1"/>
  <c r="M21" i="34" a="1"/>
  <c r="M21" i="34" s="1"/>
  <c r="P34" i="36"/>
  <c r="C17" i="35"/>
  <c r="I15" i="35"/>
  <c r="I14" i="35"/>
  <c r="L14" i="35"/>
  <c r="N16" i="34"/>
  <c r="M16" i="34"/>
  <c r="L16" i="34"/>
  <c r="K16" i="34"/>
  <c r="J16" i="34"/>
  <c r="I16" i="34"/>
  <c r="H16" i="34"/>
  <c r="N15" i="34"/>
  <c r="M15" i="34"/>
  <c r="L15" i="34"/>
  <c r="K15" i="34"/>
  <c r="J15" i="34"/>
  <c r="I15" i="34"/>
  <c r="H15" i="34"/>
  <c r="N14" i="34"/>
  <c r="M14" i="34"/>
  <c r="L14" i="34"/>
  <c r="K14" i="34"/>
  <c r="J14" i="34"/>
  <c r="I14" i="34"/>
  <c r="H14" i="34"/>
  <c r="N13" i="34"/>
  <c r="M13" i="34"/>
  <c r="L13" i="34"/>
  <c r="K13" i="34"/>
  <c r="J13" i="34"/>
  <c r="I13" i="34"/>
  <c r="H13" i="34"/>
  <c r="N12" i="34"/>
  <c r="M12" i="34"/>
  <c r="L12" i="34"/>
  <c r="K12" i="34"/>
  <c r="J12" i="34"/>
  <c r="I12" i="34"/>
  <c r="H12" i="34"/>
  <c r="N11" i="34"/>
  <c r="M11" i="34"/>
  <c r="L11" i="34"/>
  <c r="K11" i="34"/>
  <c r="J11" i="34"/>
  <c r="I11" i="34"/>
  <c r="H11" i="34"/>
  <c r="I16" i="35" l="1"/>
  <c r="F16" i="35"/>
  <c r="I19" i="35" l="1"/>
  <c r="I25" i="35" l="1"/>
  <c r="N10" i="34" l="1"/>
  <c r="M10" i="34"/>
  <c r="L10" i="34"/>
  <c r="K10" i="34"/>
  <c r="J10" i="34"/>
  <c r="I10" i="34"/>
  <c r="H10" i="34"/>
  <c r="N9" i="34"/>
  <c r="M9" i="34"/>
  <c r="L9" i="34"/>
  <c r="K9" i="34"/>
  <c r="J9" i="34"/>
  <c r="I9" i="34"/>
  <c r="H9" i="34"/>
  <c r="N8" i="34"/>
  <c r="M8" i="34"/>
  <c r="L8" i="34"/>
  <c r="K8" i="34"/>
  <c r="J8" i="34"/>
  <c r="I8" i="34"/>
  <c r="H8" i="34"/>
  <c r="N7" i="34"/>
  <c r="M7" i="34"/>
  <c r="L7" i="34"/>
  <c r="K7" i="34"/>
  <c r="J7" i="34"/>
  <c r="I7" i="34"/>
  <c r="H7" i="34"/>
  <c r="N6" i="34"/>
  <c r="M6" i="34"/>
  <c r="L6" i="34"/>
  <c r="K6" i="34"/>
  <c r="J6" i="34"/>
  <c r="I6" i="34"/>
  <c r="H6" i="34"/>
  <c r="D8" i="34"/>
  <c r="I3" i="34" a="1"/>
  <c r="I3" i="34" s="1"/>
  <c r="U4" i="7"/>
  <c r="N4" i="34" s="1"/>
  <c r="O4" i="7"/>
  <c r="N4" i="7"/>
  <c r="G4" i="34" s="1"/>
  <c r="N5" i="34"/>
  <c r="M5" i="34"/>
  <c r="L5" i="34"/>
  <c r="K5" i="34"/>
  <c r="J5" i="34"/>
  <c r="I5" i="34"/>
  <c r="H5" i="34"/>
  <c r="G5" i="34"/>
  <c r="F5" i="34"/>
  <c r="M4" i="34"/>
  <c r="L4" i="34"/>
  <c r="K4" i="34"/>
  <c r="J4" i="34"/>
  <c r="I4" i="34"/>
  <c r="H4" i="34"/>
  <c r="F4" i="34"/>
  <c r="K3" i="34"/>
  <c r="J3" i="34"/>
  <c r="D12" i="34" l="1"/>
  <c r="I23" i="27" l="1"/>
  <c r="I22" i="27"/>
  <c r="I21" i="27"/>
  <c r="H23" i="27"/>
  <c r="H22" i="27"/>
  <c r="H21" i="27"/>
  <c r="H35" i="27"/>
  <c r="R52" i="28"/>
  <c r="V215" i="13"/>
  <c r="W215" i="13"/>
  <c r="V216" i="13"/>
  <c r="W216" i="13"/>
  <c r="V217" i="13"/>
  <c r="W217" i="13"/>
  <c r="V218" i="13"/>
  <c r="W218" i="13"/>
  <c r="V219" i="13"/>
  <c r="W219" i="13"/>
  <c r="V220" i="13"/>
  <c r="W220" i="13"/>
  <c r="V221" i="13"/>
  <c r="W221" i="13"/>
  <c r="V222" i="13"/>
  <c r="W222" i="13"/>
  <c r="V223" i="13"/>
  <c r="W223" i="13"/>
  <c r="V224" i="13"/>
  <c r="W224" i="13"/>
  <c r="V225" i="13"/>
  <c r="W225" i="13"/>
  <c r="V226" i="13"/>
  <c r="W226" i="13"/>
  <c r="V227" i="13"/>
  <c r="W227" i="13"/>
  <c r="V228" i="13"/>
  <c r="W228" i="13"/>
  <c r="V229" i="13"/>
  <c r="W229" i="13"/>
  <c r="V230" i="13"/>
  <c r="W230" i="13"/>
  <c r="V231" i="13"/>
  <c r="W231" i="13"/>
  <c r="V232" i="13"/>
  <c r="W232" i="13"/>
  <c r="V233" i="13"/>
  <c r="W233" i="13"/>
  <c r="V234" i="13"/>
  <c r="W234" i="13"/>
  <c r="V235" i="13"/>
  <c r="W235" i="13"/>
  <c r="V236" i="13"/>
  <c r="W236" i="13"/>
  <c r="V237" i="13"/>
  <c r="W237" i="13"/>
  <c r="V238" i="13"/>
  <c r="W238" i="13"/>
  <c r="V239" i="13"/>
  <c r="W239" i="13"/>
  <c r="V240" i="13"/>
  <c r="W240" i="13"/>
  <c r="V241" i="13"/>
  <c r="W241" i="13"/>
  <c r="V242" i="13"/>
  <c r="W242" i="13"/>
  <c r="V243" i="13"/>
  <c r="W243" i="13"/>
  <c r="V244" i="13"/>
  <c r="W244" i="13"/>
  <c r="V245" i="13"/>
  <c r="W245" i="13"/>
  <c r="V246" i="13"/>
  <c r="W246" i="13"/>
  <c r="V247" i="13"/>
  <c r="W247" i="13"/>
  <c r="V248" i="13"/>
  <c r="W248" i="13"/>
  <c r="V249" i="13"/>
  <c r="W249" i="13"/>
  <c r="V250" i="13"/>
  <c r="W250" i="13"/>
  <c r="V251" i="13"/>
  <c r="W251" i="13"/>
  <c r="V252" i="13"/>
  <c r="W252" i="13"/>
  <c r="V253" i="13"/>
  <c r="W253" i="13"/>
  <c r="V254" i="13"/>
  <c r="W254" i="13"/>
  <c r="V255" i="13"/>
  <c r="W255" i="13"/>
  <c r="V256" i="13"/>
  <c r="W256" i="13"/>
  <c r="V257" i="13"/>
  <c r="W257" i="13"/>
  <c r="V258" i="13"/>
  <c r="W258" i="13"/>
  <c r="V259" i="13"/>
  <c r="W259" i="13"/>
  <c r="V260" i="13"/>
  <c r="W260" i="13"/>
  <c r="V261" i="13"/>
  <c r="W261" i="13"/>
  <c r="V262" i="13"/>
  <c r="W262" i="13"/>
  <c r="V263" i="13"/>
  <c r="W263" i="13"/>
  <c r="V264" i="13"/>
  <c r="W264" i="13"/>
  <c r="V265" i="13"/>
  <c r="W265" i="13"/>
  <c r="V266" i="13"/>
  <c r="W266" i="13"/>
  <c r="V267" i="13"/>
  <c r="W267" i="13"/>
  <c r="V268" i="13"/>
  <c r="W268" i="13"/>
  <c r="V269" i="13"/>
  <c r="W269" i="13"/>
  <c r="V270" i="13"/>
  <c r="W270" i="13"/>
  <c r="V271" i="13"/>
  <c r="W271" i="13"/>
  <c r="V272" i="13"/>
  <c r="W272" i="13"/>
  <c r="V273" i="13"/>
  <c r="W273" i="13"/>
  <c r="V274" i="13"/>
  <c r="W274" i="13"/>
  <c r="V275" i="13"/>
  <c r="W275" i="13"/>
  <c r="V276" i="13"/>
  <c r="W276" i="13"/>
  <c r="V277" i="13"/>
  <c r="W277" i="13"/>
  <c r="V278" i="13"/>
  <c r="W278" i="13"/>
  <c r="V279" i="13"/>
  <c r="W279" i="13"/>
  <c r="V280" i="13"/>
  <c r="W280" i="13"/>
  <c r="V281" i="13"/>
  <c r="W281" i="13"/>
  <c r="V282" i="13"/>
  <c r="W282" i="13"/>
  <c r="V283" i="13"/>
  <c r="W283" i="13"/>
  <c r="V284" i="13"/>
  <c r="W284" i="13"/>
  <c r="V285" i="13"/>
  <c r="W285" i="13"/>
  <c r="V286" i="13"/>
  <c r="W286" i="13"/>
  <c r="V287" i="13"/>
  <c r="W287" i="13"/>
  <c r="V288" i="13"/>
  <c r="W288" i="13"/>
  <c r="V289" i="13"/>
  <c r="W289" i="13"/>
  <c r="V290" i="13"/>
  <c r="W290" i="13"/>
  <c r="V291" i="13"/>
  <c r="W291" i="13"/>
  <c r="V292" i="13"/>
  <c r="W292" i="13"/>
  <c r="V293" i="13"/>
  <c r="W293" i="13"/>
  <c r="V294" i="13"/>
  <c r="W294" i="13"/>
  <c r="V295" i="13"/>
  <c r="W295" i="13"/>
  <c r="V296" i="13"/>
  <c r="W296" i="13"/>
  <c r="V297" i="13"/>
  <c r="W297" i="13"/>
  <c r="V298" i="13"/>
  <c r="W298" i="13"/>
  <c r="V299" i="13"/>
  <c r="W299" i="13"/>
  <c r="V300" i="13"/>
  <c r="W300" i="13"/>
  <c r="V301" i="13"/>
  <c r="W301" i="13"/>
  <c r="V302" i="13"/>
  <c r="W302" i="13"/>
  <c r="V303" i="13"/>
  <c r="W303" i="13"/>
  <c r="V304" i="13"/>
  <c r="W304" i="13"/>
  <c r="V305" i="13"/>
  <c r="W305" i="13"/>
  <c r="V306" i="13"/>
  <c r="W306" i="13"/>
  <c r="V307" i="13"/>
  <c r="W307" i="13"/>
  <c r="V308" i="13"/>
  <c r="W308" i="13"/>
  <c r="V309" i="13"/>
  <c r="W309" i="13"/>
  <c r="V310" i="13"/>
  <c r="W310" i="13"/>
  <c r="V311" i="13"/>
  <c r="W311" i="13"/>
  <c r="V312" i="13"/>
  <c r="W312" i="13"/>
  <c r="V313" i="13"/>
  <c r="W313" i="13"/>
  <c r="V314" i="13"/>
  <c r="W314" i="13"/>
  <c r="V315" i="13"/>
  <c r="W315" i="13"/>
  <c r="V316" i="13"/>
  <c r="W316" i="13"/>
  <c r="V317" i="13"/>
  <c r="W317" i="13"/>
  <c r="V318" i="13"/>
  <c r="W318" i="13"/>
  <c r="V319" i="13"/>
  <c r="W319" i="13"/>
  <c r="V320" i="13"/>
  <c r="W320" i="13"/>
  <c r="V321" i="13"/>
  <c r="W321" i="13"/>
  <c r="V322" i="13"/>
  <c r="W322" i="13"/>
  <c r="V323" i="13"/>
  <c r="W323" i="13"/>
  <c r="V324" i="13"/>
  <c r="W324" i="13"/>
  <c r="V325" i="13"/>
  <c r="W325" i="13"/>
  <c r="V326" i="13"/>
  <c r="W326" i="13"/>
  <c r="V327" i="13"/>
  <c r="W327" i="13"/>
  <c r="V328" i="13"/>
  <c r="W328" i="13"/>
  <c r="V329" i="13"/>
  <c r="W329" i="13"/>
  <c r="V330" i="13"/>
  <c r="W330" i="13"/>
  <c r="V331" i="13"/>
  <c r="W331" i="13"/>
  <c r="V332" i="13"/>
  <c r="W332" i="13"/>
  <c r="V333" i="13"/>
  <c r="W333" i="13"/>
  <c r="V334" i="13"/>
  <c r="W334" i="13"/>
  <c r="V335" i="13"/>
  <c r="W335" i="13"/>
  <c r="V336" i="13"/>
  <c r="W336" i="13"/>
  <c r="V337" i="13"/>
  <c r="W337" i="13"/>
  <c r="V338" i="13"/>
  <c r="W338" i="13"/>
  <c r="V339" i="13"/>
  <c r="W339" i="13"/>
  <c r="V340" i="13"/>
  <c r="W340" i="13"/>
  <c r="V341" i="13"/>
  <c r="W341" i="13"/>
  <c r="V342" i="13"/>
  <c r="W342" i="13"/>
  <c r="V343" i="13"/>
  <c r="W343" i="13"/>
  <c r="V344" i="13"/>
  <c r="W344" i="13"/>
  <c r="V345" i="13"/>
  <c r="W345" i="13"/>
  <c r="V346" i="13"/>
  <c r="W346" i="13"/>
  <c r="V347" i="13"/>
  <c r="W347" i="13"/>
  <c r="V348" i="13"/>
  <c r="W348" i="13"/>
  <c r="V349" i="13"/>
  <c r="W349" i="13"/>
  <c r="V350" i="13"/>
  <c r="W350" i="13"/>
  <c r="V351" i="13"/>
  <c r="W351" i="13"/>
  <c r="V352" i="13"/>
  <c r="W352" i="13"/>
  <c r="V353" i="13"/>
  <c r="W353" i="13"/>
  <c r="V354" i="13"/>
  <c r="W354" i="13"/>
  <c r="V355" i="13"/>
  <c r="W355" i="13"/>
  <c r="V356" i="13"/>
  <c r="W356" i="13"/>
  <c r="V357" i="13"/>
  <c r="W357" i="13"/>
  <c r="V358" i="13"/>
  <c r="W358" i="13"/>
  <c r="V359" i="13"/>
  <c r="W359" i="13"/>
  <c r="V360" i="13"/>
  <c r="W360" i="13"/>
  <c r="V361" i="13"/>
  <c r="W361" i="13"/>
  <c r="V362" i="13"/>
  <c r="W362" i="13"/>
  <c r="V363" i="13"/>
  <c r="W363" i="13"/>
  <c r="V364" i="13"/>
  <c r="W364" i="13"/>
  <c r="V365" i="13"/>
  <c r="W365" i="13"/>
  <c r="V366" i="13"/>
  <c r="W366" i="13"/>
  <c r="V367" i="13"/>
  <c r="W367" i="13"/>
  <c r="V368" i="13"/>
  <c r="W368" i="13"/>
  <c r="V369" i="13"/>
  <c r="W369" i="13"/>
  <c r="V370" i="13"/>
  <c r="W370" i="13"/>
  <c r="V371" i="13"/>
  <c r="W371" i="13"/>
  <c r="V372" i="13"/>
  <c r="W372" i="13"/>
  <c r="V373" i="13"/>
  <c r="W373" i="13"/>
  <c r="V374" i="13"/>
  <c r="W374" i="13"/>
  <c r="V375" i="13"/>
  <c r="W375" i="13"/>
  <c r="V376" i="13"/>
  <c r="W376" i="13"/>
  <c r="V377" i="13"/>
  <c r="W377" i="13"/>
  <c r="V378" i="13"/>
  <c r="W378" i="13"/>
  <c r="V379" i="13"/>
  <c r="W379" i="13"/>
  <c r="V380" i="13"/>
  <c r="W380" i="13"/>
  <c r="V381" i="13"/>
  <c r="W381" i="13"/>
  <c r="V382" i="13"/>
  <c r="W382" i="13"/>
  <c r="V383" i="13"/>
  <c r="W383" i="13"/>
  <c r="V384" i="13"/>
  <c r="W384" i="13"/>
  <c r="V385" i="13"/>
  <c r="W385" i="13"/>
  <c r="V386" i="13"/>
  <c r="W386" i="13"/>
  <c r="V387" i="13"/>
  <c r="W387" i="13"/>
  <c r="V388" i="13"/>
  <c r="W388" i="13"/>
  <c r="V389" i="13"/>
  <c r="W389" i="13"/>
  <c r="V390" i="13"/>
  <c r="W390" i="13"/>
  <c r="V391" i="13"/>
  <c r="W391" i="13"/>
  <c r="V392" i="13"/>
  <c r="W392" i="13"/>
  <c r="V393" i="13"/>
  <c r="W393" i="13"/>
  <c r="V394" i="13"/>
  <c r="W394" i="13"/>
  <c r="V395" i="13"/>
  <c r="W395" i="13"/>
  <c r="V396" i="13"/>
  <c r="W396" i="13"/>
  <c r="V397" i="13"/>
  <c r="W397" i="13"/>
  <c r="V398" i="13"/>
  <c r="W398" i="13"/>
  <c r="V399" i="13"/>
  <c r="W399" i="13"/>
  <c r="V400" i="13"/>
  <c r="W400" i="13"/>
  <c r="V401" i="13"/>
  <c r="W401" i="13"/>
  <c r="V402" i="13"/>
  <c r="W402" i="13"/>
  <c r="V403" i="13"/>
  <c r="W403" i="13"/>
  <c r="V404" i="13"/>
  <c r="W404" i="13"/>
  <c r="V405" i="13"/>
  <c r="W405" i="13"/>
  <c r="V406" i="13"/>
  <c r="W406" i="13"/>
  <c r="V407" i="13"/>
  <c r="W407" i="13"/>
  <c r="V408" i="13"/>
  <c r="W408" i="13"/>
  <c r="V409" i="13"/>
  <c r="W409" i="13"/>
  <c r="V410" i="13"/>
  <c r="W410" i="13"/>
  <c r="V411" i="13"/>
  <c r="W411" i="13"/>
  <c r="V412" i="13"/>
  <c r="W412" i="13"/>
  <c r="V413" i="13"/>
  <c r="W413" i="13"/>
  <c r="V414" i="13"/>
  <c r="W414" i="13"/>
  <c r="V415" i="13"/>
  <c r="W415" i="13"/>
  <c r="V416" i="13"/>
  <c r="W416" i="13"/>
  <c r="V417" i="13"/>
  <c r="W417" i="13"/>
  <c r="V418" i="13"/>
  <c r="W418" i="13"/>
  <c r="V419" i="13"/>
  <c r="W419" i="13"/>
  <c r="V420" i="13"/>
  <c r="W420" i="13"/>
  <c r="V421" i="13"/>
  <c r="W421" i="13"/>
  <c r="V422" i="13"/>
  <c r="W422" i="13"/>
  <c r="V423" i="13"/>
  <c r="W423" i="13"/>
  <c r="V424" i="13"/>
  <c r="W424" i="13"/>
  <c r="V425" i="13"/>
  <c r="W425" i="13"/>
  <c r="V426" i="13"/>
  <c r="W426" i="13"/>
  <c r="V427" i="13"/>
  <c r="W427" i="13"/>
  <c r="V428" i="13"/>
  <c r="W428" i="13"/>
  <c r="V429" i="13"/>
  <c r="W429" i="13"/>
  <c r="V430" i="13"/>
  <c r="W430" i="13"/>
  <c r="V431" i="13"/>
  <c r="W431" i="13"/>
  <c r="V432" i="13"/>
  <c r="W432" i="13"/>
  <c r="V433" i="13"/>
  <c r="W433" i="13"/>
  <c r="V434" i="13"/>
  <c r="W434" i="13"/>
  <c r="V435" i="13"/>
  <c r="W435" i="13"/>
  <c r="V436" i="13"/>
  <c r="W436" i="13"/>
  <c r="V437" i="13"/>
  <c r="W437" i="13"/>
  <c r="V438" i="13"/>
  <c r="W438" i="13"/>
  <c r="V439" i="13"/>
  <c r="W439" i="13"/>
  <c r="V440" i="13"/>
  <c r="W440" i="13"/>
  <c r="V441" i="13"/>
  <c r="W441" i="13"/>
  <c r="V442" i="13"/>
  <c r="W442" i="13"/>
  <c r="V443" i="13"/>
  <c r="W443" i="13"/>
  <c r="V444" i="13"/>
  <c r="W444" i="13"/>
  <c r="V445" i="13"/>
  <c r="W445" i="13"/>
  <c r="V446" i="13"/>
  <c r="W446" i="13"/>
  <c r="V447" i="13"/>
  <c r="W447" i="13"/>
  <c r="V448" i="13"/>
  <c r="W448" i="13"/>
  <c r="V449" i="13"/>
  <c r="W449" i="13"/>
  <c r="V450" i="13"/>
  <c r="W450" i="13"/>
  <c r="V451" i="13"/>
  <c r="W451" i="13"/>
  <c r="V452" i="13"/>
  <c r="W452" i="13"/>
  <c r="V453" i="13"/>
  <c r="W453" i="13"/>
  <c r="V454" i="13"/>
  <c r="W454" i="13"/>
  <c r="V455" i="13"/>
  <c r="W455" i="13"/>
  <c r="V456" i="13"/>
  <c r="W456" i="13"/>
  <c r="V457" i="13"/>
  <c r="W457" i="13"/>
  <c r="V458" i="13"/>
  <c r="W458" i="13"/>
  <c r="V459" i="13"/>
  <c r="W459" i="13"/>
  <c r="V460" i="13"/>
  <c r="W460" i="13"/>
  <c r="V461" i="13"/>
  <c r="W461" i="13"/>
  <c r="V462" i="13"/>
  <c r="W462" i="13"/>
  <c r="V463" i="13"/>
  <c r="W463" i="13"/>
  <c r="V464" i="13"/>
  <c r="W464" i="13"/>
  <c r="V465" i="13"/>
  <c r="W465" i="13"/>
  <c r="V466" i="13"/>
  <c r="W466" i="13"/>
  <c r="V467" i="13"/>
  <c r="W467" i="13"/>
  <c r="V468" i="13"/>
  <c r="W468" i="13"/>
  <c r="V469" i="13"/>
  <c r="W469" i="13"/>
  <c r="V470" i="13"/>
  <c r="W470" i="13"/>
  <c r="V471" i="13"/>
  <c r="W471" i="13"/>
  <c r="V472" i="13"/>
  <c r="W472" i="13"/>
  <c r="V473" i="13"/>
  <c r="W473" i="13"/>
  <c r="V474" i="13"/>
  <c r="W474" i="13"/>
  <c r="V475" i="13"/>
  <c r="W475" i="13"/>
  <c r="V476" i="13"/>
  <c r="W476" i="13"/>
  <c r="V477" i="13"/>
  <c r="W477" i="13"/>
  <c r="V478" i="13"/>
  <c r="W478" i="13"/>
  <c r="V479" i="13"/>
  <c r="W479" i="13"/>
  <c r="V480" i="13"/>
  <c r="W480" i="13"/>
  <c r="V481" i="13"/>
  <c r="W481" i="13"/>
  <c r="V482" i="13"/>
  <c r="W482" i="13"/>
  <c r="V483" i="13"/>
  <c r="W483" i="13"/>
  <c r="V484" i="13"/>
  <c r="W484" i="13"/>
  <c r="V485" i="13"/>
  <c r="W485" i="13"/>
  <c r="V486" i="13"/>
  <c r="W486" i="13"/>
  <c r="V487" i="13"/>
  <c r="W487" i="13"/>
  <c r="V488" i="13"/>
  <c r="W488" i="13"/>
  <c r="V489" i="13"/>
  <c r="W489" i="13"/>
  <c r="V490" i="13"/>
  <c r="W490" i="13"/>
  <c r="V491" i="13"/>
  <c r="W491" i="13"/>
  <c r="V492" i="13"/>
  <c r="W492" i="13"/>
  <c r="V493" i="13"/>
  <c r="W493" i="13"/>
  <c r="V494" i="13"/>
  <c r="W494" i="13"/>
  <c r="V495" i="13"/>
  <c r="W495" i="13"/>
  <c r="V496" i="13"/>
  <c r="W496" i="13"/>
  <c r="V497" i="13"/>
  <c r="W497" i="13"/>
  <c r="V498" i="13"/>
  <c r="W498" i="13"/>
  <c r="V499" i="13"/>
  <c r="W499" i="13"/>
  <c r="V500" i="13"/>
  <c r="W500" i="13"/>
  <c r="V501" i="13"/>
  <c r="W501" i="13"/>
  <c r="V502" i="13"/>
  <c r="W502" i="13"/>
  <c r="V503" i="13"/>
  <c r="W503" i="13"/>
  <c r="V504" i="13"/>
  <c r="W504" i="13"/>
  <c r="V505" i="13"/>
  <c r="W505" i="13"/>
  <c r="V506" i="13"/>
  <c r="W506" i="13"/>
  <c r="V507" i="13"/>
  <c r="W507" i="13"/>
  <c r="V508" i="13"/>
  <c r="W508" i="13"/>
  <c r="V509" i="13"/>
  <c r="W509" i="13"/>
  <c r="V510" i="13"/>
  <c r="W510" i="13"/>
  <c r="V511" i="13"/>
  <c r="W511" i="13"/>
  <c r="V512" i="13"/>
  <c r="W512" i="13"/>
  <c r="V513" i="13"/>
  <c r="W513" i="13"/>
  <c r="V514" i="13"/>
  <c r="W514" i="13"/>
  <c r="V515" i="13"/>
  <c r="W515" i="13"/>
  <c r="V516" i="13"/>
  <c r="W516" i="13"/>
  <c r="V517" i="13"/>
  <c r="W517" i="13"/>
  <c r="V518" i="13"/>
  <c r="W518" i="13"/>
  <c r="V519" i="13"/>
  <c r="W519" i="13"/>
  <c r="V520" i="13"/>
  <c r="W520" i="13"/>
  <c r="V521" i="13"/>
  <c r="W521" i="13"/>
  <c r="V522" i="13"/>
  <c r="W522" i="13"/>
  <c r="V523" i="13"/>
  <c r="W523" i="13"/>
  <c r="V524" i="13"/>
  <c r="W524" i="13"/>
  <c r="V525" i="13"/>
  <c r="W525" i="13"/>
  <c r="V526" i="13"/>
  <c r="W526" i="13"/>
  <c r="V527" i="13"/>
  <c r="W527" i="13"/>
  <c r="V528" i="13"/>
  <c r="W528" i="13"/>
  <c r="V529" i="13"/>
  <c r="W529" i="13"/>
  <c r="V530" i="13"/>
  <c r="W530" i="13"/>
  <c r="V531" i="13"/>
  <c r="W531" i="13"/>
  <c r="V532" i="13"/>
  <c r="W532" i="13"/>
  <c r="V533" i="13"/>
  <c r="W533" i="13"/>
  <c r="V534" i="13"/>
  <c r="W534" i="13"/>
  <c r="V535" i="13"/>
  <c r="W535" i="13"/>
  <c r="V536" i="13"/>
  <c r="W536" i="13"/>
  <c r="V537" i="13"/>
  <c r="W537" i="13"/>
  <c r="V538" i="13"/>
  <c r="W538" i="13"/>
  <c r="V539" i="13"/>
  <c r="W539" i="13"/>
  <c r="V540" i="13"/>
  <c r="W540" i="13"/>
  <c r="V541" i="13"/>
  <c r="W541" i="13"/>
  <c r="V542" i="13"/>
  <c r="W542" i="13"/>
  <c r="V543" i="13"/>
  <c r="W543" i="13"/>
  <c r="V544" i="13"/>
  <c r="W544" i="13"/>
  <c r="V545" i="13"/>
  <c r="W545" i="13"/>
  <c r="V546" i="13"/>
  <c r="W546" i="13"/>
  <c r="V547" i="13"/>
  <c r="W547" i="13"/>
  <c r="V548" i="13"/>
  <c r="W548" i="13"/>
  <c r="V549" i="13"/>
  <c r="W549" i="13"/>
  <c r="V550" i="13"/>
  <c r="W550" i="13"/>
  <c r="V551" i="13"/>
  <c r="W551" i="13"/>
  <c r="V552" i="13"/>
  <c r="W552" i="13"/>
  <c r="V553" i="13"/>
  <c r="W553" i="13"/>
  <c r="V554" i="13"/>
  <c r="W554" i="13"/>
  <c r="V555" i="13"/>
  <c r="W555" i="13"/>
  <c r="V556" i="13"/>
  <c r="W556" i="13"/>
  <c r="V557" i="13"/>
  <c r="W557" i="13"/>
  <c r="V558" i="13"/>
  <c r="W558" i="13"/>
  <c r="V559" i="13"/>
  <c r="W559" i="13"/>
  <c r="V560" i="13"/>
  <c r="W560" i="13"/>
  <c r="V561" i="13"/>
  <c r="W561" i="13"/>
  <c r="V562" i="13"/>
  <c r="W562" i="13"/>
  <c r="V563" i="13"/>
  <c r="W563" i="13"/>
  <c r="V564" i="13"/>
  <c r="W564" i="13"/>
  <c r="V565" i="13"/>
  <c r="W565" i="13"/>
  <c r="V566" i="13"/>
  <c r="W566" i="13"/>
  <c r="V567" i="13"/>
  <c r="W567" i="13"/>
  <c r="V568" i="13"/>
  <c r="W568" i="13"/>
  <c r="V569" i="13"/>
  <c r="W569" i="13"/>
  <c r="V570" i="13"/>
  <c r="W570" i="13"/>
  <c r="V571" i="13"/>
  <c r="W571" i="13"/>
  <c r="V572" i="13"/>
  <c r="W572" i="13"/>
  <c r="V573" i="13"/>
  <c r="W573" i="13"/>
  <c r="V574" i="13"/>
  <c r="W574" i="13"/>
  <c r="V575" i="13"/>
  <c r="W575" i="13"/>
  <c r="V576" i="13"/>
  <c r="W576" i="13"/>
  <c r="V577" i="13"/>
  <c r="W577" i="13"/>
  <c r="V578" i="13"/>
  <c r="W578" i="13"/>
  <c r="V579" i="13"/>
  <c r="W579" i="13"/>
  <c r="V580" i="13"/>
  <c r="W580" i="13"/>
  <c r="V581" i="13"/>
  <c r="W581" i="13"/>
  <c r="V582" i="13"/>
  <c r="W582" i="13"/>
  <c r="V583" i="13"/>
  <c r="W583" i="13"/>
  <c r="V584" i="13"/>
  <c r="W584" i="13"/>
  <c r="V585" i="13"/>
  <c r="W585" i="13"/>
  <c r="V586" i="13"/>
  <c r="W586" i="13"/>
  <c r="V587" i="13"/>
  <c r="W587" i="13"/>
  <c r="V588" i="13"/>
  <c r="W588" i="13"/>
  <c r="V589" i="13"/>
  <c r="W589" i="13"/>
  <c r="V590" i="13"/>
  <c r="W590" i="13"/>
  <c r="V591" i="13"/>
  <c r="W591" i="13"/>
  <c r="V592" i="13"/>
  <c r="W592" i="13"/>
  <c r="V593" i="13"/>
  <c r="W593" i="13"/>
  <c r="V594" i="13"/>
  <c r="W594" i="13"/>
  <c r="V595" i="13"/>
  <c r="W595" i="13"/>
  <c r="V596" i="13"/>
  <c r="W596" i="13"/>
  <c r="V597" i="13"/>
  <c r="W597" i="13"/>
  <c r="V598" i="13"/>
  <c r="W598" i="13"/>
  <c r="V599" i="13"/>
  <c r="W599" i="13"/>
  <c r="V600" i="13"/>
  <c r="W600" i="13"/>
  <c r="V601" i="13"/>
  <c r="W601" i="13"/>
  <c r="V602" i="13"/>
  <c r="W602" i="13"/>
  <c r="V603" i="13"/>
  <c r="W603" i="13"/>
  <c r="V604" i="13"/>
  <c r="W604" i="13"/>
  <c r="V605" i="13"/>
  <c r="W605" i="13"/>
  <c r="V606" i="13"/>
  <c r="W606" i="13"/>
  <c r="V607" i="13"/>
  <c r="W607" i="13"/>
  <c r="V608" i="13"/>
  <c r="W608" i="13"/>
  <c r="V609" i="13"/>
  <c r="W609" i="13"/>
  <c r="V610" i="13"/>
  <c r="W610" i="13"/>
  <c r="V611" i="13"/>
  <c r="W611" i="13"/>
  <c r="V612" i="13"/>
  <c r="W612" i="13"/>
  <c r="V613" i="13"/>
  <c r="W613" i="13"/>
  <c r="V614" i="13"/>
  <c r="W614" i="13"/>
  <c r="V615" i="13"/>
  <c r="W615" i="13"/>
  <c r="V616" i="13"/>
  <c r="W616" i="13"/>
  <c r="V617" i="13"/>
  <c r="W617" i="13"/>
  <c r="V618" i="13"/>
  <c r="W618" i="13"/>
  <c r="V619" i="13"/>
  <c r="W619" i="13"/>
  <c r="V620" i="13"/>
  <c r="W620" i="13"/>
  <c r="V621" i="13"/>
  <c r="W621" i="13"/>
  <c r="V622" i="13"/>
  <c r="W622" i="13"/>
  <c r="V623" i="13"/>
  <c r="W623" i="13"/>
  <c r="V624" i="13"/>
  <c r="W624" i="13"/>
  <c r="V625" i="13"/>
  <c r="W625" i="13"/>
  <c r="V626" i="13"/>
  <c r="W626" i="13"/>
  <c r="V627" i="13"/>
  <c r="W627" i="13"/>
  <c r="V628" i="13"/>
  <c r="W628" i="13"/>
  <c r="V629" i="13"/>
  <c r="W629" i="13"/>
  <c r="V630" i="13"/>
  <c r="W630" i="13"/>
  <c r="V631" i="13"/>
  <c r="W631" i="13"/>
  <c r="V632" i="13"/>
  <c r="W632" i="13"/>
  <c r="V633" i="13"/>
  <c r="W633" i="13"/>
  <c r="V634" i="13"/>
  <c r="W634" i="13"/>
  <c r="V635" i="13"/>
  <c r="W635" i="13"/>
  <c r="V636" i="13"/>
  <c r="W636" i="13"/>
  <c r="V637" i="13"/>
  <c r="W637" i="13"/>
  <c r="V638" i="13"/>
  <c r="W638" i="13"/>
  <c r="V639" i="13"/>
  <c r="W639" i="13"/>
  <c r="V640" i="13"/>
  <c r="W640" i="13"/>
  <c r="V641" i="13"/>
  <c r="W641" i="13"/>
  <c r="V642" i="13"/>
  <c r="W642"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5" i="13"/>
  <c r="Q36" i="27"/>
  <c r="Q35" i="27"/>
  <c r="P35" i="27"/>
  <c r="N35" i="27"/>
  <c r="Q34" i="27"/>
  <c r="P34" i="27"/>
  <c r="N34" i="27"/>
  <c r="Q33" i="27"/>
  <c r="P33" i="27"/>
  <c r="N33" i="27"/>
  <c r="Q32" i="27"/>
  <c r="P32" i="27"/>
  <c r="N32" i="27"/>
  <c r="Q30" i="27"/>
  <c r="P30" i="27"/>
  <c r="N30" i="27"/>
  <c r="Q29" i="27"/>
  <c r="P29" i="27"/>
  <c r="N29" i="27"/>
  <c r="Q28" i="27"/>
  <c r="P28" i="27"/>
  <c r="N28" i="27"/>
  <c r="Q27" i="27"/>
  <c r="P27" i="27"/>
  <c r="N27" i="27"/>
  <c r="Q26" i="27"/>
  <c r="P26" i="27"/>
  <c r="N26" i="27"/>
  <c r="Q25" i="27"/>
  <c r="P25" i="27"/>
  <c r="N25" i="27"/>
  <c r="Q24" i="27"/>
  <c r="P24" i="27"/>
  <c r="N24" i="27"/>
  <c r="Q23" i="27"/>
  <c r="P23" i="27"/>
  <c r="N23" i="27"/>
  <c r="Q22" i="27"/>
  <c r="P22" i="27"/>
  <c r="N22" i="27"/>
  <c r="E9" i="27"/>
  <c r="Q6" i="27"/>
  <c r="P6" i="27"/>
  <c r="N6" i="27"/>
  <c r="C3" i="7" a="1"/>
  <c r="C3" i="7" s="1"/>
  <c r="H30" i="28"/>
  <c r="I30" i="28"/>
  <c r="J30" i="28"/>
  <c r="K30" i="28"/>
  <c r="L30" i="28"/>
  <c r="M30" i="28"/>
  <c r="N30" i="28"/>
  <c r="O30" i="28"/>
  <c r="G30" i="28"/>
  <c r="E30" i="28"/>
  <c r="G58" i="28"/>
  <c r="E13" i="7"/>
  <c r="E19" i="7" s="1"/>
  <c r="L33" i="11" s="1"/>
  <c r="F20" i="11"/>
  <c r="M26" i="34" s="1" a="1"/>
  <c r="M26" i="34" s="1"/>
  <c r="D6" i="30"/>
  <c r="C5" i="7" l="1"/>
  <c r="C4" i="7"/>
  <c r="C8" i="7" s="1"/>
  <c r="X8" i="13" a="1"/>
  <c r="X8" i="13" s="1"/>
  <c r="G60" i="28"/>
  <c r="G61" i="28"/>
  <c r="G62" i="28"/>
  <c r="G54" i="28"/>
  <c r="G59" i="28"/>
  <c r="G55" i="28"/>
  <c r="H63" i="28"/>
  <c r="G56" i="28"/>
  <c r="G57" i="28"/>
  <c r="T15" i="11" l="1"/>
  <c r="G4" i="28" s="1"/>
  <c r="AD6" i="30"/>
  <c r="AE3" i="30"/>
  <c r="E25" i="7"/>
  <c r="B25" i="7"/>
  <c r="C6" i="30"/>
  <c r="I26" i="7"/>
  <c r="D3" i="30"/>
  <c r="B6" i="30" l="1"/>
  <c r="U15" i="11"/>
  <c r="H4" i="28" s="1"/>
  <c r="A6" i="30"/>
  <c r="C7" i="30"/>
  <c r="AC6" i="30"/>
  <c r="AB6" i="30"/>
  <c r="AD7" i="30"/>
  <c r="AD8" i="30" l="1"/>
  <c r="AE8" i="30" s="1"/>
  <c r="AE7" i="30"/>
  <c r="U32" i="11"/>
  <c r="V15" i="11"/>
  <c r="I4" i="28" s="1"/>
  <c r="A7" i="30"/>
  <c r="C8" i="30"/>
  <c r="AB8" i="30"/>
  <c r="AD9" i="30"/>
  <c r="AE9" i="30" s="1"/>
  <c r="AC7" i="30"/>
  <c r="AC8" i="30" s="1"/>
  <c r="AB7" i="30"/>
  <c r="U34" i="11" l="1"/>
  <c r="H37" i="28" s="1"/>
  <c r="H35" i="28"/>
  <c r="W15" i="11"/>
  <c r="J4" i="28" s="1"/>
  <c r="V32" i="11"/>
  <c r="AB9" i="30"/>
  <c r="AD10" i="30"/>
  <c r="AE10" i="30" s="1"/>
  <c r="AC9" i="30"/>
  <c r="C9" i="30"/>
  <c r="A8" i="30"/>
  <c r="V34" i="11" l="1"/>
  <c r="I37" i="28" s="1"/>
  <c r="I35" i="28"/>
  <c r="X15" i="11"/>
  <c r="K4" i="28" s="1"/>
  <c r="AD11" i="30"/>
  <c r="AE11" i="30" s="1"/>
  <c r="AB10" i="30"/>
  <c r="AC10" i="30"/>
  <c r="C10" i="30"/>
  <c r="A9" i="30"/>
  <c r="X32" i="11" l="1"/>
  <c r="Y15" i="11"/>
  <c r="L4" i="28" s="1"/>
  <c r="C11" i="30"/>
  <c r="A10" i="30"/>
  <c r="AB11" i="30"/>
  <c r="AD12" i="30"/>
  <c r="AE12" i="30" s="1"/>
  <c r="AC11" i="30"/>
  <c r="X34" i="11" l="1"/>
  <c r="K37" i="28" s="1"/>
  <c r="K35" i="28"/>
  <c r="Y32" i="11"/>
  <c r="Z15" i="11"/>
  <c r="M4" i="28" s="1"/>
  <c r="AB12" i="30"/>
  <c r="AD13" i="30"/>
  <c r="AE13" i="30" s="1"/>
  <c r="AC12" i="30"/>
  <c r="C12" i="30"/>
  <c r="A11" i="30"/>
  <c r="Y34" i="11" l="1"/>
  <c r="L37" i="28" s="1"/>
  <c r="L35" i="28"/>
  <c r="Z32" i="11"/>
  <c r="AA15" i="11"/>
  <c r="N4" i="28" s="1"/>
  <c r="C13" i="30"/>
  <c r="A12" i="30"/>
  <c r="AB13" i="30"/>
  <c r="AD14" i="30"/>
  <c r="AE14" i="30" s="1"/>
  <c r="AC13" i="30"/>
  <c r="Z34" i="11" l="1"/>
  <c r="M37" i="28" s="1"/>
  <c r="M35" i="28"/>
  <c r="AA32" i="11"/>
  <c r="AB15" i="11"/>
  <c r="O4" i="28" s="1"/>
  <c r="AD15" i="30"/>
  <c r="AE15" i="30" s="1"/>
  <c r="AB14" i="30"/>
  <c r="AC14" i="30"/>
  <c r="C14" i="30"/>
  <c r="A13" i="30"/>
  <c r="AA34" i="11" l="1"/>
  <c r="N37" i="28" s="1"/>
  <c r="N35" i="28"/>
  <c r="AB32" i="11"/>
  <c r="AC15" i="11"/>
  <c r="P4" i="28" s="1"/>
  <c r="AB15" i="30"/>
  <c r="AD16" i="30"/>
  <c r="AE16" i="30" s="1"/>
  <c r="AC15" i="30"/>
  <c r="C15" i="30"/>
  <c r="A14" i="30"/>
  <c r="AB34" i="11" l="1"/>
  <c r="O37" i="28" s="1"/>
  <c r="O35" i="28"/>
  <c r="AC32" i="11"/>
  <c r="C16" i="30"/>
  <c r="A15" i="30"/>
  <c r="AB16" i="30"/>
  <c r="AD17" i="30"/>
  <c r="AE17" i="30" s="1"/>
  <c r="AC16" i="30"/>
  <c r="AC34" i="11" l="1"/>
  <c r="P37" i="28" s="1"/>
  <c r="P35" i="28"/>
  <c r="AB17" i="30"/>
  <c r="AD18" i="30"/>
  <c r="AE18" i="30" s="1"/>
  <c r="AC17" i="30"/>
  <c r="C17" i="30"/>
  <c r="A16" i="30"/>
  <c r="C18" i="30" l="1"/>
  <c r="A17" i="30"/>
  <c r="AD19" i="30"/>
  <c r="AE19" i="30" s="1"/>
  <c r="AB18" i="30"/>
  <c r="AC18" i="30"/>
  <c r="AB19" i="30" l="1"/>
  <c r="AD20" i="30"/>
  <c r="AE20" i="30" s="1"/>
  <c r="AC19" i="30"/>
  <c r="C19" i="30"/>
  <c r="A18" i="30"/>
  <c r="C20" i="30" l="1"/>
  <c r="A19" i="30"/>
  <c r="AB20" i="30"/>
  <c r="AD21" i="30"/>
  <c r="AE21" i="30" s="1"/>
  <c r="AC20" i="30"/>
  <c r="AB21" i="30" l="1"/>
  <c r="AD22" i="30"/>
  <c r="AE22" i="30" s="1"/>
  <c r="AC21" i="30"/>
  <c r="C21" i="30"/>
  <c r="A20" i="30"/>
  <c r="C22" i="30" l="1"/>
  <c r="A21" i="30"/>
  <c r="AD23" i="30"/>
  <c r="AE23" i="30" s="1"/>
  <c r="AB22" i="30"/>
  <c r="AC22" i="30"/>
  <c r="AB23" i="30" l="1"/>
  <c r="AD24" i="30"/>
  <c r="AE24" i="30" s="1"/>
  <c r="AC23" i="30"/>
  <c r="C23" i="30"/>
  <c r="A22" i="30"/>
  <c r="AB24" i="30" l="1"/>
  <c r="AD25" i="30"/>
  <c r="AE25" i="30" s="1"/>
  <c r="AC24" i="30"/>
  <c r="C24" i="30"/>
  <c r="A23" i="30"/>
  <c r="C25" i="30" l="1"/>
  <c r="A24" i="30"/>
  <c r="AB25" i="30"/>
  <c r="AD26" i="30"/>
  <c r="AE26" i="30" s="1"/>
  <c r="AC25" i="30"/>
  <c r="AD27" i="30" l="1"/>
  <c r="AE27" i="30" s="1"/>
  <c r="AB26" i="30"/>
  <c r="AC26" i="30"/>
  <c r="C26" i="30"/>
  <c r="A25" i="30"/>
  <c r="C27" i="30" l="1"/>
  <c r="A26" i="30"/>
  <c r="AB27" i="30"/>
  <c r="AD28" i="30"/>
  <c r="AE28" i="30" s="1"/>
  <c r="AC27" i="30"/>
  <c r="AD29" i="30" l="1"/>
  <c r="AE29" i="30" s="1"/>
  <c r="AB28" i="30"/>
  <c r="AC28" i="30"/>
  <c r="C28" i="30"/>
  <c r="A27" i="30"/>
  <c r="C29" i="30" l="1"/>
  <c r="A28" i="30"/>
  <c r="AB29" i="30"/>
  <c r="AD30" i="30"/>
  <c r="AE30" i="30" s="1"/>
  <c r="AC29" i="30"/>
  <c r="AB30" i="30" l="1"/>
  <c r="AD31" i="30"/>
  <c r="AE31" i="30" s="1"/>
  <c r="AC30" i="30"/>
  <c r="C30" i="30"/>
  <c r="A29" i="30"/>
  <c r="C31" i="30" l="1"/>
  <c r="A30" i="30"/>
  <c r="AB31" i="30"/>
  <c r="AD32" i="30"/>
  <c r="AE32" i="30" s="1"/>
  <c r="AC31" i="30"/>
  <c r="AD33" i="30" l="1"/>
  <c r="AE33" i="30" s="1"/>
  <c r="AB32" i="30"/>
  <c r="AC32" i="30"/>
  <c r="C32" i="30"/>
  <c r="A31" i="30"/>
  <c r="C33" i="30" l="1"/>
  <c r="A32" i="30"/>
  <c r="AD34" i="30"/>
  <c r="AE34" i="30" s="1"/>
  <c r="AB33" i="30"/>
  <c r="AC33" i="30"/>
  <c r="AD35" i="30" l="1"/>
  <c r="AE35" i="30" s="1"/>
  <c r="AB34" i="30"/>
  <c r="AC34" i="30"/>
  <c r="C34" i="30"/>
  <c r="A33" i="30"/>
  <c r="C35" i="30" l="1"/>
  <c r="A34" i="30"/>
  <c r="AD36" i="30"/>
  <c r="AE36" i="30" s="1"/>
  <c r="AB35" i="30"/>
  <c r="AC35" i="30"/>
  <c r="AD37" i="30" l="1"/>
  <c r="AE37" i="30" s="1"/>
  <c r="AB36" i="30"/>
  <c r="AC36" i="30"/>
  <c r="C36" i="30"/>
  <c r="A35" i="30"/>
  <c r="C37" i="30" l="1"/>
  <c r="A36" i="30"/>
  <c r="AD38" i="30"/>
  <c r="AE38" i="30" s="1"/>
  <c r="AB37" i="30"/>
  <c r="AC37" i="30"/>
  <c r="AB38" i="30" l="1"/>
  <c r="AD39" i="30"/>
  <c r="AE39" i="30" s="1"/>
  <c r="AC38" i="30"/>
  <c r="C38" i="30"/>
  <c r="A37" i="30"/>
  <c r="C39" i="30" l="1"/>
  <c r="A38" i="30"/>
  <c r="AD40" i="30"/>
  <c r="AE40" i="30" s="1"/>
  <c r="AB39" i="30"/>
  <c r="AC39" i="30"/>
  <c r="AD41" i="30" l="1"/>
  <c r="AE41" i="30" s="1"/>
  <c r="AB40" i="30"/>
  <c r="AC40" i="30"/>
  <c r="C40" i="30"/>
  <c r="A39" i="30"/>
  <c r="C41" i="30" l="1"/>
  <c r="A40" i="30"/>
  <c r="AB41" i="30"/>
  <c r="AD42" i="30"/>
  <c r="AE42" i="30" s="1"/>
  <c r="AC41" i="30"/>
  <c r="AD43" i="30" l="1"/>
  <c r="AE43" i="30" s="1"/>
  <c r="AB42" i="30"/>
  <c r="AC42" i="30"/>
  <c r="C42" i="30"/>
  <c r="A41" i="30"/>
  <c r="C43" i="30" l="1"/>
  <c r="A42" i="30"/>
  <c r="AB43" i="30"/>
  <c r="AD44" i="30"/>
  <c r="AE44" i="30" s="1"/>
  <c r="AC43" i="30"/>
  <c r="AD45" i="30" l="1"/>
  <c r="AE45" i="30" s="1"/>
  <c r="AB44" i="30"/>
  <c r="AC44" i="30"/>
  <c r="C44" i="30"/>
  <c r="A43" i="30"/>
  <c r="C45" i="30" l="1"/>
  <c r="A44" i="30"/>
  <c r="AD46" i="30"/>
  <c r="AE46" i="30" s="1"/>
  <c r="AB45" i="30"/>
  <c r="AC45" i="30"/>
  <c r="AB46" i="30" l="1"/>
  <c r="AD47" i="30"/>
  <c r="AE47" i="30" s="1"/>
  <c r="AC46" i="30"/>
  <c r="C46" i="30"/>
  <c r="A45" i="30"/>
  <c r="C47" i="30" l="1"/>
  <c r="A46" i="30"/>
  <c r="AB47" i="30"/>
  <c r="AD48" i="30"/>
  <c r="AE48" i="30" s="1"/>
  <c r="AC47" i="30"/>
  <c r="E29" i="28"/>
  <c r="P28" i="28"/>
  <c r="O28" i="28"/>
  <c r="N28" i="28"/>
  <c r="M28" i="28"/>
  <c r="L28" i="28"/>
  <c r="K28" i="28"/>
  <c r="J28" i="28"/>
  <c r="I28" i="28"/>
  <c r="H28" i="28"/>
  <c r="G28" i="28"/>
  <c r="F28" i="28"/>
  <c r="E28" i="28"/>
  <c r="E26" i="28"/>
  <c r="G25" i="28"/>
  <c r="H25" i="28" s="1"/>
  <c r="I25" i="28" s="1"/>
  <c r="J25" i="28" s="1"/>
  <c r="K25" i="28" s="1"/>
  <c r="L25" i="28" s="1"/>
  <c r="M25" i="28" s="1"/>
  <c r="N25" i="28" s="1"/>
  <c r="O25" i="28" s="1"/>
  <c r="P25" i="28" s="1"/>
  <c r="F25" i="28"/>
  <c r="G24" i="28"/>
  <c r="H24" i="28" s="1"/>
  <c r="I24" i="28" s="1"/>
  <c r="J24" i="28" s="1"/>
  <c r="K24" i="28" s="1"/>
  <c r="L24" i="28" s="1"/>
  <c r="M24" i="28" s="1"/>
  <c r="N24" i="28" s="1"/>
  <c r="O24" i="28" s="1"/>
  <c r="P24" i="28" s="1"/>
  <c r="F24" i="28"/>
  <c r="E24" i="28"/>
  <c r="C18" i="29" s="1"/>
  <c r="G23" i="28"/>
  <c r="H23" i="28" s="1"/>
  <c r="I23" i="28" s="1"/>
  <c r="J23" i="28" s="1"/>
  <c r="K23" i="28" s="1"/>
  <c r="L23" i="28" s="1"/>
  <c r="M23" i="28" s="1"/>
  <c r="N23" i="28" s="1"/>
  <c r="O23" i="28" s="1"/>
  <c r="P23" i="28" s="1"/>
  <c r="F23" i="28"/>
  <c r="E23" i="28"/>
  <c r="G22" i="28"/>
  <c r="H22" i="28" s="1"/>
  <c r="I22" i="28" s="1"/>
  <c r="J22" i="28" s="1"/>
  <c r="K22" i="28" s="1"/>
  <c r="L22" i="28" s="1"/>
  <c r="M22" i="28" s="1"/>
  <c r="N22" i="28" s="1"/>
  <c r="O22" i="28" s="1"/>
  <c r="P22" i="28" s="1"/>
  <c r="F22" i="28"/>
  <c r="E20" i="28"/>
  <c r="E19" i="28"/>
  <c r="G18" i="28"/>
  <c r="H18" i="28" s="1"/>
  <c r="I18" i="28" s="1"/>
  <c r="J18" i="28" s="1"/>
  <c r="K18" i="28" s="1"/>
  <c r="L18" i="28" s="1"/>
  <c r="M18" i="28" s="1"/>
  <c r="N18" i="28" s="1"/>
  <c r="O18" i="28" s="1"/>
  <c r="P18" i="28" s="1"/>
  <c r="F18" i="28"/>
  <c r="E18" i="28"/>
  <c r="G17" i="28"/>
  <c r="H17" i="28" s="1"/>
  <c r="I17" i="28" s="1"/>
  <c r="J17" i="28" s="1"/>
  <c r="K17" i="28" s="1"/>
  <c r="L17" i="28" s="1"/>
  <c r="M17" i="28" s="1"/>
  <c r="N17" i="28" s="1"/>
  <c r="O17" i="28" s="1"/>
  <c r="P17" i="28" s="1"/>
  <c r="F17" i="28"/>
  <c r="E17" i="28"/>
  <c r="E16" i="28"/>
  <c r="E15" i="28"/>
  <c r="E14" i="28"/>
  <c r="F13" i="28"/>
  <c r="E13" i="28"/>
  <c r="F12" i="28"/>
  <c r="E12" i="28"/>
  <c r="F11" i="28"/>
  <c r="E11" i="28"/>
  <c r="E10" i="28"/>
  <c r="E9" i="28"/>
  <c r="E8" i="28"/>
  <c r="E7" i="28"/>
  <c r="E6" i="28"/>
  <c r="E5" i="28"/>
  <c r="G45" i="28"/>
  <c r="L8" i="15"/>
  <c r="D20" i="29"/>
  <c r="C20" i="29"/>
  <c r="C19" i="29"/>
  <c r="C17" i="29"/>
  <c r="C16" i="29"/>
  <c r="D15" i="29"/>
  <c r="C15" i="29"/>
  <c r="C13" i="29"/>
  <c r="C11" i="29"/>
  <c r="C10" i="29"/>
  <c r="C9" i="29"/>
  <c r="C7" i="29"/>
  <c r="D6" i="29"/>
  <c r="C6" i="29"/>
  <c r="C5" i="29"/>
  <c r="C4" i="29"/>
  <c r="D3" i="29"/>
  <c r="M12" i="29"/>
  <c r="L12" i="29"/>
  <c r="K12" i="29"/>
  <c r="J12" i="29"/>
  <c r="I12" i="29"/>
  <c r="H12" i="29"/>
  <c r="G12" i="29"/>
  <c r="F12" i="29"/>
  <c r="E12" i="29"/>
  <c r="V68" i="28"/>
  <c r="V70" i="28"/>
  <c r="I21" i="34"/>
  <c r="V66" i="28"/>
  <c r="F4" i="28"/>
  <c r="H12" i="27"/>
  <c r="G12" i="27"/>
  <c r="Q37" i="27"/>
  <c r="E14" i="27"/>
  <c r="I12" i="27"/>
  <c r="E3" i="29" l="1"/>
  <c r="V67" i="28"/>
  <c r="G15" i="29"/>
  <c r="V69" i="28"/>
  <c r="J15" i="29"/>
  <c r="V72" i="28"/>
  <c r="M3" i="29"/>
  <c r="V75" i="28"/>
  <c r="I15" i="29"/>
  <c r="V71" i="28"/>
  <c r="K15" i="29"/>
  <c r="V73" i="28"/>
  <c r="L15" i="29"/>
  <c r="V74" i="28"/>
  <c r="E15" i="29"/>
  <c r="F3" i="29"/>
  <c r="F15" i="29"/>
  <c r="G3" i="29"/>
  <c r="AD49" i="30"/>
  <c r="AE49" i="30" s="1"/>
  <c r="AB48" i="30"/>
  <c r="AC48" i="30"/>
  <c r="C48" i="30"/>
  <c r="A47" i="30"/>
  <c r="H3" i="29"/>
  <c r="H15" i="29"/>
  <c r="I3" i="29"/>
  <c r="M15" i="29"/>
  <c r="J3" i="29"/>
  <c r="K3" i="29"/>
  <c r="L3" i="29"/>
  <c r="V76" i="28" l="1"/>
  <c r="A48" i="30"/>
  <c r="C49" i="30"/>
  <c r="AD50" i="30"/>
  <c r="AE50" i="30" s="1"/>
  <c r="AB49" i="30"/>
  <c r="AC49" i="30"/>
  <c r="AB50" i="30" l="1"/>
  <c r="AD51" i="30"/>
  <c r="AE51" i="30" s="1"/>
  <c r="AC50" i="30"/>
  <c r="C50" i="30"/>
  <c r="A49" i="30"/>
  <c r="C51" i="30" l="1"/>
  <c r="A50" i="30"/>
  <c r="AB51" i="30"/>
  <c r="AD52" i="30"/>
  <c r="AE52" i="30" s="1"/>
  <c r="AC51" i="30"/>
  <c r="AB52" i="30" l="1"/>
  <c r="AD53" i="30"/>
  <c r="AE53" i="30" s="1"/>
  <c r="AC52" i="30"/>
  <c r="A51" i="30"/>
  <c r="C52" i="30"/>
  <c r="A52" i="30" l="1"/>
  <c r="C53" i="30"/>
  <c r="AB53" i="30"/>
  <c r="AD54" i="30"/>
  <c r="AE54" i="30" s="1"/>
  <c r="AC53" i="30"/>
  <c r="AD55" i="30" l="1"/>
  <c r="AE55" i="30" s="1"/>
  <c r="AB54" i="30"/>
  <c r="AC54" i="30"/>
  <c r="C54" i="30"/>
  <c r="A53" i="30"/>
  <c r="A54" i="30" l="1"/>
  <c r="C55" i="30"/>
  <c r="AD56" i="30"/>
  <c r="AE56" i="30" s="1"/>
  <c r="AB55" i="30"/>
  <c r="AC55" i="30"/>
  <c r="AD57" i="30" l="1"/>
  <c r="AE57" i="30" s="1"/>
  <c r="AB56" i="30"/>
  <c r="AC56" i="30"/>
  <c r="C56" i="30"/>
  <c r="A55" i="30"/>
  <c r="A56" i="30" l="1"/>
  <c r="C57" i="30"/>
  <c r="AB57" i="30"/>
  <c r="AD58" i="30"/>
  <c r="AE58" i="30" s="1"/>
  <c r="AC57" i="30"/>
  <c r="AD59" i="30" l="1"/>
  <c r="AE59" i="30" s="1"/>
  <c r="AB58" i="30"/>
  <c r="AC58" i="30"/>
  <c r="C58" i="30"/>
  <c r="A57" i="30"/>
  <c r="C59" i="30" l="1"/>
  <c r="A58" i="30"/>
  <c r="AD60" i="30"/>
  <c r="AE60" i="30" s="1"/>
  <c r="AB59" i="30"/>
  <c r="AC59" i="30"/>
  <c r="AD61" i="30" l="1"/>
  <c r="AE61" i="30" s="1"/>
  <c r="AB60" i="30"/>
  <c r="AC60" i="30"/>
  <c r="A59" i="30"/>
  <c r="C60" i="30"/>
  <c r="C61" i="30" l="1"/>
  <c r="A60" i="30"/>
  <c r="AD62" i="30"/>
  <c r="AE62" i="30" s="1"/>
  <c r="AB61" i="30"/>
  <c r="AC61" i="30"/>
  <c r="AD63" i="30" l="1"/>
  <c r="AE63" i="30" s="1"/>
  <c r="AB62" i="30"/>
  <c r="AC62" i="30"/>
  <c r="A61" i="30"/>
  <c r="C62" i="30"/>
  <c r="A62" i="30" l="1"/>
  <c r="C63" i="30"/>
  <c r="AB63" i="30"/>
  <c r="AD64" i="30"/>
  <c r="AE64" i="30" s="1"/>
  <c r="AC63" i="30"/>
  <c r="AB64" i="30" l="1"/>
  <c r="AD65" i="30"/>
  <c r="AE65" i="30" s="1"/>
  <c r="AC64" i="30"/>
  <c r="A63" i="30"/>
  <c r="C64" i="30"/>
  <c r="C65" i="30" l="1"/>
  <c r="A64" i="30"/>
  <c r="AB65" i="30"/>
  <c r="AD66" i="30"/>
  <c r="AE66" i="30" s="1"/>
  <c r="AC65" i="30"/>
  <c r="AB66" i="30" l="1"/>
  <c r="AD67" i="30"/>
  <c r="AE67" i="30" s="1"/>
  <c r="AC66" i="30"/>
  <c r="C66" i="30"/>
  <c r="A65" i="30"/>
  <c r="C67" i="30" l="1"/>
  <c r="A66" i="30"/>
  <c r="AD68" i="30"/>
  <c r="AE68" i="30" s="1"/>
  <c r="AB67" i="30"/>
  <c r="AC67" i="30"/>
  <c r="AD69" i="30" l="1"/>
  <c r="AE69" i="30" s="1"/>
  <c r="AB68" i="30"/>
  <c r="AC68" i="30"/>
  <c r="A67" i="30"/>
  <c r="C68" i="30"/>
  <c r="C69" i="30" l="1"/>
  <c r="A68" i="30"/>
  <c r="AB69" i="30"/>
  <c r="AD70" i="30"/>
  <c r="AE70" i="30" s="1"/>
  <c r="AC69" i="30"/>
  <c r="AB70" i="30" l="1"/>
  <c r="AD71" i="30"/>
  <c r="AE71" i="30" s="1"/>
  <c r="AC70" i="30"/>
  <c r="A69" i="30"/>
  <c r="C70" i="30"/>
  <c r="A70" i="30" l="1"/>
  <c r="C71" i="30"/>
  <c r="AB71" i="30"/>
  <c r="AD72" i="30"/>
  <c r="AE72" i="30" s="1"/>
  <c r="AC71" i="30"/>
  <c r="AD73" i="30" l="1"/>
  <c r="AE73" i="30" s="1"/>
  <c r="AB72" i="30"/>
  <c r="AC72" i="30"/>
  <c r="C72" i="30"/>
  <c r="A71" i="30"/>
  <c r="A72" i="30" l="1"/>
  <c r="C73" i="30"/>
  <c r="AD74" i="30"/>
  <c r="AE74" i="30" s="1"/>
  <c r="AB73" i="30"/>
  <c r="AC73" i="30"/>
  <c r="AB74" i="30" l="1"/>
  <c r="AD75" i="30"/>
  <c r="AE75" i="30" s="1"/>
  <c r="AC74" i="30"/>
  <c r="A73" i="30"/>
  <c r="C74" i="30"/>
  <c r="C75" i="30" l="1"/>
  <c r="A74" i="30"/>
  <c r="AD76" i="30"/>
  <c r="AE76" i="30" s="1"/>
  <c r="AB75" i="30"/>
  <c r="AC75" i="30"/>
  <c r="AB76" i="30" l="1"/>
  <c r="AD77" i="30"/>
  <c r="AE77" i="30" s="1"/>
  <c r="AC76" i="30"/>
  <c r="A75" i="30"/>
  <c r="C76" i="30"/>
  <c r="C77" i="30" l="1"/>
  <c r="A76" i="30"/>
  <c r="AB77" i="30"/>
  <c r="AD78" i="30"/>
  <c r="AE78" i="30" s="1"/>
  <c r="AC77" i="30"/>
  <c r="AB78" i="30" l="1"/>
  <c r="AD79" i="30"/>
  <c r="AE79" i="30" s="1"/>
  <c r="AC78" i="30"/>
  <c r="C78" i="30"/>
  <c r="A77" i="30"/>
  <c r="C79" i="30" l="1"/>
  <c r="A78" i="30"/>
  <c r="AD80" i="30"/>
  <c r="AE80" i="30" s="1"/>
  <c r="AB79" i="30"/>
  <c r="AC79" i="30"/>
  <c r="AB80" i="30" l="1"/>
  <c r="AD81" i="30"/>
  <c r="AE81" i="30" s="1"/>
  <c r="AC80" i="30"/>
  <c r="C80" i="30"/>
  <c r="A79" i="30"/>
  <c r="A80" i="30" l="1"/>
  <c r="C81" i="30"/>
  <c r="AD82" i="30"/>
  <c r="AE82" i="30" s="1"/>
  <c r="AB81" i="30"/>
  <c r="AC81" i="30"/>
  <c r="AB82" i="30" l="1"/>
  <c r="AD83" i="30"/>
  <c r="AE83" i="30" s="1"/>
  <c r="AC82" i="30"/>
  <c r="C82" i="30"/>
  <c r="A81" i="30"/>
  <c r="C83" i="30" l="1"/>
  <c r="A82" i="30"/>
  <c r="AB83" i="30"/>
  <c r="AD84" i="30"/>
  <c r="AE84" i="30" s="1"/>
  <c r="AC83" i="30"/>
  <c r="AD85" i="30" l="1"/>
  <c r="AE85" i="30" s="1"/>
  <c r="AB84" i="30"/>
  <c r="AC84" i="30"/>
  <c r="C84" i="30"/>
  <c r="A83" i="30"/>
  <c r="C85" i="30" l="1"/>
  <c r="A84" i="30"/>
  <c r="AD86" i="30"/>
  <c r="AE86" i="30" s="1"/>
  <c r="AB85" i="30"/>
  <c r="AC85" i="30"/>
  <c r="AB86" i="30" l="1"/>
  <c r="AD87" i="30"/>
  <c r="AE87" i="30" s="1"/>
  <c r="AC86" i="30"/>
  <c r="A85" i="30"/>
  <c r="C86" i="30"/>
  <c r="A86" i="30" l="1"/>
  <c r="C87" i="30"/>
  <c r="AD88" i="30"/>
  <c r="AE88" i="30" s="1"/>
  <c r="AB87" i="30"/>
  <c r="AC87" i="30"/>
  <c r="AB88" i="30" l="1"/>
  <c r="AD89" i="30"/>
  <c r="AE89" i="30" s="1"/>
  <c r="AC88" i="30"/>
  <c r="C88" i="30"/>
  <c r="A87" i="30"/>
  <c r="C89" i="30" l="1"/>
  <c r="A88" i="30"/>
  <c r="AD90" i="30"/>
  <c r="AE90" i="30" s="1"/>
  <c r="AB89" i="30"/>
  <c r="AC89" i="30"/>
  <c r="AB90" i="30" l="1"/>
  <c r="AD91" i="30"/>
  <c r="AE91" i="30" s="1"/>
  <c r="AC90" i="30"/>
  <c r="A89" i="30"/>
  <c r="C90" i="30"/>
  <c r="A90" i="30" l="1"/>
  <c r="C91" i="30"/>
  <c r="AD92" i="30"/>
  <c r="AE92" i="30" s="1"/>
  <c r="AB91" i="30"/>
  <c r="AC91" i="30"/>
  <c r="AD93" i="30" l="1"/>
  <c r="AE93" i="30" s="1"/>
  <c r="AB92" i="30"/>
  <c r="AC92" i="30"/>
  <c r="C92" i="30"/>
  <c r="A91" i="30"/>
  <c r="C93" i="30" l="1"/>
  <c r="A92" i="30"/>
  <c r="AB93" i="30"/>
  <c r="AD94" i="30"/>
  <c r="AE94" i="30" s="1"/>
  <c r="AC93" i="30"/>
  <c r="AD95" i="30" l="1"/>
  <c r="AE95" i="30" s="1"/>
  <c r="AB94" i="30"/>
  <c r="AC94" i="30"/>
  <c r="A93" i="30"/>
  <c r="C94" i="30"/>
  <c r="A94" i="30" l="1"/>
  <c r="C95" i="30"/>
  <c r="AD96" i="30"/>
  <c r="AE96" i="30" s="1"/>
  <c r="AB95" i="30"/>
  <c r="AC95" i="30"/>
  <c r="AD97" i="30" l="1"/>
  <c r="AE97" i="30" s="1"/>
  <c r="AB96" i="30"/>
  <c r="AC96" i="30"/>
  <c r="C96" i="30"/>
  <c r="A95" i="30"/>
  <c r="A96" i="30" l="1"/>
  <c r="C97" i="30"/>
  <c r="AB97" i="30"/>
  <c r="AD98" i="30"/>
  <c r="AE98" i="30" s="1"/>
  <c r="AC97" i="30"/>
  <c r="AD99" i="30" l="1"/>
  <c r="AE99" i="30" s="1"/>
  <c r="AB98" i="30"/>
  <c r="AC98" i="30"/>
  <c r="A97" i="30"/>
  <c r="C98" i="30"/>
  <c r="C99" i="30" l="1"/>
  <c r="A98" i="30"/>
  <c r="AB99" i="30"/>
  <c r="AD100" i="30"/>
  <c r="AE100" i="30" s="1"/>
  <c r="AC99" i="30"/>
  <c r="AD101" i="30" l="1"/>
  <c r="AE101" i="30" s="1"/>
  <c r="AB100" i="30"/>
  <c r="AC100" i="30"/>
  <c r="A99" i="30"/>
  <c r="C100" i="30"/>
  <c r="C101" i="30" l="1"/>
  <c r="A100" i="30"/>
  <c r="AB101" i="30"/>
  <c r="AD102" i="30"/>
  <c r="AE102" i="30" s="1"/>
  <c r="AC101" i="30"/>
  <c r="AD103" i="30" l="1"/>
  <c r="AE103" i="30" s="1"/>
  <c r="AB102" i="30"/>
  <c r="AC102" i="30"/>
  <c r="C102" i="30"/>
  <c r="A101" i="30"/>
  <c r="A102" i="30" l="1"/>
  <c r="C103" i="30"/>
  <c r="AB103" i="30"/>
  <c r="AD104" i="30"/>
  <c r="AE104" i="30" s="1"/>
  <c r="AC103" i="30"/>
  <c r="C104" i="30" l="1"/>
  <c r="A103" i="30"/>
  <c r="AD105" i="30"/>
  <c r="AE105" i="30" s="1"/>
  <c r="AB104" i="30"/>
  <c r="AC104" i="30"/>
  <c r="AD106" i="30" l="1"/>
  <c r="AE106" i="30" s="1"/>
  <c r="AB105" i="30"/>
  <c r="AC105" i="30"/>
  <c r="C105" i="30"/>
  <c r="A104" i="30"/>
  <c r="A105" i="30" l="1"/>
  <c r="C106" i="30"/>
  <c r="AB106" i="30"/>
  <c r="AD107" i="30"/>
  <c r="AE107" i="30" s="1"/>
  <c r="AC106" i="30"/>
  <c r="AD108" i="30" l="1"/>
  <c r="AE108" i="30" s="1"/>
  <c r="AB107" i="30"/>
  <c r="AC107" i="30"/>
  <c r="C107" i="30"/>
  <c r="A106" i="30"/>
  <c r="A107" i="30" l="1"/>
  <c r="C108" i="30"/>
  <c r="AD109" i="30"/>
  <c r="AE109" i="30" s="1"/>
  <c r="AB108" i="30"/>
  <c r="AC108" i="30"/>
  <c r="AD110" i="30" l="1"/>
  <c r="AE110" i="30" s="1"/>
  <c r="AB109" i="30"/>
  <c r="AC109" i="30"/>
  <c r="A108" i="30"/>
  <c r="C109" i="30"/>
  <c r="C110" i="30" l="1"/>
  <c r="A109" i="30"/>
  <c r="AB110" i="30"/>
  <c r="AD111" i="30"/>
  <c r="AE111" i="30" s="1"/>
  <c r="AC110" i="30"/>
  <c r="AD112" i="30" l="1"/>
  <c r="AE112" i="30" s="1"/>
  <c r="AB111" i="30"/>
  <c r="AC111" i="30"/>
  <c r="A110" i="30"/>
  <c r="C111" i="30"/>
  <c r="C112" i="30" l="1"/>
  <c r="A111" i="30"/>
  <c r="AD113" i="30"/>
  <c r="AE113" i="30" s="1"/>
  <c r="AB112" i="30"/>
  <c r="AC112" i="30"/>
  <c r="AD114" i="30" l="1"/>
  <c r="AE114" i="30" s="1"/>
  <c r="AB113" i="30"/>
  <c r="AC113" i="30"/>
  <c r="C113" i="30"/>
  <c r="A112" i="30"/>
  <c r="A113" i="30" l="1"/>
  <c r="C114" i="30"/>
  <c r="AB114" i="30"/>
  <c r="AD115" i="30"/>
  <c r="AE115" i="30" s="1"/>
  <c r="AC114" i="30"/>
  <c r="AD116" i="30" l="1"/>
  <c r="AE116" i="30" s="1"/>
  <c r="AB115" i="30"/>
  <c r="AC115" i="30"/>
  <c r="C115" i="30"/>
  <c r="A114" i="30"/>
  <c r="C116" i="30" l="1"/>
  <c r="A115" i="30"/>
  <c r="AD117" i="30"/>
  <c r="AE117" i="30" s="1"/>
  <c r="AB116" i="30"/>
  <c r="AC116" i="30"/>
  <c r="AD118" i="30" l="1"/>
  <c r="AE118" i="30" s="1"/>
  <c r="AB117" i="30"/>
  <c r="AC117" i="30"/>
  <c r="C117" i="30"/>
  <c r="A116" i="30"/>
  <c r="C118" i="30" l="1"/>
  <c r="A117" i="30"/>
  <c r="AD119" i="30"/>
  <c r="AE119" i="30" s="1"/>
  <c r="AB118" i="30"/>
  <c r="AC118" i="30"/>
  <c r="AB119" i="30" l="1"/>
  <c r="AD120" i="30"/>
  <c r="AE120" i="30" s="1"/>
  <c r="AC119" i="30"/>
  <c r="A118" i="30"/>
  <c r="C119" i="30"/>
  <c r="C120" i="30" l="1"/>
  <c r="A119" i="30"/>
  <c r="AD121" i="30"/>
  <c r="AE121" i="30" s="1"/>
  <c r="AB120" i="30"/>
  <c r="AC120" i="30"/>
  <c r="AB121" i="30" l="1"/>
  <c r="AD122" i="30"/>
  <c r="AE122" i="30" s="1"/>
  <c r="AC121" i="30"/>
  <c r="C121" i="30"/>
  <c r="A120" i="30"/>
  <c r="C122" i="30" l="1"/>
  <c r="A121" i="30"/>
  <c r="AD123" i="30"/>
  <c r="AE123" i="30" s="1"/>
  <c r="AB122" i="30"/>
  <c r="AC122" i="30"/>
  <c r="AB123" i="30" l="1"/>
  <c r="AD124" i="30"/>
  <c r="AE124" i="30" s="1"/>
  <c r="AC123" i="30"/>
  <c r="C123" i="30"/>
  <c r="A122" i="30"/>
  <c r="A123" i="30" l="1"/>
  <c r="C124" i="30"/>
  <c r="AD125" i="30"/>
  <c r="AE125" i="30" s="1"/>
  <c r="AB124" i="30"/>
  <c r="AC124" i="30"/>
  <c r="AB125" i="30" l="1"/>
  <c r="AD126" i="30"/>
  <c r="AE126" i="30" s="1"/>
  <c r="AC125" i="30"/>
  <c r="C125" i="30"/>
  <c r="A124" i="30"/>
  <c r="C126" i="30" l="1"/>
  <c r="A125" i="30"/>
  <c r="AD127" i="30"/>
  <c r="AE127" i="30" s="1"/>
  <c r="AB126" i="30"/>
  <c r="AC126" i="30"/>
  <c r="AB127" i="30" l="1"/>
  <c r="AD128" i="30"/>
  <c r="AE128" i="30" s="1"/>
  <c r="AC127" i="30"/>
  <c r="A126" i="30"/>
  <c r="C127" i="30"/>
  <c r="C128" i="30" l="1"/>
  <c r="A127" i="30"/>
  <c r="AB128" i="30"/>
  <c r="AD129" i="30"/>
  <c r="AE129" i="30" s="1"/>
  <c r="AC128" i="30"/>
  <c r="AD130" i="30" l="1"/>
  <c r="AE130" i="30" s="1"/>
  <c r="AB129" i="30"/>
  <c r="AC129" i="30"/>
  <c r="A128" i="30"/>
  <c r="C129" i="30"/>
  <c r="A129" i="30" l="1"/>
  <c r="C130" i="30"/>
  <c r="AD131" i="30"/>
  <c r="AE131" i="30" s="1"/>
  <c r="AB130" i="30"/>
  <c r="AC130" i="30"/>
  <c r="AD132" i="30" l="1"/>
  <c r="AE132" i="30" s="1"/>
  <c r="AB131" i="30"/>
  <c r="AC131" i="30"/>
  <c r="C131" i="30"/>
  <c r="A130" i="30"/>
  <c r="A131" i="30" l="1"/>
  <c r="C132" i="30"/>
  <c r="AD133" i="30"/>
  <c r="AE133" i="30" s="1"/>
  <c r="AB132" i="30"/>
  <c r="AC132" i="30"/>
  <c r="AB133" i="30" l="1"/>
  <c r="AD134" i="30"/>
  <c r="AE134" i="30" s="1"/>
  <c r="AC133" i="30"/>
  <c r="C133" i="30"/>
  <c r="A132" i="30"/>
  <c r="C134" i="30" l="1"/>
  <c r="A133" i="30"/>
  <c r="AD135" i="30"/>
  <c r="AE135" i="30" s="1"/>
  <c r="AB134" i="30"/>
  <c r="AC134" i="30"/>
  <c r="AD136" i="30" l="1"/>
  <c r="AE136" i="30" s="1"/>
  <c r="AB135" i="30"/>
  <c r="AC135" i="30"/>
  <c r="A134" i="30"/>
  <c r="C135" i="30"/>
  <c r="C136" i="30" l="1"/>
  <c r="A135" i="30"/>
  <c r="AD137" i="30"/>
  <c r="AE137" i="30" s="1"/>
  <c r="AB136" i="30"/>
  <c r="AC136" i="30"/>
  <c r="AB137" i="30" l="1"/>
  <c r="AD138" i="30"/>
  <c r="AE138" i="30" s="1"/>
  <c r="AC137" i="30"/>
  <c r="C137" i="30"/>
  <c r="A136" i="30"/>
  <c r="A137" i="30" l="1"/>
  <c r="C138" i="30"/>
  <c r="AB138" i="30"/>
  <c r="AD139" i="30"/>
  <c r="AE139" i="30" s="1"/>
  <c r="AC138" i="30"/>
  <c r="C139" i="30" l="1"/>
  <c r="A138" i="30"/>
  <c r="AD140" i="30"/>
  <c r="AE140" i="30" s="1"/>
  <c r="AB139" i="30"/>
  <c r="AC139" i="30"/>
  <c r="AB140" i="30" l="1"/>
  <c r="AD141" i="30"/>
  <c r="AE141" i="30" s="1"/>
  <c r="AC140" i="30"/>
  <c r="C140" i="30"/>
  <c r="A139" i="30"/>
  <c r="A140" i="30" l="1"/>
  <c r="C141" i="30"/>
  <c r="AB141" i="30"/>
  <c r="AD142" i="30"/>
  <c r="AE142" i="30" s="1"/>
  <c r="AC141" i="30"/>
  <c r="AD143" i="30" l="1"/>
  <c r="AE143" i="30" s="1"/>
  <c r="AB142" i="30"/>
  <c r="AC142" i="30"/>
  <c r="C142" i="30"/>
  <c r="A141" i="30"/>
  <c r="A142" i="30" l="1"/>
  <c r="C143" i="30"/>
  <c r="AB143" i="30"/>
  <c r="AD144" i="30"/>
  <c r="AE144" i="30" s="1"/>
  <c r="AC143" i="30"/>
  <c r="C144" i="30" l="1"/>
  <c r="A143" i="30"/>
  <c r="AB144" i="30"/>
  <c r="AD145" i="30"/>
  <c r="AE145" i="30" s="1"/>
  <c r="AC144" i="30"/>
  <c r="AD146" i="30" l="1"/>
  <c r="AE146" i="30" s="1"/>
  <c r="AB145" i="30"/>
  <c r="AC145" i="30"/>
  <c r="A144" i="30"/>
  <c r="C145" i="30"/>
  <c r="A145" i="30" l="1"/>
  <c r="C146" i="30"/>
  <c r="AB146" i="30"/>
  <c r="AD147" i="30"/>
  <c r="AE147" i="30" s="1"/>
  <c r="AC146" i="30"/>
  <c r="AB147" i="30" l="1"/>
  <c r="AD148" i="30"/>
  <c r="AE148" i="30" s="1"/>
  <c r="AC147" i="30"/>
  <c r="A146" i="30"/>
  <c r="C147" i="30"/>
  <c r="AB148" i="30" l="1"/>
  <c r="AD149" i="30"/>
  <c r="AE149" i="30" s="1"/>
  <c r="AC148" i="30"/>
  <c r="C148" i="30"/>
  <c r="A147" i="30"/>
  <c r="A148" i="30" l="1"/>
  <c r="C149" i="30"/>
  <c r="AB149" i="30"/>
  <c r="AD150" i="30"/>
  <c r="AE150" i="30" s="1"/>
  <c r="AC149" i="30"/>
  <c r="AD151" i="30" l="1"/>
  <c r="AE151" i="30" s="1"/>
  <c r="AB150" i="30"/>
  <c r="AC150" i="30"/>
  <c r="A149" i="30"/>
  <c r="C150" i="30"/>
  <c r="A150" i="30" l="1"/>
  <c r="C151" i="30"/>
  <c r="AD152" i="30"/>
  <c r="AE152" i="30" s="1"/>
  <c r="AB151" i="30"/>
  <c r="AC151" i="30"/>
  <c r="AB152" i="30" l="1"/>
  <c r="AD153" i="30"/>
  <c r="AE153" i="30" s="1"/>
  <c r="AC152" i="30"/>
  <c r="C152" i="30"/>
  <c r="A151" i="30"/>
  <c r="C153" i="30" l="1"/>
  <c r="A152" i="30"/>
  <c r="AB153" i="30"/>
  <c r="AD154" i="30"/>
  <c r="AE154" i="30" s="1"/>
  <c r="AC153" i="30"/>
  <c r="AB154" i="30" l="1"/>
  <c r="AD155" i="30"/>
  <c r="AE155" i="30" s="1"/>
  <c r="AC154" i="30"/>
  <c r="A153" i="30"/>
  <c r="C154" i="30"/>
  <c r="C155" i="30" l="1"/>
  <c r="A154" i="30"/>
  <c r="AD156" i="30"/>
  <c r="AE156" i="30" s="1"/>
  <c r="AB155" i="30"/>
  <c r="AC155" i="30"/>
  <c r="AD157" i="30" l="1"/>
  <c r="AE157" i="30" s="1"/>
  <c r="AB156" i="30"/>
  <c r="AC156" i="30"/>
  <c r="A155" i="30"/>
  <c r="C156" i="30"/>
  <c r="C157" i="30" l="1"/>
  <c r="A156" i="30"/>
  <c r="AB157" i="30"/>
  <c r="AD158" i="30"/>
  <c r="AE158" i="30" s="1"/>
  <c r="AC157" i="30"/>
  <c r="C158" i="30" l="1"/>
  <c r="A157" i="30"/>
  <c r="AD159" i="30"/>
  <c r="AE159" i="30" s="1"/>
  <c r="AB158" i="30"/>
  <c r="AC158" i="30"/>
  <c r="AD160" i="30" l="1"/>
  <c r="AE160" i="30" s="1"/>
  <c r="AB159" i="30"/>
  <c r="AC159" i="30"/>
  <c r="C159" i="30"/>
  <c r="A158" i="30"/>
  <c r="A159" i="30" l="1"/>
  <c r="C160" i="30"/>
  <c r="AB160" i="30"/>
  <c r="AD161" i="30"/>
  <c r="AE161" i="30" s="1"/>
  <c r="AC160" i="30"/>
  <c r="AD162" i="30" l="1"/>
  <c r="AE162" i="30" s="1"/>
  <c r="AB161" i="30"/>
  <c r="AC161" i="30"/>
  <c r="A160" i="30"/>
  <c r="C161" i="30"/>
  <c r="A161" i="30" l="1"/>
  <c r="C162" i="30"/>
  <c r="AD163" i="30"/>
  <c r="AE163" i="30" s="1"/>
  <c r="AB162" i="30"/>
  <c r="AC162" i="30"/>
  <c r="AD164" i="30" l="1"/>
  <c r="AE164" i="30" s="1"/>
  <c r="AB163" i="30"/>
  <c r="AC163" i="30"/>
  <c r="A162" i="30"/>
  <c r="C163" i="30"/>
  <c r="A163" i="30" l="1"/>
  <c r="C164" i="30"/>
  <c r="AD165" i="30"/>
  <c r="AE165" i="30" s="1"/>
  <c r="AB164" i="30"/>
  <c r="AC164" i="30"/>
  <c r="AD166" i="30" l="1"/>
  <c r="AE166" i="30" s="1"/>
  <c r="AB165" i="30"/>
  <c r="AC165" i="30"/>
  <c r="C165" i="30"/>
  <c r="A164" i="30"/>
  <c r="C166" i="30" l="1"/>
  <c r="A165" i="30"/>
  <c r="AD167" i="30"/>
  <c r="AE167" i="30" s="1"/>
  <c r="AB166" i="30"/>
  <c r="AC166" i="30"/>
  <c r="AD168" i="30" l="1"/>
  <c r="AE168" i="30" s="1"/>
  <c r="AB167" i="30"/>
  <c r="AC167" i="30"/>
  <c r="C167" i="30"/>
  <c r="A166" i="30"/>
  <c r="C168" i="30" l="1"/>
  <c r="A167" i="30"/>
  <c r="AB168" i="30"/>
  <c r="AD169" i="30"/>
  <c r="AE169" i="30" s="1"/>
  <c r="AC168" i="30"/>
  <c r="AD170" i="30" l="1"/>
  <c r="AE170" i="30" s="1"/>
  <c r="AB169" i="30"/>
  <c r="AC169" i="30"/>
  <c r="C169" i="30"/>
  <c r="A168" i="30"/>
  <c r="A169" i="30" l="1"/>
  <c r="C170" i="30"/>
  <c r="AD171" i="30"/>
  <c r="AE171" i="30" s="1"/>
  <c r="AB170" i="30"/>
  <c r="AC170" i="30"/>
  <c r="AD172" i="30" l="1"/>
  <c r="AE172" i="30" s="1"/>
  <c r="AB171" i="30"/>
  <c r="AC171" i="30"/>
  <c r="A170" i="30"/>
  <c r="C171" i="30"/>
  <c r="C172" i="30" l="1"/>
  <c r="A171" i="30"/>
  <c r="AB172" i="30"/>
  <c r="AD173" i="30"/>
  <c r="AE173" i="30" s="1"/>
  <c r="AC172" i="30"/>
  <c r="AD174" i="30" l="1"/>
  <c r="AE174" i="30" s="1"/>
  <c r="AB173" i="30"/>
  <c r="AC173" i="30"/>
  <c r="C173" i="30"/>
  <c r="A172" i="30"/>
  <c r="C174" i="30" l="1"/>
  <c r="A173" i="30"/>
  <c r="AD175" i="30"/>
  <c r="AE175" i="30" s="1"/>
  <c r="AB174" i="30"/>
  <c r="AC174" i="30"/>
  <c r="AD176" i="30" l="1"/>
  <c r="AE176" i="30" s="1"/>
  <c r="AB175" i="30"/>
  <c r="AC175" i="30"/>
  <c r="A174" i="30"/>
  <c r="C175" i="30"/>
  <c r="A175" i="30" l="1"/>
  <c r="C176" i="30"/>
  <c r="AB176" i="30"/>
  <c r="AD177" i="30"/>
  <c r="AE177" i="30" s="1"/>
  <c r="AC176" i="30"/>
  <c r="C177" i="30" l="1"/>
  <c r="A176" i="30"/>
  <c r="AD178" i="30"/>
  <c r="AE178" i="30" s="1"/>
  <c r="AB177" i="30"/>
  <c r="AC177" i="30"/>
  <c r="AD179" i="30" l="1"/>
  <c r="AE179" i="30" s="1"/>
  <c r="AB178" i="30"/>
  <c r="AC178" i="30"/>
  <c r="A177" i="30"/>
  <c r="C178" i="30"/>
  <c r="C179" i="30" l="1"/>
  <c r="A178" i="30"/>
  <c r="AB179" i="30"/>
  <c r="AD180" i="30"/>
  <c r="AE180" i="30" s="1"/>
  <c r="AC179" i="30"/>
  <c r="AD181" i="30" l="1"/>
  <c r="AE181" i="30" s="1"/>
  <c r="AB180" i="30"/>
  <c r="AC180" i="30"/>
  <c r="C180" i="30"/>
  <c r="A179" i="30"/>
  <c r="A180" i="30" l="1"/>
  <c r="C181" i="30"/>
  <c r="AB181" i="30"/>
  <c r="AD182" i="30"/>
  <c r="AE182" i="30" s="1"/>
  <c r="AC181" i="30"/>
  <c r="AB182" i="30" l="1"/>
  <c r="AD183" i="30"/>
  <c r="AE183" i="30" s="1"/>
  <c r="AC182" i="30"/>
  <c r="A181" i="30"/>
  <c r="C182" i="30"/>
  <c r="A182" i="30" l="1"/>
  <c r="C183" i="30"/>
  <c r="AD184" i="30"/>
  <c r="AE184" i="30" s="1"/>
  <c r="AB183" i="30"/>
  <c r="AC183" i="30"/>
  <c r="AD185" i="30" l="1"/>
  <c r="AE185" i="30" s="1"/>
  <c r="AB184" i="30"/>
  <c r="AC184" i="30"/>
  <c r="A183" i="30"/>
  <c r="C184" i="30"/>
  <c r="A184" i="30" l="1"/>
  <c r="C185" i="30"/>
  <c r="AD186" i="30"/>
  <c r="AE186" i="30" s="1"/>
  <c r="AB185" i="30"/>
  <c r="AC185" i="30"/>
  <c r="AD187" i="30" l="1"/>
  <c r="AE187" i="30" s="1"/>
  <c r="AB186" i="30"/>
  <c r="AC186" i="30"/>
  <c r="C186" i="30"/>
  <c r="A185" i="30"/>
  <c r="C187" i="30" l="1"/>
  <c r="A186" i="30"/>
  <c r="AD188" i="30"/>
  <c r="AE188" i="30" s="1"/>
  <c r="AB187" i="30"/>
  <c r="AC187" i="30"/>
  <c r="AB188" i="30" l="1"/>
  <c r="AD189" i="30"/>
  <c r="AE189" i="30" s="1"/>
  <c r="AC188" i="30"/>
  <c r="C188" i="30"/>
  <c r="A187" i="30"/>
  <c r="A188" i="30" l="1"/>
  <c r="C189" i="30"/>
  <c r="AD190" i="30"/>
  <c r="AE190" i="30" s="1"/>
  <c r="AB189" i="30"/>
  <c r="AC189" i="30"/>
  <c r="AD191" i="30" l="1"/>
  <c r="AE191" i="30" s="1"/>
  <c r="AB190" i="30"/>
  <c r="AC190" i="30"/>
  <c r="C190" i="30"/>
  <c r="A189" i="30"/>
  <c r="AD192" i="30" l="1"/>
  <c r="AE192" i="30" s="1"/>
  <c r="AB191" i="30"/>
  <c r="AC191" i="30"/>
  <c r="C191" i="30"/>
  <c r="A190" i="30"/>
  <c r="A191" i="30" l="1"/>
  <c r="C192" i="30"/>
  <c r="AD193" i="30"/>
  <c r="AE193" i="30" s="1"/>
  <c r="AB192" i="30"/>
  <c r="AC192" i="30"/>
  <c r="AD194" i="30" l="1"/>
  <c r="AE194" i="30" s="1"/>
  <c r="AB193" i="30"/>
  <c r="AC193" i="30"/>
  <c r="C193" i="30"/>
  <c r="A192" i="30"/>
  <c r="C194" i="30" l="1"/>
  <c r="A193" i="30"/>
  <c r="AD195" i="30"/>
  <c r="AE195" i="30" s="1"/>
  <c r="AB194" i="30"/>
  <c r="AC194" i="30"/>
  <c r="C195" i="30" l="1"/>
  <c r="A194" i="30"/>
  <c r="AD196" i="30"/>
  <c r="AE196" i="30" s="1"/>
  <c r="AB195" i="30"/>
  <c r="AC195" i="30"/>
  <c r="AD197" i="30" l="1"/>
  <c r="AE197" i="30" s="1"/>
  <c r="AB196" i="30"/>
  <c r="AC196" i="30"/>
  <c r="A195" i="30"/>
  <c r="C196" i="30"/>
  <c r="C197" i="30" l="1"/>
  <c r="A196" i="30"/>
  <c r="AB197" i="30"/>
  <c r="AD198" i="30"/>
  <c r="AE198" i="30" s="1"/>
  <c r="AC197" i="30"/>
  <c r="A197" i="30" l="1"/>
  <c r="C198" i="30"/>
  <c r="AB198" i="30"/>
  <c r="AD199" i="30"/>
  <c r="AE199" i="30" s="1"/>
  <c r="AC198" i="30"/>
  <c r="AB199" i="30" l="1"/>
  <c r="AD200" i="30"/>
  <c r="AE200" i="30" s="1"/>
  <c r="AC199" i="30"/>
  <c r="A198" i="30"/>
  <c r="C199" i="30"/>
  <c r="A199" i="30" l="1"/>
  <c r="C200" i="30"/>
  <c r="AD201" i="30"/>
  <c r="AE201" i="30" s="1"/>
  <c r="AB200" i="30"/>
  <c r="AC200" i="30"/>
  <c r="AB201" i="30" l="1"/>
  <c r="AD202" i="30"/>
  <c r="AE202" i="30" s="1"/>
  <c r="AC201" i="30"/>
  <c r="C201" i="30"/>
  <c r="A200" i="30"/>
  <c r="A201" i="30" l="1"/>
  <c r="C202" i="30"/>
  <c r="AD203" i="30"/>
  <c r="AE203" i="30" s="1"/>
  <c r="AB202" i="30"/>
  <c r="AC202" i="30"/>
  <c r="AB203" i="30" l="1"/>
  <c r="AD204" i="30"/>
  <c r="AE204" i="30" s="1"/>
  <c r="AC203" i="30"/>
  <c r="A202" i="30"/>
  <c r="C203" i="30"/>
  <c r="AD205" i="30" l="1"/>
  <c r="AE205" i="30" s="1"/>
  <c r="AB204" i="30"/>
  <c r="AC204" i="30"/>
  <c r="C204" i="30"/>
  <c r="A203" i="30"/>
  <c r="C205" i="30" l="1"/>
  <c r="A204" i="30"/>
  <c r="AD206" i="30"/>
  <c r="AE206" i="30" s="1"/>
  <c r="AB205" i="30"/>
  <c r="AC205" i="30"/>
  <c r="AB206" i="30" l="1"/>
  <c r="AD207" i="30"/>
  <c r="AE207" i="30" s="1"/>
  <c r="AC206" i="30"/>
  <c r="A205" i="30"/>
  <c r="C206" i="30"/>
  <c r="A206" i="30" l="1"/>
  <c r="C207" i="30"/>
  <c r="AD208" i="30"/>
  <c r="AE208" i="30" s="1"/>
  <c r="AB207" i="30"/>
  <c r="AC207" i="30"/>
  <c r="AB208" i="30" l="1"/>
  <c r="AD209" i="30"/>
  <c r="AE209" i="30" s="1"/>
  <c r="AC208" i="30"/>
  <c r="A207" i="30"/>
  <c r="C208" i="30"/>
  <c r="A208" i="30" l="1"/>
  <c r="C209" i="30"/>
  <c r="AD210" i="30"/>
  <c r="AE210" i="30" s="1"/>
  <c r="AB209" i="30"/>
  <c r="AC209" i="30"/>
  <c r="AD211" i="30" l="1"/>
  <c r="AE211" i="30" s="1"/>
  <c r="AB210" i="30"/>
  <c r="AC210" i="30"/>
  <c r="A209" i="30"/>
  <c r="C210" i="30"/>
  <c r="C211" i="30" l="1"/>
  <c r="A210" i="30"/>
  <c r="AD212" i="30"/>
  <c r="AE212" i="30" s="1"/>
  <c r="AB211" i="30"/>
  <c r="AC211" i="30"/>
  <c r="AD213" i="30" l="1"/>
  <c r="AE213" i="30" s="1"/>
  <c r="AB212" i="30"/>
  <c r="AC212" i="30"/>
  <c r="C212" i="30"/>
  <c r="A211" i="30"/>
  <c r="A212" i="30" l="1"/>
  <c r="C213" i="30"/>
  <c r="AB213" i="30"/>
  <c r="AD214" i="30"/>
  <c r="AE214" i="30" s="1"/>
  <c r="AC213" i="30"/>
  <c r="AD215" i="30" l="1"/>
  <c r="AE215" i="30" s="1"/>
  <c r="AB214" i="30"/>
  <c r="AC214" i="30"/>
  <c r="C214" i="30"/>
  <c r="A213" i="30"/>
  <c r="A214" i="30" l="1"/>
  <c r="C215" i="30"/>
  <c r="AB215" i="30"/>
  <c r="AD216" i="30"/>
  <c r="AE216" i="30" s="1"/>
  <c r="AC215" i="30"/>
  <c r="C216" i="30" l="1"/>
  <c r="A215" i="30"/>
  <c r="AB216" i="30"/>
  <c r="AD217" i="30"/>
  <c r="AE217" i="30" s="1"/>
  <c r="AC216" i="30"/>
  <c r="A216" i="30" l="1"/>
  <c r="C217" i="30"/>
  <c r="AD218" i="30"/>
  <c r="AE218" i="30" s="1"/>
  <c r="AB217" i="30"/>
  <c r="AC217" i="30"/>
  <c r="AB218" i="30" l="1"/>
  <c r="AD219" i="30"/>
  <c r="AE219" i="30" s="1"/>
  <c r="AC218" i="30"/>
  <c r="A217" i="30"/>
  <c r="C218" i="30"/>
  <c r="AD220" i="30" l="1"/>
  <c r="AE220" i="30" s="1"/>
  <c r="AB219" i="30"/>
  <c r="AC219" i="30"/>
  <c r="A218" i="30"/>
  <c r="C219" i="30"/>
  <c r="C220" i="30" l="1"/>
  <c r="A219" i="30"/>
  <c r="AD221" i="30"/>
  <c r="AE221" i="30" s="1"/>
  <c r="AB220" i="30"/>
  <c r="AC220" i="30"/>
  <c r="AB221" i="30" l="1"/>
  <c r="AD222" i="30"/>
  <c r="AE222" i="30" s="1"/>
  <c r="AC221" i="30"/>
  <c r="C221" i="30"/>
  <c r="A220" i="30"/>
  <c r="C222" i="30" l="1"/>
  <c r="A221" i="30"/>
  <c r="AD223" i="30"/>
  <c r="AE223" i="30" s="1"/>
  <c r="AB222" i="30"/>
  <c r="AC222" i="30"/>
  <c r="AB223" i="30" l="1"/>
  <c r="AD224" i="30"/>
  <c r="AE224" i="30" s="1"/>
  <c r="AC223" i="30"/>
  <c r="A222" i="30"/>
  <c r="C223" i="30"/>
  <c r="C224" i="30" l="1"/>
  <c r="A223" i="30"/>
  <c r="AD225" i="30"/>
  <c r="AE225" i="30" s="1"/>
  <c r="AB224" i="30"/>
  <c r="AC224" i="30"/>
  <c r="AD226" i="30" l="1"/>
  <c r="AE226" i="30" s="1"/>
  <c r="AB225" i="30"/>
  <c r="AC225" i="30"/>
  <c r="C225" i="30"/>
  <c r="A224" i="30"/>
  <c r="A225" i="30" l="1"/>
  <c r="C226" i="30"/>
  <c r="AB226" i="30"/>
  <c r="AD227" i="30"/>
  <c r="AE227" i="30" s="1"/>
  <c r="AC226" i="30"/>
  <c r="AB227" i="30" l="1"/>
  <c r="AD228" i="30"/>
  <c r="AE228" i="30" s="1"/>
  <c r="AC227" i="30"/>
  <c r="C227" i="30"/>
  <c r="A226" i="30"/>
  <c r="C228" i="30" l="1"/>
  <c r="A227" i="30"/>
  <c r="AD229" i="30"/>
  <c r="AE229" i="30" s="1"/>
  <c r="AB228" i="30"/>
  <c r="AC228" i="30"/>
  <c r="AD230" i="30" l="1"/>
  <c r="AE230" i="30" s="1"/>
  <c r="AB229" i="30"/>
  <c r="AC229" i="30"/>
  <c r="C229" i="30"/>
  <c r="A228" i="30"/>
  <c r="C230" i="30" l="1"/>
  <c r="A229" i="30"/>
  <c r="AB230" i="30"/>
  <c r="AD231" i="30"/>
  <c r="AE231" i="30" s="1"/>
  <c r="AC230" i="30"/>
  <c r="AB231" i="30" l="1"/>
  <c r="AD232" i="30"/>
  <c r="AE232" i="30" s="1"/>
  <c r="AC231" i="30"/>
  <c r="A230" i="30"/>
  <c r="C231" i="30"/>
  <c r="C232" i="30" l="1"/>
  <c r="A231" i="30"/>
  <c r="AD233" i="30"/>
  <c r="AE233" i="30" s="1"/>
  <c r="AB232" i="30"/>
  <c r="AC232" i="30"/>
  <c r="AB233" i="30" l="1"/>
  <c r="AD234" i="30"/>
  <c r="AE234" i="30" s="1"/>
  <c r="AC233" i="30"/>
  <c r="A232" i="30"/>
  <c r="C233" i="30"/>
  <c r="A233" i="30" l="1"/>
  <c r="C234" i="30"/>
  <c r="AD235" i="30"/>
  <c r="AE235" i="30" s="1"/>
  <c r="AB234" i="30"/>
  <c r="AC234" i="30"/>
  <c r="AD236" i="30" l="1"/>
  <c r="AE236" i="30" s="1"/>
  <c r="AB235" i="30"/>
  <c r="AC235" i="30"/>
  <c r="C235" i="30"/>
  <c r="A234" i="30"/>
  <c r="C236" i="30" l="1"/>
  <c r="A235" i="30"/>
  <c r="AB236" i="30"/>
  <c r="AD237" i="30"/>
  <c r="AE237" i="30" s="1"/>
  <c r="AC236" i="30"/>
  <c r="AB237" i="30" l="1"/>
  <c r="AD238" i="30"/>
  <c r="AE238" i="30" s="1"/>
  <c r="AC237" i="30"/>
  <c r="A236" i="30"/>
  <c r="C237" i="30"/>
  <c r="C238" i="30" l="1"/>
  <c r="A237" i="30"/>
  <c r="AB238" i="30"/>
  <c r="AD239" i="30"/>
  <c r="AE239" i="30" s="1"/>
  <c r="AC238" i="30"/>
  <c r="AB239" i="30" l="1"/>
  <c r="AD240" i="30"/>
  <c r="AE240" i="30" s="1"/>
  <c r="AC239" i="30"/>
  <c r="C239" i="30"/>
  <c r="A238" i="30"/>
  <c r="A239" i="30" l="1"/>
  <c r="C240" i="30"/>
  <c r="AB240" i="30"/>
  <c r="AD241" i="30"/>
  <c r="AE241" i="30" s="1"/>
  <c r="AC240" i="30"/>
  <c r="AD242" i="30" l="1"/>
  <c r="AE242" i="30" s="1"/>
  <c r="AB241" i="30"/>
  <c r="AC241" i="30"/>
  <c r="A240" i="30"/>
  <c r="C241" i="30"/>
  <c r="C242" i="30" l="1"/>
  <c r="A241" i="30"/>
  <c r="AD243" i="30"/>
  <c r="AE243" i="30" s="1"/>
  <c r="AB242" i="30"/>
  <c r="AC242" i="30"/>
  <c r="AB243" i="30" l="1"/>
  <c r="AD244" i="30"/>
  <c r="AE244" i="30" s="1"/>
  <c r="AC243" i="30"/>
  <c r="A242" i="30"/>
  <c r="C243" i="30"/>
  <c r="C244" i="30" l="1"/>
  <c r="A243" i="30"/>
  <c r="AB244" i="30"/>
  <c r="AD245" i="30"/>
  <c r="AE245" i="30" s="1"/>
  <c r="AC244" i="30"/>
  <c r="AB245" i="30" l="1"/>
  <c r="AD246" i="30"/>
  <c r="AE246" i="30" s="1"/>
  <c r="AC245" i="30"/>
  <c r="A244" i="30"/>
  <c r="C245" i="30"/>
  <c r="C246" i="30" l="1"/>
  <c r="A245" i="30"/>
  <c r="AB246" i="30"/>
  <c r="AD247" i="30"/>
  <c r="AE247" i="30" s="1"/>
  <c r="AC246" i="30"/>
  <c r="AB247" i="30" l="1"/>
  <c r="AD248" i="30"/>
  <c r="AE248" i="30" s="1"/>
  <c r="AC247" i="30"/>
  <c r="A246" i="30"/>
  <c r="C247" i="30"/>
  <c r="A247" i="30" l="1"/>
  <c r="C248" i="30"/>
  <c r="AB248" i="30"/>
  <c r="AD249" i="30"/>
  <c r="AE249" i="30" s="1"/>
  <c r="AC248" i="30"/>
  <c r="AD250" i="30" l="1"/>
  <c r="AE250" i="30" s="1"/>
  <c r="AB249" i="30"/>
  <c r="AC249" i="30"/>
  <c r="A248" i="30"/>
  <c r="C249" i="30"/>
  <c r="A249" i="30" l="1"/>
  <c r="C250" i="30"/>
  <c r="AB250" i="30"/>
  <c r="AD251" i="30"/>
  <c r="AE251" i="30" s="1"/>
  <c r="AC250" i="30"/>
  <c r="AB251" i="30" l="1"/>
  <c r="AD252" i="30"/>
  <c r="AE252" i="30" s="1"/>
  <c r="AC251" i="30"/>
  <c r="A250" i="30"/>
  <c r="C251" i="30"/>
  <c r="AD253" i="30" l="1"/>
  <c r="AE253" i="30" s="1"/>
  <c r="AB252" i="30"/>
  <c r="AC252" i="30"/>
  <c r="C252" i="30"/>
  <c r="A251" i="30"/>
  <c r="A252" i="30" l="1"/>
  <c r="C253" i="30"/>
  <c r="AB253" i="30"/>
  <c r="AD254" i="30"/>
  <c r="AE254" i="30" s="1"/>
  <c r="AC253" i="30"/>
  <c r="AD255" i="30" l="1"/>
  <c r="AE255" i="30" s="1"/>
  <c r="AB254" i="30"/>
  <c r="AC254" i="30"/>
  <c r="C254" i="30"/>
  <c r="A253" i="30"/>
  <c r="C255" i="30" l="1"/>
  <c r="A254" i="30"/>
  <c r="AB255" i="30"/>
  <c r="AD256" i="30"/>
  <c r="AE256" i="30" s="1"/>
  <c r="AC255" i="30"/>
  <c r="AD257" i="30" l="1"/>
  <c r="AE257" i="30" s="1"/>
  <c r="AB256" i="30"/>
  <c r="AC256" i="30"/>
  <c r="C256" i="30"/>
  <c r="A255" i="30"/>
  <c r="A256" i="30" l="1"/>
  <c r="C257" i="30"/>
  <c r="AD258" i="30"/>
  <c r="AE258" i="30" s="1"/>
  <c r="AB257" i="30"/>
  <c r="AC257" i="30"/>
  <c r="AB258" i="30" l="1"/>
  <c r="AD259" i="30"/>
  <c r="AE259" i="30" s="1"/>
  <c r="AC258" i="30"/>
  <c r="A257" i="30"/>
  <c r="C258" i="30"/>
  <c r="A258" i="30" l="1"/>
  <c r="C259" i="30"/>
  <c r="AB259" i="30"/>
  <c r="AD260" i="30"/>
  <c r="AE260" i="30" s="1"/>
  <c r="AC259" i="30"/>
  <c r="AB260" i="30" l="1"/>
  <c r="AD261" i="30"/>
  <c r="AE261" i="30" s="1"/>
  <c r="AC260" i="30"/>
  <c r="C260" i="30"/>
  <c r="A259" i="30"/>
  <c r="C261" i="30" l="1"/>
  <c r="A260" i="30"/>
  <c r="AB261" i="30"/>
  <c r="AD262" i="30"/>
  <c r="AE262" i="30" s="1"/>
  <c r="AC261" i="30"/>
  <c r="AB262" i="30" l="1"/>
  <c r="AD263" i="30"/>
  <c r="AE263" i="30" s="1"/>
  <c r="AC262" i="30"/>
  <c r="A261" i="30"/>
  <c r="C262" i="30"/>
  <c r="C263" i="30" l="1"/>
  <c r="A262" i="30"/>
  <c r="AB263" i="30"/>
  <c r="AD264" i="30"/>
  <c r="AE264" i="30" s="1"/>
  <c r="AC263" i="30"/>
  <c r="A263" i="30" l="1"/>
  <c r="C264" i="30"/>
  <c r="AB264" i="30"/>
  <c r="AD265" i="30"/>
  <c r="AE265" i="30" s="1"/>
  <c r="AC264" i="30"/>
  <c r="AD266" i="30" l="1"/>
  <c r="AE266" i="30" s="1"/>
  <c r="AB265" i="30"/>
  <c r="AC265" i="30"/>
  <c r="C265" i="30"/>
  <c r="A264" i="30"/>
  <c r="A265" i="30" l="1"/>
  <c r="C266" i="30"/>
  <c r="AD267" i="30"/>
  <c r="AE267" i="30" s="1"/>
  <c r="AB266" i="30"/>
  <c r="AC266" i="30"/>
  <c r="AD268" i="30" l="1"/>
  <c r="AE268" i="30" s="1"/>
  <c r="AB267" i="30"/>
  <c r="AC267" i="30"/>
  <c r="C267" i="30"/>
  <c r="A266" i="30"/>
  <c r="C268" i="30" l="1"/>
  <c r="A267" i="30"/>
  <c r="AB268" i="30"/>
  <c r="AD269" i="30"/>
  <c r="AE269" i="30" s="1"/>
  <c r="AC268" i="30"/>
  <c r="AD270" i="30" l="1"/>
  <c r="AE270" i="30" s="1"/>
  <c r="AB269" i="30"/>
  <c r="AC269" i="30"/>
  <c r="A268" i="30"/>
  <c r="C269" i="30"/>
  <c r="C270" i="30" l="1"/>
  <c r="A269" i="30"/>
  <c r="AD271" i="30"/>
  <c r="AE271" i="30" s="1"/>
  <c r="AB270" i="30"/>
  <c r="AC270" i="30"/>
  <c r="AB271" i="30" l="1"/>
  <c r="AD272" i="30"/>
  <c r="AE272" i="30" s="1"/>
  <c r="AC271" i="30"/>
  <c r="C271" i="30"/>
  <c r="A270" i="30"/>
  <c r="A271" i="30" l="1"/>
  <c r="C272" i="30"/>
  <c r="AB272" i="30"/>
  <c r="AD273" i="30"/>
  <c r="AE273" i="30" s="1"/>
  <c r="AC272" i="30"/>
  <c r="A272" i="30" l="1"/>
  <c r="C273" i="30"/>
  <c r="AB273" i="30"/>
  <c r="AD274" i="30"/>
  <c r="AE274" i="30" s="1"/>
  <c r="AC273" i="30"/>
  <c r="AD275" i="30" l="1"/>
  <c r="AE275" i="30" s="1"/>
  <c r="AB274" i="30"/>
  <c r="AC274" i="30"/>
  <c r="A273" i="30"/>
  <c r="C274" i="30"/>
  <c r="C275" i="30" l="1"/>
  <c r="A274" i="30"/>
  <c r="AB275" i="30"/>
  <c r="AD276" i="30"/>
  <c r="AE276" i="30" s="1"/>
  <c r="AC275" i="30"/>
  <c r="A275" i="30" l="1"/>
  <c r="C276" i="30"/>
  <c r="AB276" i="30"/>
  <c r="AD277" i="30"/>
  <c r="AE277" i="30" s="1"/>
  <c r="AC276" i="30"/>
  <c r="AD278" i="30" l="1"/>
  <c r="AE278" i="30" s="1"/>
  <c r="AB277" i="30"/>
  <c r="AC277" i="30"/>
  <c r="C277" i="30"/>
  <c r="A276" i="30"/>
  <c r="C278" i="30" l="1"/>
  <c r="A277" i="30"/>
  <c r="AB278" i="30"/>
  <c r="AD279" i="30"/>
  <c r="AE279" i="30" s="1"/>
  <c r="AC278" i="30"/>
  <c r="C279" i="30" l="1"/>
  <c r="A278" i="30"/>
  <c r="AB279" i="30"/>
  <c r="AD280" i="30"/>
  <c r="AE280" i="30" s="1"/>
  <c r="AC279" i="30"/>
  <c r="AD281" i="30" l="1"/>
  <c r="AE281" i="30" s="1"/>
  <c r="AB280" i="30"/>
  <c r="AC280" i="30"/>
  <c r="A279" i="30"/>
  <c r="C280" i="30"/>
  <c r="A280" i="30" l="1"/>
  <c r="C281" i="30"/>
  <c r="AD282" i="30"/>
  <c r="AE282" i="30" s="1"/>
  <c r="AB281" i="30"/>
  <c r="AC281" i="30"/>
  <c r="AD283" i="30" l="1"/>
  <c r="AE283" i="30" s="1"/>
  <c r="AB282" i="30"/>
  <c r="AC282" i="30"/>
  <c r="C282" i="30"/>
  <c r="A281" i="30"/>
  <c r="A282" i="30" l="1"/>
  <c r="C283" i="30"/>
  <c r="AB283" i="30"/>
  <c r="AD284" i="30"/>
  <c r="AE284" i="30" s="1"/>
  <c r="AC283" i="30"/>
  <c r="A283" i="30" l="1"/>
  <c r="C284" i="30"/>
  <c r="AB284" i="30"/>
  <c r="AD285" i="30"/>
  <c r="AE285" i="30" s="1"/>
  <c r="AC284" i="30"/>
  <c r="A284" i="30" l="1"/>
  <c r="C285" i="30"/>
  <c r="AD286" i="30"/>
  <c r="AE286" i="30" s="1"/>
  <c r="AB285" i="30"/>
  <c r="AC285" i="30"/>
  <c r="AD287" i="30" l="1"/>
  <c r="AE287" i="30" s="1"/>
  <c r="AB286" i="30"/>
  <c r="AC286" i="30"/>
  <c r="A285" i="30"/>
  <c r="C286" i="30"/>
  <c r="A286" i="30" l="1"/>
  <c r="C287" i="30"/>
  <c r="AB287" i="30"/>
  <c r="AD288" i="30"/>
  <c r="AE288" i="30" s="1"/>
  <c r="AC287" i="30"/>
  <c r="A287" i="30" l="1"/>
  <c r="C288" i="30"/>
  <c r="AB288" i="30"/>
  <c r="AD289" i="30"/>
  <c r="AE289" i="30" s="1"/>
  <c r="AC288" i="30"/>
  <c r="A288" i="30" l="1"/>
  <c r="C289" i="30"/>
  <c r="AD290" i="30"/>
  <c r="AE290" i="30" s="1"/>
  <c r="AB289" i="30"/>
  <c r="AC289" i="30"/>
  <c r="C290" i="30" l="1"/>
  <c r="A289" i="30"/>
  <c r="AD291" i="30"/>
  <c r="AE291" i="30" s="1"/>
  <c r="AB290" i="30"/>
  <c r="AC290" i="30"/>
  <c r="AB291" i="30" l="1"/>
  <c r="AD292" i="30"/>
  <c r="AE292" i="30" s="1"/>
  <c r="AC291" i="30"/>
  <c r="A290" i="30"/>
  <c r="C291" i="30"/>
  <c r="A291" i="30" l="1"/>
  <c r="C292" i="30"/>
  <c r="AB292" i="30"/>
  <c r="AD293" i="30"/>
  <c r="AE293" i="30" s="1"/>
  <c r="AC292" i="30"/>
  <c r="AD294" i="30" l="1"/>
  <c r="AE294" i="30" s="1"/>
  <c r="AB293" i="30"/>
  <c r="AC293" i="30"/>
  <c r="A292" i="30"/>
  <c r="C293" i="30"/>
  <c r="A293" i="30" l="1"/>
  <c r="C294" i="30"/>
  <c r="AB294" i="30"/>
  <c r="AD295" i="30"/>
  <c r="AE295" i="30" s="1"/>
  <c r="AC294" i="30"/>
  <c r="C295" i="30" l="1"/>
  <c r="A294" i="30"/>
  <c r="AB295" i="30"/>
  <c r="AD296" i="30"/>
  <c r="AE296" i="30" s="1"/>
  <c r="AC295" i="30"/>
  <c r="AD297" i="30" l="1"/>
  <c r="AE297" i="30" s="1"/>
  <c r="AB296" i="30"/>
  <c r="AC296" i="30"/>
  <c r="C296" i="30"/>
  <c r="A295" i="30"/>
  <c r="A296" i="30" l="1"/>
  <c r="C297" i="30"/>
  <c r="AD298" i="30"/>
  <c r="AE298" i="30" s="1"/>
  <c r="AB297" i="30"/>
  <c r="AC297" i="30"/>
  <c r="AD299" i="30" l="1"/>
  <c r="AE299" i="30" s="1"/>
  <c r="AB298" i="30"/>
  <c r="AC298" i="30"/>
  <c r="C298" i="30"/>
  <c r="A297" i="30"/>
  <c r="A298" i="30" l="1"/>
  <c r="C299" i="30"/>
  <c r="AD300" i="30"/>
  <c r="AE300" i="30" s="1"/>
  <c r="AB299" i="30"/>
  <c r="AC299" i="30"/>
  <c r="AD301" i="30" l="1"/>
  <c r="AE301" i="30" s="1"/>
  <c r="AB300" i="30"/>
  <c r="AC300" i="30"/>
  <c r="C300" i="30"/>
  <c r="A299" i="30"/>
  <c r="C301" i="30" l="1"/>
  <c r="A300" i="30"/>
  <c r="AD302" i="30"/>
  <c r="AE302" i="30" s="1"/>
  <c r="AB301" i="30"/>
  <c r="AC301" i="30"/>
  <c r="AD303" i="30" l="1"/>
  <c r="AE303" i="30" s="1"/>
  <c r="AB302" i="30"/>
  <c r="AC302" i="30"/>
  <c r="C302" i="30"/>
  <c r="A301" i="30"/>
  <c r="C303" i="30" l="1"/>
  <c r="A302" i="30"/>
  <c r="AD304" i="30"/>
  <c r="AE304" i="30" s="1"/>
  <c r="AB303" i="30"/>
  <c r="AC303" i="30"/>
  <c r="AB304" i="30" l="1"/>
  <c r="AD305" i="30"/>
  <c r="AE305" i="30" s="1"/>
  <c r="AC304" i="30"/>
  <c r="C304" i="30"/>
  <c r="A303" i="30"/>
  <c r="A304" i="30" l="1"/>
  <c r="C305" i="30"/>
  <c r="AD306" i="30"/>
  <c r="AE306" i="30" s="1"/>
  <c r="AB305" i="30"/>
  <c r="AC305" i="30"/>
  <c r="AB306" i="30" l="1"/>
  <c r="AD307" i="30"/>
  <c r="AE307" i="30" s="1"/>
  <c r="AC306" i="30"/>
  <c r="A305" i="30"/>
  <c r="C306" i="30"/>
  <c r="A306" i="30" l="1"/>
  <c r="C307" i="30"/>
  <c r="AD308" i="30"/>
  <c r="AE308" i="30" s="1"/>
  <c r="AB307" i="30"/>
  <c r="AC307" i="30"/>
  <c r="AB308" i="30" l="1"/>
  <c r="AD309" i="30"/>
  <c r="AE309" i="30" s="1"/>
  <c r="AC308" i="30"/>
  <c r="A307" i="30"/>
  <c r="C308" i="30"/>
  <c r="AD310" i="30" l="1"/>
  <c r="AE310" i="30" s="1"/>
  <c r="AB309" i="30"/>
  <c r="AC309" i="30"/>
  <c r="A308" i="30"/>
  <c r="C309" i="30"/>
  <c r="A309" i="30" l="1"/>
  <c r="C310" i="30"/>
  <c r="AD311" i="30"/>
  <c r="AE311" i="30" s="1"/>
  <c r="AB310" i="30"/>
  <c r="AC310" i="30"/>
  <c r="AD312" i="30" l="1"/>
  <c r="AE312" i="30" s="1"/>
  <c r="AB311" i="30"/>
  <c r="AC311" i="30"/>
  <c r="C311" i="30"/>
  <c r="A310" i="30"/>
  <c r="C312" i="30" l="1"/>
  <c r="A311" i="30"/>
  <c r="AD313" i="30"/>
  <c r="AE313" i="30" s="1"/>
  <c r="AB312" i="30"/>
  <c r="AC312" i="30"/>
  <c r="AB313" i="30" l="1"/>
  <c r="AD314" i="30"/>
  <c r="AE314" i="30" s="1"/>
  <c r="AC313" i="30"/>
  <c r="A312" i="30"/>
  <c r="C313" i="30"/>
  <c r="A313" i="30" l="1"/>
  <c r="C314" i="30"/>
  <c r="AD315" i="30"/>
  <c r="AE315" i="30" s="1"/>
  <c r="AB314" i="30"/>
  <c r="AC314" i="30"/>
  <c r="A314" i="30" l="1"/>
  <c r="C315" i="30"/>
  <c r="AD316" i="30"/>
  <c r="AE316" i="30" s="1"/>
  <c r="AB315" i="30"/>
  <c r="AC315" i="30"/>
  <c r="AB316" i="30" l="1"/>
  <c r="AD317" i="30"/>
  <c r="AE317" i="30" s="1"/>
  <c r="AC316" i="30"/>
  <c r="C316" i="30"/>
  <c r="A315" i="30"/>
  <c r="A316" i="30" l="1"/>
  <c r="C317" i="30"/>
  <c r="AB317" i="30"/>
  <c r="AD318" i="30"/>
  <c r="AE318" i="30" s="1"/>
  <c r="AC317" i="30"/>
  <c r="AB318" i="30" l="1"/>
  <c r="AD319" i="30"/>
  <c r="AE319" i="30" s="1"/>
  <c r="AC318" i="30"/>
  <c r="C318" i="30"/>
  <c r="A317" i="30"/>
  <c r="AD320" i="30" l="1"/>
  <c r="AE320" i="30" s="1"/>
  <c r="AB319" i="30"/>
  <c r="AC319" i="30"/>
  <c r="A318" i="30"/>
  <c r="C319" i="30"/>
  <c r="C320" i="30" l="1"/>
  <c r="A319" i="30"/>
  <c r="AD321" i="30"/>
  <c r="AE321" i="30" s="1"/>
  <c r="AB320" i="30"/>
  <c r="AC320" i="30"/>
  <c r="AD322" i="30" l="1"/>
  <c r="AE322" i="30" s="1"/>
  <c r="AB321" i="30"/>
  <c r="AC321" i="30"/>
  <c r="A320" i="30"/>
  <c r="C321" i="30"/>
  <c r="C322" i="30" l="1"/>
  <c r="A321" i="30"/>
  <c r="AD323" i="30"/>
  <c r="AE323" i="30" s="1"/>
  <c r="AB322" i="30"/>
  <c r="AC322" i="30"/>
  <c r="AD324" i="30" l="1"/>
  <c r="AE324" i="30" s="1"/>
  <c r="AB323" i="30"/>
  <c r="AC323" i="30"/>
  <c r="C323" i="30"/>
  <c r="A322" i="30"/>
  <c r="C324" i="30" l="1"/>
  <c r="A323" i="30"/>
  <c r="AD325" i="30"/>
  <c r="AE325" i="30" s="1"/>
  <c r="AB324" i="30"/>
  <c r="AC324" i="30"/>
  <c r="AD326" i="30" l="1"/>
  <c r="AE326" i="30" s="1"/>
  <c r="AB325" i="30"/>
  <c r="AC325" i="30"/>
  <c r="A324" i="30"/>
  <c r="C325" i="30"/>
  <c r="C326" i="30" l="1"/>
  <c r="A325" i="30"/>
  <c r="AD327" i="30"/>
  <c r="AE327" i="30" s="1"/>
  <c r="AB326" i="30"/>
  <c r="AC326" i="30"/>
  <c r="AD328" i="30" l="1"/>
  <c r="AE328" i="30" s="1"/>
  <c r="AB327" i="30"/>
  <c r="AC327" i="30"/>
  <c r="A326" i="30"/>
  <c r="C327" i="30"/>
  <c r="C328" i="30" l="1"/>
  <c r="A327" i="30"/>
  <c r="AD329" i="30"/>
  <c r="AE329" i="30" s="1"/>
  <c r="AB328" i="30"/>
  <c r="AC328" i="30"/>
  <c r="AB329" i="30" l="1"/>
  <c r="AD330" i="30"/>
  <c r="AE330" i="30" s="1"/>
  <c r="AC329" i="30"/>
  <c r="A328" i="30"/>
  <c r="C329" i="30"/>
  <c r="C330" i="30" l="1"/>
  <c r="A329" i="30"/>
  <c r="AD331" i="30"/>
  <c r="AE331" i="30" s="1"/>
  <c r="AB330" i="30"/>
  <c r="AC330" i="30"/>
  <c r="AB331" i="30" l="1"/>
  <c r="AD332" i="30"/>
  <c r="AE332" i="30" s="1"/>
  <c r="AC331" i="30"/>
  <c r="C331" i="30"/>
  <c r="A330" i="30"/>
  <c r="A331" i="30" l="1"/>
  <c r="C332" i="30"/>
  <c r="AD333" i="30"/>
  <c r="AE333" i="30" s="1"/>
  <c r="AB332" i="30"/>
  <c r="AC332" i="30"/>
  <c r="AD334" i="30" l="1"/>
  <c r="AE334" i="30" s="1"/>
  <c r="AB333" i="30"/>
  <c r="AC333" i="30"/>
  <c r="C333" i="30"/>
  <c r="A332" i="30"/>
  <c r="A333" i="30" l="1"/>
  <c r="C334" i="30"/>
  <c r="AB334" i="30"/>
  <c r="AD335" i="30"/>
  <c r="AE335" i="30" s="1"/>
  <c r="AC334" i="30"/>
  <c r="AB335" i="30" l="1"/>
  <c r="AD336" i="30"/>
  <c r="AE336" i="30" s="1"/>
  <c r="AC335" i="30"/>
  <c r="A334" i="30"/>
  <c r="C335" i="30"/>
  <c r="C336" i="30" l="1"/>
  <c r="A335" i="30"/>
  <c r="AD337" i="30"/>
  <c r="AE337" i="30" s="1"/>
  <c r="AB336" i="30"/>
  <c r="AC336" i="30"/>
  <c r="AD338" i="30" l="1"/>
  <c r="AE338" i="30" s="1"/>
  <c r="AB337" i="30"/>
  <c r="AC337" i="30"/>
  <c r="C337" i="30"/>
  <c r="A336" i="30"/>
  <c r="A337" i="30" l="1"/>
  <c r="C338" i="30"/>
  <c r="AD339" i="30"/>
  <c r="AE339" i="30" s="1"/>
  <c r="AB338" i="30"/>
  <c r="AC338" i="30"/>
  <c r="AD340" i="30" l="1"/>
  <c r="AE340" i="30" s="1"/>
  <c r="AB339" i="30"/>
  <c r="AC339" i="30"/>
  <c r="A338" i="30"/>
  <c r="C339" i="30"/>
  <c r="A339" i="30" l="1"/>
  <c r="C340" i="30"/>
  <c r="AD341" i="30"/>
  <c r="AE341" i="30" s="1"/>
  <c r="AB340" i="30"/>
  <c r="AC340" i="30"/>
  <c r="AB341" i="30" l="1"/>
  <c r="AD342" i="30"/>
  <c r="AE342" i="30" s="1"/>
  <c r="AC341" i="30"/>
  <c r="A340" i="30"/>
  <c r="C341" i="30"/>
  <c r="C342" i="30" l="1"/>
  <c r="A341" i="30"/>
  <c r="AB342" i="30"/>
  <c r="AD343" i="30"/>
  <c r="AE343" i="30" s="1"/>
  <c r="AC342" i="30"/>
  <c r="AB343" i="30" l="1"/>
  <c r="AD344" i="30"/>
  <c r="AE344" i="30" s="1"/>
  <c r="AC343" i="30"/>
  <c r="A342" i="30"/>
  <c r="C343" i="30"/>
  <c r="A343" i="30" l="1"/>
  <c r="C344" i="30"/>
  <c r="AD345" i="30"/>
  <c r="AE345" i="30" s="1"/>
  <c r="AB344" i="30"/>
  <c r="AC344" i="30"/>
  <c r="AB345" i="30" l="1"/>
  <c r="AD346" i="30"/>
  <c r="AE346" i="30" s="1"/>
  <c r="AC345" i="30"/>
  <c r="C345" i="30"/>
  <c r="A344" i="30"/>
  <c r="C346" i="30" l="1"/>
  <c r="A345" i="30"/>
  <c r="AD347" i="30"/>
  <c r="AE347" i="30" s="1"/>
  <c r="AB346" i="30"/>
  <c r="AC346" i="30"/>
  <c r="AB347" i="30" l="1"/>
  <c r="AD348" i="30"/>
  <c r="AE348" i="30" s="1"/>
  <c r="AC347" i="30"/>
  <c r="C347" i="30"/>
  <c r="A346" i="30"/>
  <c r="A347" i="30" l="1"/>
  <c r="C348" i="30"/>
  <c r="AD349" i="30"/>
  <c r="AE349" i="30" s="1"/>
  <c r="AB348" i="30"/>
  <c r="AC348" i="30"/>
  <c r="AD350" i="30" l="1"/>
  <c r="AE350" i="30" s="1"/>
  <c r="AB349" i="30"/>
  <c r="AC349" i="30"/>
  <c r="C349" i="30"/>
  <c r="A348" i="30"/>
  <c r="C350" i="30" l="1"/>
  <c r="A349" i="30"/>
  <c r="AD351" i="30"/>
  <c r="AE351" i="30" s="1"/>
  <c r="AB350" i="30"/>
  <c r="AC350" i="30"/>
  <c r="AB351" i="30" l="1"/>
  <c r="AD352" i="30"/>
  <c r="AE352" i="30" s="1"/>
  <c r="AC351" i="30"/>
  <c r="C351" i="30"/>
  <c r="A350" i="30"/>
  <c r="C352" i="30" l="1"/>
  <c r="A351" i="30"/>
  <c r="AD353" i="30"/>
  <c r="AE353" i="30" s="1"/>
  <c r="AB352" i="30"/>
  <c r="AC352" i="30"/>
  <c r="AD354" i="30" l="1"/>
  <c r="AE354" i="30" s="1"/>
  <c r="AB353" i="30"/>
  <c r="AC353" i="30"/>
  <c r="A352" i="30"/>
  <c r="C353" i="30"/>
  <c r="C354" i="30" l="1"/>
  <c r="A353" i="30"/>
  <c r="AB354" i="30"/>
  <c r="AD355" i="30"/>
  <c r="AE355" i="30" s="1"/>
  <c r="AC354" i="30"/>
  <c r="AD356" i="30" l="1"/>
  <c r="AE356" i="30" s="1"/>
  <c r="AB355" i="30"/>
  <c r="AC355" i="30"/>
  <c r="A354" i="30"/>
  <c r="C355" i="30"/>
  <c r="C356" i="30" l="1"/>
  <c r="A355" i="30"/>
  <c r="AB356" i="30"/>
  <c r="AD357" i="30"/>
  <c r="AE357" i="30" s="1"/>
  <c r="AC356" i="30"/>
  <c r="C357" i="30" l="1"/>
  <c r="A356" i="30"/>
  <c r="AB357" i="30"/>
  <c r="AD358" i="30"/>
  <c r="AE358" i="30" s="1"/>
  <c r="AC357" i="30"/>
  <c r="AB358" i="30" l="1"/>
  <c r="AD359" i="30"/>
  <c r="AE359" i="30" s="1"/>
  <c r="AC358" i="30"/>
  <c r="A357" i="30"/>
  <c r="C358" i="30"/>
  <c r="A358" i="30" l="1"/>
  <c r="C359" i="30"/>
  <c r="AB359" i="30"/>
  <c r="AD360" i="30"/>
  <c r="AE360" i="30" s="1"/>
  <c r="AC359" i="30"/>
  <c r="AB360" i="30" l="1"/>
  <c r="AD361" i="30"/>
  <c r="AE361" i="30" s="1"/>
  <c r="AC360" i="30"/>
  <c r="C360" i="30"/>
  <c r="A359" i="30"/>
  <c r="C361" i="30" l="1"/>
  <c r="A360" i="30"/>
  <c r="AD362" i="30"/>
  <c r="AE362" i="30" s="1"/>
  <c r="AB361" i="30"/>
  <c r="AC361" i="30"/>
  <c r="AD363" i="30" l="1"/>
  <c r="AE363" i="30" s="1"/>
  <c r="AB362" i="30"/>
  <c r="AC362" i="30"/>
  <c r="C362" i="30"/>
  <c r="A361" i="30"/>
  <c r="A362" i="30" l="1"/>
  <c r="C363" i="30"/>
  <c r="AB363" i="30"/>
  <c r="AD364" i="30"/>
  <c r="AE364" i="30" s="1"/>
  <c r="AC363" i="30"/>
  <c r="AB364" i="30" l="1"/>
  <c r="AD365" i="30"/>
  <c r="AE365" i="30" s="1"/>
  <c r="AC364" i="30"/>
  <c r="C364" i="30"/>
  <c r="A363" i="30"/>
  <c r="A364" i="30" l="1"/>
  <c r="C365" i="30"/>
  <c r="AD366" i="30"/>
  <c r="AE366" i="30" s="1"/>
  <c r="AB365" i="30"/>
  <c r="AC365" i="30"/>
  <c r="AB366" i="30" l="1"/>
  <c r="AD367" i="30"/>
  <c r="AE367" i="30" s="1"/>
  <c r="AC366" i="30"/>
  <c r="A365" i="30"/>
  <c r="C366" i="30"/>
  <c r="C367" i="30" l="1"/>
  <c r="A366" i="30"/>
  <c r="AD368" i="30"/>
  <c r="AE368" i="30" s="1"/>
  <c r="AB367" i="30"/>
  <c r="AC367" i="30"/>
  <c r="D367" i="30" l="1"/>
  <c r="AB368" i="30"/>
  <c r="AD369" i="30"/>
  <c r="AE369" i="30" s="1"/>
  <c r="AC368" i="30"/>
  <c r="A367" i="30"/>
  <c r="C368" i="30"/>
  <c r="D368" i="30" l="1"/>
  <c r="C369" i="30"/>
  <c r="A368" i="30"/>
  <c r="AD370" i="30"/>
  <c r="AE370" i="30" s="1"/>
  <c r="AB369" i="30"/>
  <c r="AC369" i="30"/>
  <c r="D369" i="30" l="1"/>
  <c r="AD371" i="30"/>
  <c r="AE371" i="30" s="1"/>
  <c r="AB370" i="30"/>
  <c r="AC370" i="30"/>
  <c r="C370" i="30"/>
  <c r="A369" i="30"/>
  <c r="D370" i="30" l="1"/>
  <c r="C371" i="30"/>
  <c r="A370" i="30"/>
  <c r="AD372" i="30"/>
  <c r="AE372" i="30" s="1"/>
  <c r="AB371" i="30"/>
  <c r="AC371" i="30"/>
  <c r="D371" i="30" l="1"/>
  <c r="AD373" i="30"/>
  <c r="AE373" i="30" s="1"/>
  <c r="AB372" i="30"/>
  <c r="AC372" i="30"/>
  <c r="C372" i="30"/>
  <c r="A371" i="30"/>
  <c r="D372" i="30" l="1"/>
  <c r="C373" i="30"/>
  <c r="A372" i="30"/>
  <c r="AD374" i="30"/>
  <c r="AE374" i="30" s="1"/>
  <c r="AB373" i="30"/>
  <c r="AC373" i="30"/>
  <c r="D373" i="30" l="1"/>
  <c r="AD375" i="30"/>
  <c r="AE375" i="30" s="1"/>
  <c r="AB374" i="30"/>
  <c r="AC374" i="30"/>
  <c r="A373" i="30"/>
  <c r="C374" i="30"/>
  <c r="D374" i="30" l="1"/>
  <c r="C375" i="30"/>
  <c r="A374" i="30"/>
  <c r="AB375" i="30"/>
  <c r="AD376" i="30"/>
  <c r="AE376" i="30" s="1"/>
  <c r="AC375" i="30"/>
  <c r="D375" i="30" l="1"/>
  <c r="AD377" i="30"/>
  <c r="AE377" i="30" s="1"/>
  <c r="AB376" i="30"/>
  <c r="AC376" i="30"/>
  <c r="C376" i="30"/>
  <c r="A375" i="30"/>
  <c r="D376" i="30" l="1"/>
  <c r="C377" i="30"/>
  <c r="A376" i="30"/>
  <c r="AD378" i="30"/>
  <c r="AE378" i="30" s="1"/>
  <c r="AB377" i="30"/>
  <c r="AC377" i="30"/>
  <c r="D377" i="30" l="1"/>
  <c r="AD379" i="30"/>
  <c r="AE379" i="30" s="1"/>
  <c r="AB378" i="30"/>
  <c r="AC378" i="30"/>
  <c r="C378" i="30"/>
  <c r="A377" i="30"/>
  <c r="D378" i="30" l="1"/>
  <c r="A378" i="30"/>
  <c r="C379" i="30"/>
  <c r="AB379" i="30"/>
  <c r="AD380" i="30"/>
  <c r="AE380" i="30" s="1"/>
  <c r="AC379" i="30"/>
  <c r="D379" i="30" l="1"/>
  <c r="AD381" i="30"/>
  <c r="AE381" i="30" s="1"/>
  <c r="AB380" i="30"/>
  <c r="AC380" i="30"/>
  <c r="C380" i="30"/>
  <c r="A379" i="30"/>
  <c r="D380" i="30" l="1"/>
  <c r="A380" i="30"/>
  <c r="C381" i="30"/>
  <c r="AB381" i="30"/>
  <c r="AD382" i="30"/>
  <c r="AE382" i="30" s="1"/>
  <c r="AC381" i="30"/>
  <c r="D381" i="30" l="1"/>
  <c r="AD383" i="30"/>
  <c r="AE383" i="30" s="1"/>
  <c r="AB382" i="30"/>
  <c r="AC382" i="30"/>
  <c r="A381" i="30"/>
  <c r="C382" i="30"/>
  <c r="D382" i="30" l="1"/>
  <c r="C383" i="30"/>
  <c r="A382" i="30"/>
  <c r="AD384" i="30"/>
  <c r="AE384" i="30" s="1"/>
  <c r="AB383" i="30"/>
  <c r="AC383" i="30"/>
  <c r="D383" i="30" l="1"/>
  <c r="AD385" i="30"/>
  <c r="AE385" i="30" s="1"/>
  <c r="AB384" i="30"/>
  <c r="AC384" i="30"/>
  <c r="A383" i="30"/>
  <c r="C384" i="30"/>
  <c r="D384" i="30" l="1"/>
  <c r="C385" i="30"/>
  <c r="A384" i="30"/>
  <c r="AD386" i="30"/>
  <c r="AE386" i="30" s="1"/>
  <c r="AB385" i="30"/>
  <c r="AC385" i="30"/>
  <c r="D385" i="30" l="1"/>
  <c r="AB386" i="30"/>
  <c r="AD387" i="30"/>
  <c r="AE387" i="30" s="1"/>
  <c r="AC386" i="30"/>
  <c r="A385" i="30"/>
  <c r="C386" i="30"/>
  <c r="D386" i="30" l="1"/>
  <c r="A386" i="30"/>
  <c r="C387" i="30"/>
  <c r="AD388" i="30"/>
  <c r="AE388" i="30" s="1"/>
  <c r="AB387" i="30"/>
  <c r="AC387" i="30"/>
  <c r="D387" i="30" l="1"/>
  <c r="AD389" i="30"/>
  <c r="AE389" i="30" s="1"/>
  <c r="AB388" i="30"/>
  <c r="AC388" i="30"/>
  <c r="C388" i="30"/>
  <c r="A387" i="30"/>
  <c r="D388" i="30" l="1"/>
  <c r="A388" i="30"/>
  <c r="C389" i="30"/>
  <c r="AB389" i="30"/>
  <c r="AD390" i="30"/>
  <c r="AE390" i="30" s="1"/>
  <c r="AC389" i="30"/>
  <c r="D389" i="30" l="1"/>
  <c r="AD391" i="30"/>
  <c r="AE391" i="30" s="1"/>
  <c r="AB390" i="30"/>
  <c r="AC390" i="30"/>
  <c r="A389" i="30"/>
  <c r="C390" i="30"/>
  <c r="D390" i="30" l="1"/>
  <c r="C391" i="30"/>
  <c r="A390" i="30"/>
  <c r="AB391" i="30"/>
  <c r="AD392" i="30"/>
  <c r="AE392" i="30" s="1"/>
  <c r="AC391" i="30"/>
  <c r="D391" i="30" l="1"/>
  <c r="AD393" i="30"/>
  <c r="AE393" i="30" s="1"/>
  <c r="AB392" i="30"/>
  <c r="AC392" i="30"/>
  <c r="C392" i="30"/>
  <c r="A391" i="30"/>
  <c r="D392" i="30" l="1"/>
  <c r="C393" i="30"/>
  <c r="A392" i="30"/>
  <c r="AB393" i="30"/>
  <c r="AD394" i="30"/>
  <c r="AE394" i="30" s="1"/>
  <c r="AC393" i="30"/>
  <c r="D393" i="30" l="1"/>
  <c r="AB394" i="30"/>
  <c r="AD395" i="30"/>
  <c r="AE395" i="30" s="1"/>
  <c r="AC394" i="30"/>
  <c r="C394" i="30"/>
  <c r="A393" i="30"/>
  <c r="D394" i="30" l="1"/>
  <c r="C395" i="30"/>
  <c r="A394" i="30"/>
  <c r="AB395" i="30"/>
  <c r="AD396" i="30"/>
  <c r="AE396" i="30" s="1"/>
  <c r="AC395" i="30"/>
  <c r="D395" i="30" l="1"/>
  <c r="AD397" i="30"/>
  <c r="AE397" i="30" s="1"/>
  <c r="AB396" i="30"/>
  <c r="AC396" i="30"/>
  <c r="C396" i="30"/>
  <c r="A395" i="30"/>
  <c r="D396" i="30" l="1"/>
  <c r="C397" i="30"/>
  <c r="A396" i="30"/>
  <c r="AB397" i="30"/>
  <c r="AD398" i="30"/>
  <c r="AE398" i="30" s="1"/>
  <c r="AC397" i="30"/>
  <c r="D397" i="30" l="1"/>
  <c r="AD399" i="30"/>
  <c r="AE399" i="30" s="1"/>
  <c r="AB398" i="30"/>
  <c r="AC398" i="30"/>
  <c r="A397" i="30"/>
  <c r="C398" i="30"/>
  <c r="D398" i="30" l="1"/>
  <c r="A398" i="30"/>
  <c r="C399" i="30"/>
  <c r="AB399" i="30"/>
  <c r="AD400" i="30"/>
  <c r="AE400" i="30" s="1"/>
  <c r="AC399" i="30"/>
  <c r="D399" i="30" l="1"/>
  <c r="AB400" i="30"/>
  <c r="AD401" i="30"/>
  <c r="AE401" i="30" s="1"/>
  <c r="AC400" i="30"/>
  <c r="C400" i="30"/>
  <c r="A399" i="30"/>
  <c r="D400" i="30" l="1"/>
  <c r="C401" i="30"/>
  <c r="A400" i="30"/>
  <c r="AB401" i="30"/>
  <c r="AD402" i="30"/>
  <c r="AE402" i="30" s="1"/>
  <c r="AC401" i="30"/>
  <c r="D401" i="30" l="1"/>
  <c r="C402" i="30"/>
  <c r="A401" i="30"/>
  <c r="AB402" i="30"/>
  <c r="AD403" i="30"/>
  <c r="AE403" i="30" s="1"/>
  <c r="AC402" i="30"/>
  <c r="D402" i="30" l="1"/>
  <c r="AB403" i="30"/>
  <c r="AD404" i="30"/>
  <c r="AE404" i="30" s="1"/>
  <c r="AC403" i="30"/>
  <c r="A402" i="30"/>
  <c r="C403" i="30"/>
  <c r="D403" i="30" l="1"/>
  <c r="A403" i="30"/>
  <c r="C404" i="30"/>
  <c r="AD405" i="30"/>
  <c r="AE405" i="30" s="1"/>
  <c r="AB404" i="30"/>
  <c r="AC404" i="30"/>
  <c r="D404" i="30" l="1"/>
  <c r="AD406" i="30"/>
  <c r="AE406" i="30" s="1"/>
  <c r="AB405" i="30"/>
  <c r="AC405" i="30"/>
  <c r="A404" i="30"/>
  <c r="C405" i="30"/>
  <c r="D405" i="30" l="1"/>
  <c r="C406" i="30"/>
  <c r="A405" i="30"/>
  <c r="AD407" i="30"/>
  <c r="AE407" i="30" s="1"/>
  <c r="AB406" i="30"/>
  <c r="AC406" i="30"/>
  <c r="D406" i="30" l="1"/>
  <c r="AB407" i="30"/>
  <c r="AD408" i="30"/>
  <c r="AE408" i="30" s="1"/>
  <c r="AC407" i="30"/>
  <c r="A406" i="30"/>
  <c r="C407" i="30"/>
  <c r="D407" i="30" l="1"/>
  <c r="A407" i="30"/>
  <c r="C408" i="30"/>
  <c r="AD409" i="30"/>
  <c r="AE409" i="30" s="1"/>
  <c r="AB408" i="30"/>
  <c r="AC408" i="30"/>
  <c r="D408" i="30" l="1"/>
  <c r="AD410" i="30"/>
  <c r="AE410" i="30" s="1"/>
  <c r="AB409" i="30"/>
  <c r="AC409" i="30"/>
  <c r="C409" i="30"/>
  <c r="A408" i="30"/>
  <c r="D409" i="30" l="1"/>
  <c r="A409" i="30"/>
  <c r="C410" i="30"/>
  <c r="AB410" i="30"/>
  <c r="AD411" i="30"/>
  <c r="AE411" i="30" s="1"/>
  <c r="AC410" i="30"/>
  <c r="D410" i="30" l="1"/>
  <c r="AD412" i="30"/>
  <c r="AE412" i="30" s="1"/>
  <c r="AB411" i="30"/>
  <c r="AC411" i="30"/>
  <c r="C411" i="30"/>
  <c r="A410" i="30"/>
  <c r="D411" i="30" l="1"/>
  <c r="C412" i="30"/>
  <c r="A411" i="30"/>
  <c r="AD413" i="30"/>
  <c r="AE413" i="30" s="1"/>
  <c r="AB412" i="30"/>
  <c r="AC412" i="30"/>
  <c r="D412" i="30" l="1"/>
  <c r="AD414" i="30"/>
  <c r="AE414" i="30" s="1"/>
  <c r="AB413" i="30"/>
  <c r="AC413" i="30"/>
  <c r="A412" i="30"/>
  <c r="C413" i="30"/>
  <c r="D413" i="30" l="1"/>
  <c r="A413" i="30"/>
  <c r="C414" i="30"/>
  <c r="AB414" i="30"/>
  <c r="AD415" i="30"/>
  <c r="AE415" i="30" s="1"/>
  <c r="AC414" i="30"/>
  <c r="D414" i="30" l="1"/>
  <c r="AB415" i="30"/>
  <c r="AD416" i="30"/>
  <c r="AE416" i="30" s="1"/>
  <c r="AC415" i="30"/>
  <c r="A414" i="30"/>
  <c r="C415" i="30"/>
  <c r="D415" i="30" l="1"/>
  <c r="C416" i="30"/>
  <c r="A415" i="30"/>
  <c r="AB416" i="30"/>
  <c r="AD417" i="30"/>
  <c r="AE417" i="30" s="1"/>
  <c r="AC416" i="30"/>
  <c r="D416" i="30" l="1"/>
  <c r="AD418" i="30"/>
  <c r="AE418" i="30" s="1"/>
  <c r="AB417" i="30"/>
  <c r="AC417" i="30"/>
  <c r="A416" i="30"/>
  <c r="C417" i="30"/>
  <c r="D417" i="30" l="1"/>
  <c r="A417" i="30"/>
  <c r="C418" i="30"/>
  <c r="AB418" i="30"/>
  <c r="AD419" i="30"/>
  <c r="AE419" i="30" s="1"/>
  <c r="AC418" i="30"/>
  <c r="D418" i="30" l="1"/>
  <c r="AB419" i="30"/>
  <c r="AD420" i="30"/>
  <c r="AE420" i="30" s="1"/>
  <c r="AC419" i="30"/>
  <c r="C419" i="30"/>
  <c r="A418" i="30"/>
  <c r="D419" i="30" l="1"/>
  <c r="C420" i="30"/>
  <c r="A419" i="30"/>
  <c r="AD421" i="30"/>
  <c r="AE421" i="30" s="1"/>
  <c r="AB420" i="30"/>
  <c r="AC420" i="30"/>
  <c r="D420" i="30" l="1"/>
  <c r="AB421" i="30"/>
  <c r="AD422" i="30"/>
  <c r="AE422" i="30" s="1"/>
  <c r="AC421" i="30"/>
  <c r="A420" i="30"/>
  <c r="C421" i="30"/>
  <c r="D421" i="30" l="1"/>
  <c r="A421" i="30"/>
  <c r="C422" i="30"/>
  <c r="AD423" i="30"/>
  <c r="AE423" i="30" s="1"/>
  <c r="AB422" i="30"/>
  <c r="AC422" i="30"/>
  <c r="D422" i="30" l="1"/>
  <c r="AD424" i="30"/>
  <c r="AE424" i="30" s="1"/>
  <c r="AB423" i="30"/>
  <c r="AC423" i="30"/>
  <c r="A422" i="30"/>
  <c r="C423" i="30"/>
  <c r="D423" i="30" l="1"/>
  <c r="C424" i="30"/>
  <c r="A423" i="30"/>
  <c r="AD425" i="30"/>
  <c r="AE425" i="30" s="1"/>
  <c r="AB424" i="30"/>
  <c r="AC424" i="30"/>
  <c r="D424" i="30" l="1"/>
  <c r="AD426" i="30"/>
  <c r="AE426" i="30" s="1"/>
  <c r="AB425" i="30"/>
  <c r="AC425" i="30"/>
  <c r="C425" i="30"/>
  <c r="A424" i="30"/>
  <c r="D425" i="30" l="1"/>
  <c r="A425" i="30"/>
  <c r="C426" i="30"/>
  <c r="AB426" i="30"/>
  <c r="AD427" i="30"/>
  <c r="AE427" i="30" s="1"/>
  <c r="AC426" i="30"/>
  <c r="D426" i="30" l="1"/>
  <c r="AD428" i="30"/>
  <c r="AE428" i="30" s="1"/>
  <c r="AB427" i="30"/>
  <c r="AC427" i="30"/>
  <c r="A426" i="30"/>
  <c r="C427" i="30"/>
  <c r="D427" i="30" l="1"/>
  <c r="A427" i="30"/>
  <c r="C428" i="30"/>
  <c r="AD429" i="30"/>
  <c r="AE429" i="30" s="1"/>
  <c r="AB428" i="30"/>
  <c r="AC428" i="30"/>
  <c r="D428" i="30" l="1"/>
  <c r="AD430" i="30"/>
  <c r="AE430" i="30" s="1"/>
  <c r="AB429" i="30"/>
  <c r="AC429" i="30"/>
  <c r="C429" i="30"/>
  <c r="A428" i="30"/>
  <c r="D429" i="30" l="1"/>
  <c r="A429" i="30"/>
  <c r="C430" i="30"/>
  <c r="AB430" i="30"/>
  <c r="AD431" i="30"/>
  <c r="AE431" i="30" s="1"/>
  <c r="AC430" i="30"/>
  <c r="D430" i="30" l="1"/>
  <c r="C431" i="30"/>
  <c r="A430" i="30"/>
  <c r="AB431" i="30"/>
  <c r="AD432" i="30"/>
  <c r="AE432" i="30" s="1"/>
  <c r="AC431" i="30"/>
  <c r="D431" i="30" l="1"/>
  <c r="AD433" i="30"/>
  <c r="AE433" i="30" s="1"/>
  <c r="AB432" i="30"/>
  <c r="AC432" i="30"/>
  <c r="A431" i="30"/>
  <c r="C432" i="30"/>
  <c r="D432" i="30" l="1"/>
  <c r="A432" i="30"/>
  <c r="C433" i="30"/>
  <c r="AB433" i="30"/>
  <c r="AD434" i="30"/>
  <c r="AE434" i="30" s="1"/>
  <c r="AC433" i="30"/>
  <c r="D433" i="30" l="1"/>
  <c r="AB434" i="30"/>
  <c r="AD435" i="30"/>
  <c r="AE435" i="30" s="1"/>
  <c r="AC434" i="30"/>
  <c r="A433" i="30"/>
  <c r="C434" i="30"/>
  <c r="D434" i="30" l="1"/>
  <c r="C435" i="30"/>
  <c r="A434" i="30"/>
  <c r="AD436" i="30"/>
  <c r="AE436" i="30" s="1"/>
  <c r="AB435" i="30"/>
  <c r="AC435" i="30"/>
  <c r="D435" i="30" l="1"/>
  <c r="AB436" i="30"/>
  <c r="AD437" i="30"/>
  <c r="AE437" i="30" s="1"/>
  <c r="AC436" i="30"/>
  <c r="A435" i="30"/>
  <c r="C436" i="30"/>
  <c r="D436" i="30" l="1"/>
  <c r="C437" i="30"/>
  <c r="A436" i="30"/>
  <c r="AD438" i="30"/>
  <c r="AE438" i="30" s="1"/>
  <c r="AB437" i="30"/>
  <c r="AC437" i="30"/>
  <c r="D437" i="30" l="1"/>
  <c r="AD439" i="30"/>
  <c r="AE439" i="30" s="1"/>
  <c r="AB438" i="30"/>
  <c r="AC438" i="30"/>
  <c r="C438" i="30"/>
  <c r="A437" i="30"/>
  <c r="D438" i="30" l="1"/>
  <c r="A438" i="30"/>
  <c r="C439" i="30"/>
  <c r="AD440" i="30"/>
  <c r="AE440" i="30" s="1"/>
  <c r="AB439" i="30"/>
  <c r="AC439" i="30"/>
  <c r="D439" i="30" l="1"/>
  <c r="AD441" i="30"/>
  <c r="AE441" i="30" s="1"/>
  <c r="AB440" i="30"/>
  <c r="AC440" i="30"/>
  <c r="C440" i="30"/>
  <c r="A439" i="30"/>
  <c r="D440" i="30" l="1"/>
  <c r="C441" i="30"/>
  <c r="A440" i="30"/>
  <c r="AD442" i="30"/>
  <c r="AE442" i="30" s="1"/>
  <c r="AB441" i="30"/>
  <c r="AC441" i="30"/>
  <c r="D441" i="30" l="1"/>
  <c r="AB442" i="30"/>
  <c r="AD443" i="30"/>
  <c r="AE443" i="30" s="1"/>
  <c r="AC442" i="30"/>
  <c r="A441" i="30"/>
  <c r="C442" i="30"/>
  <c r="D442" i="30" l="1"/>
  <c r="C443" i="30"/>
  <c r="A442" i="30"/>
  <c r="AD444" i="30"/>
  <c r="AE444" i="30" s="1"/>
  <c r="AB443" i="30"/>
  <c r="AC443" i="30"/>
  <c r="D443" i="30" l="1"/>
  <c r="AB444" i="30"/>
  <c r="AD445" i="30"/>
  <c r="AE445" i="30" s="1"/>
  <c r="AC444" i="30"/>
  <c r="C444" i="30"/>
  <c r="A443" i="30"/>
  <c r="D444" i="30" l="1"/>
  <c r="A444" i="30"/>
  <c r="C445" i="30"/>
  <c r="AD446" i="30"/>
  <c r="AE446" i="30" s="1"/>
  <c r="AB445" i="30"/>
  <c r="AC445" i="30"/>
  <c r="D445" i="30" l="1"/>
  <c r="AB446" i="30"/>
  <c r="AD447" i="30"/>
  <c r="AE447" i="30" s="1"/>
  <c r="AC446" i="30"/>
  <c r="A445" i="30"/>
  <c r="C446" i="30"/>
  <c r="D446" i="30" l="1"/>
  <c r="A446" i="30"/>
  <c r="C447" i="30"/>
  <c r="AB447" i="30"/>
  <c r="AD448" i="30"/>
  <c r="AE448" i="30" s="1"/>
  <c r="AC447" i="30"/>
  <c r="D447" i="30" l="1"/>
  <c r="AD449" i="30"/>
  <c r="AE449" i="30" s="1"/>
  <c r="AB448" i="30"/>
  <c r="AC448" i="30"/>
  <c r="C448" i="30"/>
  <c r="A447" i="30"/>
  <c r="D448" i="30" l="1"/>
  <c r="A448" i="30"/>
  <c r="C449" i="30"/>
  <c r="AB449" i="30"/>
  <c r="AD450" i="30"/>
  <c r="AE450" i="30" s="1"/>
  <c r="AC449" i="30"/>
  <c r="D449" i="30" l="1"/>
  <c r="AB450" i="30"/>
  <c r="AD451" i="30"/>
  <c r="AE451" i="30" s="1"/>
  <c r="AC450" i="30"/>
  <c r="A449" i="30"/>
  <c r="C450" i="30"/>
  <c r="D450" i="30" l="1"/>
  <c r="A450" i="30"/>
  <c r="C451" i="30"/>
  <c r="AD452" i="30"/>
  <c r="AE452" i="30" s="1"/>
  <c r="AB451" i="30"/>
  <c r="AC451" i="30"/>
  <c r="D451" i="30" l="1"/>
  <c r="AD453" i="30"/>
  <c r="AE453" i="30" s="1"/>
  <c r="AB452" i="30"/>
  <c r="AC452" i="30"/>
  <c r="A451" i="30"/>
  <c r="C452" i="30"/>
  <c r="D452" i="30" l="1"/>
  <c r="A452" i="30"/>
  <c r="C453" i="30"/>
  <c r="AD454" i="30"/>
  <c r="AE454" i="30" s="1"/>
  <c r="AB453" i="30"/>
  <c r="AC453" i="30"/>
  <c r="D453" i="30" l="1"/>
  <c r="AD455" i="30"/>
  <c r="AE455" i="30" s="1"/>
  <c r="AB454" i="30"/>
  <c r="AC454" i="30"/>
  <c r="A453" i="30"/>
  <c r="C454" i="30"/>
  <c r="D454" i="30" l="1"/>
  <c r="C455" i="30"/>
  <c r="A454" i="30"/>
  <c r="AB455" i="30"/>
  <c r="AD456" i="30"/>
  <c r="AE456" i="30" s="1"/>
  <c r="AC455" i="30"/>
  <c r="D455" i="30" l="1"/>
  <c r="A455" i="30"/>
  <c r="C456" i="30"/>
  <c r="AD457" i="30"/>
  <c r="AE457" i="30" s="1"/>
  <c r="AB456" i="30"/>
  <c r="AC456" i="30"/>
  <c r="D456" i="30" l="1"/>
  <c r="A456" i="30"/>
  <c r="C457" i="30"/>
  <c r="AD458" i="30"/>
  <c r="AE458" i="30" s="1"/>
  <c r="AB457" i="30"/>
  <c r="AC457" i="30"/>
  <c r="D457" i="30" l="1"/>
  <c r="AB458" i="30"/>
  <c r="AD459" i="30"/>
  <c r="AE459" i="30" s="1"/>
  <c r="AC458" i="30"/>
  <c r="C458" i="30"/>
  <c r="A457" i="30"/>
  <c r="D458" i="30" l="1"/>
  <c r="A458" i="30"/>
  <c r="C459" i="30"/>
  <c r="AB459" i="30"/>
  <c r="AD460" i="30"/>
  <c r="AE460" i="30" s="1"/>
  <c r="AC459" i="30"/>
  <c r="D459" i="30" l="1"/>
  <c r="AD461" i="30"/>
  <c r="AE461" i="30" s="1"/>
  <c r="AB460" i="30"/>
  <c r="AC460" i="30"/>
  <c r="C460" i="30"/>
  <c r="A459" i="30"/>
  <c r="D460" i="30" l="1"/>
  <c r="A460" i="30"/>
  <c r="C461" i="30"/>
  <c r="AD462" i="30"/>
  <c r="AE462" i="30" s="1"/>
  <c r="AB461" i="30"/>
  <c r="AC461" i="30"/>
  <c r="D461" i="30" l="1"/>
  <c r="AB462" i="30"/>
  <c r="AD463" i="30"/>
  <c r="AE463" i="30" s="1"/>
  <c r="AC462" i="30"/>
  <c r="C462" i="30"/>
  <c r="A461" i="30"/>
  <c r="D462" i="30" l="1"/>
  <c r="C463" i="30"/>
  <c r="A462" i="30"/>
  <c r="AB463" i="30"/>
  <c r="AD464" i="30"/>
  <c r="AE464" i="30" s="1"/>
  <c r="AC463" i="30"/>
  <c r="D463" i="30" l="1"/>
  <c r="AD465" i="30"/>
  <c r="AE465" i="30" s="1"/>
  <c r="AB464" i="30"/>
  <c r="AC464" i="30"/>
  <c r="C464" i="30"/>
  <c r="A463" i="30"/>
  <c r="D464" i="30" l="1"/>
  <c r="C465" i="30"/>
  <c r="A464" i="30"/>
  <c r="AD466" i="30"/>
  <c r="AE466" i="30" s="1"/>
  <c r="AB465" i="30"/>
  <c r="AC465" i="30"/>
  <c r="D465" i="30" l="1"/>
  <c r="AD467" i="30"/>
  <c r="AE467" i="30" s="1"/>
  <c r="AB466" i="30"/>
  <c r="AC466" i="30"/>
  <c r="C466" i="30"/>
  <c r="A465" i="30"/>
  <c r="D466" i="30" l="1"/>
  <c r="A466" i="30"/>
  <c r="C467" i="30"/>
  <c r="AB467" i="30"/>
  <c r="AD468" i="30"/>
  <c r="AE468" i="30" s="1"/>
  <c r="AC467" i="30"/>
  <c r="D467" i="30" l="1"/>
  <c r="A467" i="30"/>
  <c r="C468" i="30"/>
  <c r="AB468" i="30"/>
  <c r="AD469" i="30"/>
  <c r="AE469" i="30" s="1"/>
  <c r="AC468" i="30"/>
  <c r="D468" i="30" l="1"/>
  <c r="C469" i="30"/>
  <c r="A468" i="30"/>
  <c r="AD470" i="30"/>
  <c r="AE470" i="30" s="1"/>
  <c r="AB469" i="30"/>
  <c r="AC469" i="30"/>
  <c r="D469" i="30" l="1"/>
  <c r="AB470" i="30"/>
  <c r="AD471" i="30"/>
  <c r="AE471" i="30" s="1"/>
  <c r="AC470" i="30"/>
  <c r="A469" i="30"/>
  <c r="C470" i="30"/>
  <c r="D470" i="30" l="1"/>
  <c r="C471" i="30"/>
  <c r="A470" i="30"/>
  <c r="AD472" i="30"/>
  <c r="AE472" i="30" s="1"/>
  <c r="AB471" i="30"/>
  <c r="AC471" i="30"/>
  <c r="D471" i="30" l="1"/>
  <c r="AB472" i="30"/>
  <c r="AD473" i="30"/>
  <c r="AE473" i="30" s="1"/>
  <c r="AC472" i="30"/>
  <c r="C472" i="30"/>
  <c r="A471" i="30"/>
  <c r="D472" i="30" l="1"/>
  <c r="C473" i="30"/>
  <c r="A472" i="30"/>
  <c r="AB473" i="30"/>
  <c r="AD474" i="30"/>
  <c r="AE474" i="30" s="1"/>
  <c r="AC473" i="30"/>
  <c r="D473" i="30" l="1"/>
  <c r="AD475" i="30"/>
  <c r="AE475" i="30" s="1"/>
  <c r="AB474" i="30"/>
  <c r="AC474" i="30"/>
  <c r="C474" i="30"/>
  <c r="A473" i="30"/>
  <c r="D474" i="30" l="1"/>
  <c r="A474" i="30"/>
  <c r="C475" i="30"/>
  <c r="AD476" i="30"/>
  <c r="AE476" i="30" s="1"/>
  <c r="AB475" i="30"/>
  <c r="AC475" i="30"/>
  <c r="D475" i="30" l="1"/>
  <c r="AB476" i="30"/>
  <c r="AD477" i="30"/>
  <c r="AE477" i="30" s="1"/>
  <c r="AC476" i="30"/>
  <c r="C476" i="30"/>
  <c r="A475" i="30"/>
  <c r="D476" i="30" l="1"/>
  <c r="C477" i="30"/>
  <c r="A476" i="30"/>
  <c r="AB477" i="30"/>
  <c r="AD478" i="30"/>
  <c r="AE478" i="30" s="1"/>
  <c r="AC477" i="30"/>
  <c r="D477" i="30" l="1"/>
  <c r="AB478" i="30"/>
  <c r="AD479" i="30"/>
  <c r="AE479" i="30" s="1"/>
  <c r="AC478" i="30"/>
  <c r="A477" i="30"/>
  <c r="C478" i="30"/>
  <c r="D478" i="30" l="1"/>
  <c r="A478" i="30"/>
  <c r="C479" i="30"/>
  <c r="AB479" i="30"/>
  <c r="AD480" i="30"/>
  <c r="AE480" i="30" s="1"/>
  <c r="AC479" i="30"/>
  <c r="D479" i="30" l="1"/>
  <c r="AB480" i="30"/>
  <c r="AD481" i="30"/>
  <c r="AE481" i="30" s="1"/>
  <c r="AC480" i="30"/>
  <c r="A479" i="30"/>
  <c r="C480" i="30"/>
  <c r="D480" i="30" l="1"/>
  <c r="C481" i="30"/>
  <c r="A480" i="30"/>
  <c r="AB481" i="30"/>
  <c r="AD482" i="30"/>
  <c r="AE482" i="30" s="1"/>
  <c r="AC481" i="30"/>
  <c r="D481" i="30" l="1"/>
  <c r="AB482" i="30"/>
  <c r="AD483" i="30"/>
  <c r="AE483" i="30" s="1"/>
  <c r="AC482" i="30"/>
  <c r="C482" i="30"/>
  <c r="A481" i="30"/>
  <c r="D482" i="30" l="1"/>
  <c r="AB483" i="30"/>
  <c r="AD484" i="30"/>
  <c r="AE484" i="30" s="1"/>
  <c r="AC483" i="30"/>
  <c r="C483" i="30"/>
  <c r="A482" i="30"/>
  <c r="D483" i="30" l="1"/>
  <c r="A483" i="30"/>
  <c r="C484" i="30"/>
  <c r="AB484" i="30"/>
  <c r="AD485" i="30"/>
  <c r="AE485" i="30" s="1"/>
  <c r="AC484" i="30"/>
  <c r="D484" i="30" l="1"/>
  <c r="AD486" i="30"/>
  <c r="AE486" i="30" s="1"/>
  <c r="AB485" i="30"/>
  <c r="AC485" i="30"/>
  <c r="A484" i="30"/>
  <c r="C485" i="30"/>
  <c r="D485" i="30" l="1"/>
  <c r="C486" i="30"/>
  <c r="A485" i="30"/>
  <c r="AD487" i="30"/>
  <c r="AE487" i="30" s="1"/>
  <c r="AB486" i="30"/>
  <c r="AC486" i="30"/>
  <c r="D486" i="30" l="1"/>
  <c r="AD488" i="30"/>
  <c r="AE488" i="30" s="1"/>
  <c r="AB487" i="30"/>
  <c r="AC487" i="30"/>
  <c r="A486" i="30"/>
  <c r="C487" i="30"/>
  <c r="D487" i="30" l="1"/>
  <c r="A487" i="30"/>
  <c r="C488" i="30"/>
  <c r="AD489" i="30"/>
  <c r="AE489" i="30" s="1"/>
  <c r="AB488" i="30"/>
  <c r="AC488" i="30"/>
  <c r="D488" i="30" l="1"/>
  <c r="C489" i="30"/>
  <c r="A488" i="30"/>
  <c r="AD490" i="30"/>
  <c r="AE490" i="30" s="1"/>
  <c r="AB489" i="30"/>
  <c r="AC489" i="30"/>
  <c r="D489" i="30" l="1"/>
  <c r="AB490" i="30"/>
  <c r="AD491" i="30"/>
  <c r="AE491" i="30" s="1"/>
  <c r="AC490" i="30"/>
  <c r="C490" i="30"/>
  <c r="A489" i="30"/>
  <c r="D490" i="30" l="1"/>
  <c r="A490" i="30"/>
  <c r="C491" i="30"/>
  <c r="AD492" i="30"/>
  <c r="AE492" i="30" s="1"/>
  <c r="AB491" i="30"/>
  <c r="AC491" i="30"/>
  <c r="D491" i="30" l="1"/>
  <c r="AB492" i="30"/>
  <c r="AD493" i="30"/>
  <c r="AE493" i="30" s="1"/>
  <c r="AC492" i="30"/>
  <c r="C492" i="30"/>
  <c r="A491" i="30"/>
  <c r="D492" i="30" l="1"/>
  <c r="C493" i="30"/>
  <c r="A492" i="30"/>
  <c r="AD494" i="30"/>
  <c r="AE494" i="30" s="1"/>
  <c r="AB493" i="30"/>
  <c r="AC493" i="30"/>
  <c r="D493" i="30" l="1"/>
  <c r="AB494" i="30"/>
  <c r="AD495" i="30"/>
  <c r="AE495" i="30" s="1"/>
  <c r="AC494" i="30"/>
  <c r="C494" i="30"/>
  <c r="A493" i="30"/>
  <c r="D494" i="30" l="1"/>
  <c r="C495" i="30"/>
  <c r="A494" i="30"/>
  <c r="AB495" i="30"/>
  <c r="AD496" i="30"/>
  <c r="AE496" i="30" s="1"/>
  <c r="AC495" i="30"/>
  <c r="D495" i="30" l="1"/>
  <c r="AD497" i="30"/>
  <c r="AE497" i="30" s="1"/>
  <c r="AB496" i="30"/>
  <c r="AC496" i="30"/>
  <c r="C496" i="30"/>
  <c r="A495" i="30"/>
  <c r="L22" i="14"/>
  <c r="M22" i="14"/>
  <c r="N22" i="14"/>
  <c r="P22" i="14"/>
  <c r="Q22" i="14"/>
  <c r="R22" i="14"/>
  <c r="T22" i="14"/>
  <c r="U22" i="14"/>
  <c r="V22" i="14"/>
  <c r="X22" i="14"/>
  <c r="Y22" i="14"/>
  <c r="Z22" i="14"/>
  <c r="L23" i="14"/>
  <c r="M23" i="14"/>
  <c r="N23" i="14"/>
  <c r="P23" i="14"/>
  <c r="Q23" i="14"/>
  <c r="R23" i="14"/>
  <c r="T23" i="14"/>
  <c r="U23" i="14"/>
  <c r="V23" i="14"/>
  <c r="X23" i="14"/>
  <c r="Y23" i="14"/>
  <c r="Z23" i="14"/>
  <c r="L24" i="14"/>
  <c r="M24" i="14"/>
  <c r="N24" i="14"/>
  <c r="P24" i="14"/>
  <c r="Q24" i="14"/>
  <c r="R24" i="14"/>
  <c r="T24" i="14"/>
  <c r="U24" i="14"/>
  <c r="V24" i="14"/>
  <c r="X24" i="14"/>
  <c r="Y24" i="14"/>
  <c r="Z24" i="14"/>
  <c r="L25" i="14"/>
  <c r="M25" i="14"/>
  <c r="N25" i="14"/>
  <c r="P25" i="14"/>
  <c r="Q25" i="14"/>
  <c r="R25" i="14"/>
  <c r="T25" i="14"/>
  <c r="U25" i="14"/>
  <c r="V25" i="14"/>
  <c r="X25" i="14"/>
  <c r="Y25" i="14"/>
  <c r="Z25" i="14"/>
  <c r="L26" i="14"/>
  <c r="M26" i="14"/>
  <c r="N26" i="14"/>
  <c r="P26" i="14"/>
  <c r="Q26" i="14"/>
  <c r="R26" i="14"/>
  <c r="T26" i="14"/>
  <c r="U26" i="14"/>
  <c r="V26" i="14"/>
  <c r="X26" i="14"/>
  <c r="Y26" i="14"/>
  <c r="Z26" i="14"/>
  <c r="L27" i="14"/>
  <c r="M27" i="14"/>
  <c r="N27" i="14"/>
  <c r="P27" i="14"/>
  <c r="Q27" i="14"/>
  <c r="R27" i="14"/>
  <c r="T27" i="14"/>
  <c r="U27" i="14"/>
  <c r="V27" i="14"/>
  <c r="X27" i="14"/>
  <c r="Y27" i="14"/>
  <c r="Z27" i="14"/>
  <c r="L28" i="14"/>
  <c r="M28" i="14"/>
  <c r="N28" i="14"/>
  <c r="P28" i="14"/>
  <c r="Q28" i="14"/>
  <c r="R28" i="14"/>
  <c r="T28" i="14"/>
  <c r="U28" i="14"/>
  <c r="V28" i="14"/>
  <c r="X28" i="14"/>
  <c r="Y28" i="14"/>
  <c r="Z28" i="14"/>
  <c r="L29" i="14"/>
  <c r="M29" i="14"/>
  <c r="N29" i="14"/>
  <c r="P29" i="14"/>
  <c r="Q29" i="14"/>
  <c r="R29" i="14"/>
  <c r="T29" i="14"/>
  <c r="U29" i="14"/>
  <c r="V29" i="14"/>
  <c r="X29" i="14"/>
  <c r="Y29" i="14"/>
  <c r="Z29" i="14"/>
  <c r="L30" i="14"/>
  <c r="M30" i="14"/>
  <c r="N30" i="14"/>
  <c r="P30" i="14"/>
  <c r="Q30" i="14"/>
  <c r="R30" i="14"/>
  <c r="T30" i="14"/>
  <c r="U30" i="14"/>
  <c r="V30" i="14"/>
  <c r="X30" i="14"/>
  <c r="Y30" i="14"/>
  <c r="Z30" i="14"/>
  <c r="L31" i="14"/>
  <c r="M31" i="14"/>
  <c r="N31" i="14"/>
  <c r="P31" i="14"/>
  <c r="Q31" i="14"/>
  <c r="R31" i="14"/>
  <c r="T31" i="14"/>
  <c r="U31" i="14"/>
  <c r="V31" i="14"/>
  <c r="X31" i="14"/>
  <c r="Y31" i="14"/>
  <c r="Z31" i="14"/>
  <c r="D496" i="30" l="1"/>
  <c r="AD498" i="30"/>
  <c r="AE498" i="30" s="1"/>
  <c r="AB497" i="30"/>
  <c r="AC497" i="30"/>
  <c r="C497" i="30"/>
  <c r="A496" i="30"/>
  <c r="V18" i="14"/>
  <c r="V19" i="14"/>
  <c r="V20" i="14"/>
  <c r="V21" i="14"/>
  <c r="R18" i="14"/>
  <c r="R19" i="14"/>
  <c r="R20" i="14"/>
  <c r="R21" i="14"/>
  <c r="N18" i="14"/>
  <c r="N19" i="14"/>
  <c r="N20" i="14"/>
  <c r="N21" i="14"/>
  <c r="D497" i="30" l="1"/>
  <c r="C498" i="30"/>
  <c r="A497" i="30"/>
  <c r="AD499" i="30"/>
  <c r="AE499" i="30" s="1"/>
  <c r="AB498" i="30"/>
  <c r="AC498" i="30"/>
  <c r="L19" i="14"/>
  <c r="M19" i="14"/>
  <c r="P19" i="14"/>
  <c r="Q19" i="14"/>
  <c r="T19" i="14"/>
  <c r="U19" i="14"/>
  <c r="X19" i="14"/>
  <c r="Y19" i="14"/>
  <c r="Z19" i="14"/>
  <c r="L20" i="14"/>
  <c r="M20" i="14"/>
  <c r="P20" i="14"/>
  <c r="Q20" i="14"/>
  <c r="T20" i="14"/>
  <c r="U20" i="14"/>
  <c r="X20" i="14"/>
  <c r="Y20" i="14"/>
  <c r="Z20" i="14"/>
  <c r="L21" i="14"/>
  <c r="M21" i="14"/>
  <c r="P21" i="14"/>
  <c r="Q21" i="14"/>
  <c r="T21" i="14"/>
  <c r="U21" i="14"/>
  <c r="X21" i="14"/>
  <c r="Y21" i="14"/>
  <c r="Z21" i="14"/>
  <c r="P14" i="15" a="1"/>
  <c r="P14" i="15" s="1"/>
  <c r="D498" i="30" l="1"/>
  <c r="AB499" i="30"/>
  <c r="AD500" i="30"/>
  <c r="AE500" i="30" s="1"/>
  <c r="AC499" i="30"/>
  <c r="A498" i="30"/>
  <c r="C499" i="30"/>
  <c r="S39" i="20"/>
  <c r="Q12" i="27" s="1"/>
  <c r="M39" i="20"/>
  <c r="K39" i="20"/>
  <c r="I39" i="20"/>
  <c r="Q23" i="20"/>
  <c r="O23" i="20"/>
  <c r="M23" i="20"/>
  <c r="K23" i="20"/>
  <c r="I23" i="20"/>
  <c r="S20" i="20"/>
  <c r="Q10" i="27" s="1"/>
  <c r="Q20" i="20"/>
  <c r="O20" i="20"/>
  <c r="M20" i="20"/>
  <c r="K20" i="20"/>
  <c r="I20" i="20"/>
  <c r="S14" i="20"/>
  <c r="Q8" i="27" s="1"/>
  <c r="M14" i="20"/>
  <c r="K14" i="20"/>
  <c r="I14" i="20"/>
  <c r="M8" i="20"/>
  <c r="N9" i="20" s="1"/>
  <c r="K8" i="20"/>
  <c r="L9" i="20" s="1"/>
  <c r="I8" i="20"/>
  <c r="J13" i="20" s="1"/>
  <c r="N7" i="20"/>
  <c r="L7" i="20"/>
  <c r="J7" i="20"/>
  <c r="D499" i="30" l="1"/>
  <c r="P10" i="27"/>
  <c r="C22" i="38" s="1"/>
  <c r="G19" i="28"/>
  <c r="H19" i="28" s="1"/>
  <c r="I19" i="28" s="1"/>
  <c r="J19" i="28" s="1"/>
  <c r="K19" i="28" s="1"/>
  <c r="N10" i="27"/>
  <c r="C21" i="38" s="1"/>
  <c r="F19" i="28"/>
  <c r="C500" i="30"/>
  <c r="A499" i="30"/>
  <c r="AB500" i="30"/>
  <c r="AC500" i="30"/>
  <c r="J12" i="20"/>
  <c r="L13" i="20"/>
  <c r="N12" i="20"/>
  <c r="L12" i="20"/>
  <c r="I16" i="20"/>
  <c r="I21" i="20" s="1"/>
  <c r="I41" i="20" s="1"/>
  <c r="J11" i="20"/>
  <c r="L11" i="20"/>
  <c r="L14" i="20"/>
  <c r="K15" i="20" s="1"/>
  <c r="N14" i="20"/>
  <c r="M15" i="20" s="1"/>
  <c r="J14" i="20"/>
  <c r="I15" i="20" s="1"/>
  <c r="N13" i="20"/>
  <c r="K16" i="20"/>
  <c r="K21" i="20" s="1"/>
  <c r="K41" i="20" s="1"/>
  <c r="N11" i="20"/>
  <c r="M16" i="20"/>
  <c r="M21" i="20" s="1"/>
  <c r="M41" i="20" s="1"/>
  <c r="J9" i="20"/>
  <c r="D500" i="30" l="1"/>
  <c r="L19" i="28"/>
  <c r="M19" i="28" s="1"/>
  <c r="N19" i="28" s="1"/>
  <c r="O19" i="28" s="1"/>
  <c r="P19" i="28" s="1"/>
  <c r="A500" i="30"/>
  <c r="I40" i="20"/>
  <c r="K40" i="20"/>
  <c r="M40" i="20"/>
  <c r="D8" i="15" l="1"/>
  <c r="T6" i="13" a="1"/>
  <c r="T6" i="13" s="1"/>
  <c r="T7" i="13" a="1"/>
  <c r="T7" i="13" s="1"/>
  <c r="T8" i="13" a="1"/>
  <c r="T8" i="13" s="1"/>
  <c r="T9" i="13" a="1"/>
  <c r="T9" i="13" s="1"/>
  <c r="T10" i="13" a="1"/>
  <c r="T10" i="13" s="1"/>
  <c r="T11" i="13" a="1"/>
  <c r="T11" i="13" s="1"/>
  <c r="T12" i="13" a="1"/>
  <c r="T12" i="13" s="1"/>
  <c r="T13" i="13" a="1"/>
  <c r="T13" i="13" s="1"/>
  <c r="T14" i="13" a="1"/>
  <c r="T14" i="13" s="1"/>
  <c r="T15" i="13" a="1"/>
  <c r="T15" i="13" s="1"/>
  <c r="T16" i="13" a="1"/>
  <c r="T16" i="13" s="1"/>
  <c r="T17" i="13" a="1"/>
  <c r="T17" i="13" s="1"/>
  <c r="T18" i="13" a="1"/>
  <c r="T18" i="13" s="1"/>
  <c r="T19" i="13" a="1"/>
  <c r="T19" i="13" s="1"/>
  <c r="T20" i="13" a="1"/>
  <c r="T20" i="13" s="1"/>
  <c r="T21" i="13" a="1"/>
  <c r="T21" i="13" s="1"/>
  <c r="T22" i="13" a="1"/>
  <c r="T22" i="13" s="1"/>
  <c r="T23" i="13" a="1"/>
  <c r="T23" i="13" s="1"/>
  <c r="T24" i="13" a="1"/>
  <c r="T24" i="13" s="1"/>
  <c r="T25" i="13" a="1"/>
  <c r="T25" i="13" s="1"/>
  <c r="T26" i="13" a="1"/>
  <c r="T26" i="13" s="1"/>
  <c r="T27" i="13" a="1"/>
  <c r="T27" i="13" s="1"/>
  <c r="T28" i="13" a="1"/>
  <c r="T28" i="13" s="1"/>
  <c r="T29" i="13" a="1"/>
  <c r="T29" i="13" s="1"/>
  <c r="T30" i="13" a="1"/>
  <c r="T30" i="13" s="1"/>
  <c r="T31" i="13" a="1"/>
  <c r="T31" i="13" s="1"/>
  <c r="T32" i="13" a="1"/>
  <c r="T32" i="13" s="1"/>
  <c r="T33" i="13" a="1"/>
  <c r="T33" i="13" s="1"/>
  <c r="T34" i="13" a="1"/>
  <c r="T34" i="13" s="1"/>
  <c r="T35" i="13" a="1"/>
  <c r="T35" i="13" s="1"/>
  <c r="T36" i="13" a="1"/>
  <c r="T36" i="13" s="1"/>
  <c r="T37" i="13" a="1"/>
  <c r="T37" i="13" s="1"/>
  <c r="T38" i="13" a="1"/>
  <c r="T38" i="13" s="1"/>
  <c r="T39" i="13" a="1"/>
  <c r="T39" i="13" s="1"/>
  <c r="T40" i="13" a="1"/>
  <c r="T40" i="13" s="1"/>
  <c r="T41" i="13" a="1"/>
  <c r="T41" i="13" s="1"/>
  <c r="T42" i="13" a="1"/>
  <c r="T42" i="13" s="1"/>
  <c r="T43" i="13" a="1"/>
  <c r="T43" i="13" s="1"/>
  <c r="T44" i="13" a="1"/>
  <c r="T44" i="13" s="1"/>
  <c r="T45" i="13" a="1"/>
  <c r="T45" i="13" s="1"/>
  <c r="T46" i="13" a="1"/>
  <c r="T46" i="13" s="1"/>
  <c r="T47" i="13" a="1"/>
  <c r="T47" i="13" s="1"/>
  <c r="T48" i="13" a="1"/>
  <c r="T48" i="13" s="1"/>
  <c r="T49" i="13" a="1"/>
  <c r="T49" i="13" s="1"/>
  <c r="T50" i="13" a="1"/>
  <c r="T50" i="13" s="1"/>
  <c r="T51" i="13" a="1"/>
  <c r="T51" i="13" s="1"/>
  <c r="T52" i="13" a="1"/>
  <c r="T52" i="13" s="1"/>
  <c r="T53" i="13" a="1"/>
  <c r="T53" i="13" s="1"/>
  <c r="T54" i="13" a="1"/>
  <c r="T54" i="13" s="1"/>
  <c r="T55" i="13" a="1"/>
  <c r="T55" i="13" s="1"/>
  <c r="T56" i="13" a="1"/>
  <c r="T56" i="13" s="1"/>
  <c r="T57" i="13" a="1"/>
  <c r="T57" i="13" s="1"/>
  <c r="T58" i="13" a="1"/>
  <c r="T58" i="13" s="1"/>
  <c r="T59" i="13" a="1"/>
  <c r="T59" i="13" s="1"/>
  <c r="T60" i="13" a="1"/>
  <c r="T60" i="13" s="1"/>
  <c r="T61" i="13" a="1"/>
  <c r="T61" i="13" s="1"/>
  <c r="T62" i="13" a="1"/>
  <c r="T62" i="13" s="1"/>
  <c r="T63" i="13" a="1"/>
  <c r="T63" i="13" s="1"/>
  <c r="T64" i="13" a="1"/>
  <c r="T64" i="13" s="1"/>
  <c r="T65" i="13" a="1"/>
  <c r="T65" i="13" s="1"/>
  <c r="T66" i="13" a="1"/>
  <c r="T66" i="13" s="1"/>
  <c r="T67" i="13" a="1"/>
  <c r="T67" i="13" s="1"/>
  <c r="T68" i="13" a="1"/>
  <c r="T68" i="13" s="1"/>
  <c r="T69" i="13" a="1"/>
  <c r="T69" i="13" s="1"/>
  <c r="T70" i="13" a="1"/>
  <c r="T70" i="13" s="1"/>
  <c r="T71" i="13" a="1"/>
  <c r="T71" i="13" s="1"/>
  <c r="T72" i="13" a="1"/>
  <c r="T72" i="13" s="1"/>
  <c r="T73" i="13" a="1"/>
  <c r="T73" i="13" s="1"/>
  <c r="T74" i="13" a="1"/>
  <c r="T74" i="13" s="1"/>
  <c r="T75" i="13" a="1"/>
  <c r="T75" i="13" s="1"/>
  <c r="T76" i="13" a="1"/>
  <c r="T76" i="13" s="1"/>
  <c r="T77" i="13" a="1"/>
  <c r="T77" i="13" s="1"/>
  <c r="T78" i="13" a="1"/>
  <c r="T78" i="13" s="1"/>
  <c r="T79" i="13" a="1"/>
  <c r="T79" i="13" s="1"/>
  <c r="T80" i="13" a="1"/>
  <c r="T80" i="13" s="1"/>
  <c r="T81" i="13" a="1"/>
  <c r="T81" i="13" s="1"/>
  <c r="T82" i="13" a="1"/>
  <c r="T82" i="13" s="1"/>
  <c r="T83" i="13" a="1"/>
  <c r="T83" i="13" s="1"/>
  <c r="T84" i="13" a="1"/>
  <c r="T84" i="13" s="1"/>
  <c r="T85" i="13" a="1"/>
  <c r="T85" i="13" s="1"/>
  <c r="T86" i="13" a="1"/>
  <c r="T86" i="13" s="1"/>
  <c r="T87" i="13" a="1"/>
  <c r="T87" i="13" s="1"/>
  <c r="T88" i="13" a="1"/>
  <c r="T88" i="13" s="1"/>
  <c r="T89" i="13" a="1"/>
  <c r="T89" i="13" s="1"/>
  <c r="T90" i="13" a="1"/>
  <c r="T90" i="13" s="1"/>
  <c r="T91" i="13" a="1"/>
  <c r="T91" i="13" s="1"/>
  <c r="T92" i="13" a="1"/>
  <c r="T92" i="13" s="1"/>
  <c r="T93" i="13" a="1"/>
  <c r="T93" i="13" s="1"/>
  <c r="T94" i="13" a="1"/>
  <c r="T94" i="13" s="1"/>
  <c r="T95" i="13" a="1"/>
  <c r="T95" i="13" s="1"/>
  <c r="T96" i="13" a="1"/>
  <c r="T96" i="13" s="1"/>
  <c r="T97" i="13" a="1"/>
  <c r="T97" i="13" s="1"/>
  <c r="T98" i="13" a="1"/>
  <c r="T98" i="13" s="1"/>
  <c r="T99" i="13" a="1"/>
  <c r="T99" i="13" s="1"/>
  <c r="T100" i="13" a="1"/>
  <c r="T100" i="13" s="1"/>
  <c r="T101" i="13" a="1"/>
  <c r="T101" i="13" s="1"/>
  <c r="T102" i="13" a="1"/>
  <c r="T102" i="13" s="1"/>
  <c r="T103" i="13" a="1"/>
  <c r="T103" i="13" s="1"/>
  <c r="T104" i="13" a="1"/>
  <c r="T104" i="13" s="1"/>
  <c r="T105" i="13" a="1"/>
  <c r="T105" i="13" s="1"/>
  <c r="T106" i="13" a="1"/>
  <c r="T106" i="13" s="1"/>
  <c r="T107" i="13" a="1"/>
  <c r="T107" i="13" s="1"/>
  <c r="T108" i="13" a="1"/>
  <c r="T108" i="13" s="1"/>
  <c r="T109" i="13" a="1"/>
  <c r="T109" i="13" s="1"/>
  <c r="T110" i="13" a="1"/>
  <c r="T110" i="13" s="1"/>
  <c r="T111" i="13" a="1"/>
  <c r="T111" i="13" s="1"/>
  <c r="T112" i="13" a="1"/>
  <c r="T112" i="13" s="1"/>
  <c r="T113" i="13" a="1"/>
  <c r="T113" i="13" s="1"/>
  <c r="T114" i="13" a="1"/>
  <c r="T114" i="13" s="1"/>
  <c r="T115" i="13" a="1"/>
  <c r="T115" i="13" s="1"/>
  <c r="T116" i="13" a="1"/>
  <c r="T116" i="13" s="1"/>
  <c r="T117" i="13" a="1"/>
  <c r="T117" i="13" s="1"/>
  <c r="T118" i="13" a="1"/>
  <c r="T118" i="13" s="1"/>
  <c r="T119" i="13" a="1"/>
  <c r="T119" i="13" s="1"/>
  <c r="T120" i="13" a="1"/>
  <c r="T120" i="13" s="1"/>
  <c r="T121" i="13" a="1"/>
  <c r="T121" i="13" s="1"/>
  <c r="T122" i="13" a="1"/>
  <c r="T122" i="13" s="1"/>
  <c r="T123" i="13" a="1"/>
  <c r="T123" i="13" s="1"/>
  <c r="T124" i="13" a="1"/>
  <c r="T124" i="13" s="1"/>
  <c r="T125" i="13" a="1"/>
  <c r="T125" i="13" s="1"/>
  <c r="T126" i="13" a="1"/>
  <c r="T126" i="13" s="1"/>
  <c r="T127" i="13" a="1"/>
  <c r="T127" i="13" s="1"/>
  <c r="T128" i="13" a="1"/>
  <c r="T128" i="13" s="1"/>
  <c r="T129" i="13" a="1"/>
  <c r="T129" i="13" s="1"/>
  <c r="T130" i="13" a="1"/>
  <c r="T130" i="13" s="1"/>
  <c r="T131" i="13" a="1"/>
  <c r="T131" i="13" s="1"/>
  <c r="T132" i="13" a="1"/>
  <c r="T132" i="13" s="1"/>
  <c r="T133" i="13" a="1"/>
  <c r="T133" i="13" s="1"/>
  <c r="T134" i="13" a="1"/>
  <c r="T134" i="13" s="1"/>
  <c r="T135" i="13" a="1"/>
  <c r="T135" i="13" s="1"/>
  <c r="T136" i="13" a="1"/>
  <c r="T136" i="13" s="1"/>
  <c r="T137" i="13" a="1"/>
  <c r="T137" i="13" s="1"/>
  <c r="T138" i="13" a="1"/>
  <c r="T138" i="13" s="1"/>
  <c r="T139" i="13" a="1"/>
  <c r="T139" i="13" s="1"/>
  <c r="T140" i="13" a="1"/>
  <c r="T140" i="13" s="1"/>
  <c r="T141" i="13" a="1"/>
  <c r="T141" i="13" s="1"/>
  <c r="T142" i="13" a="1"/>
  <c r="T142" i="13" s="1"/>
  <c r="T143" i="13" a="1"/>
  <c r="T143" i="13" s="1"/>
  <c r="T144" i="13" a="1"/>
  <c r="T144" i="13" s="1"/>
  <c r="T145" i="13" a="1"/>
  <c r="T145" i="13" s="1"/>
  <c r="T146" i="13" a="1"/>
  <c r="T146" i="13" s="1"/>
  <c r="T147" i="13" a="1"/>
  <c r="T147" i="13" s="1"/>
  <c r="T148" i="13" a="1"/>
  <c r="T148" i="13" s="1"/>
  <c r="T149" i="13" a="1"/>
  <c r="T149" i="13" s="1"/>
  <c r="T150" i="13" a="1"/>
  <c r="T150" i="13" s="1"/>
  <c r="T151" i="13" a="1"/>
  <c r="T151" i="13" s="1"/>
  <c r="T152" i="13" a="1"/>
  <c r="T152" i="13" s="1"/>
  <c r="T153" i="13" a="1"/>
  <c r="T153" i="13" s="1"/>
  <c r="T154" i="13" a="1"/>
  <c r="T154" i="13" s="1"/>
  <c r="T155" i="13" a="1"/>
  <c r="T155" i="13" s="1"/>
  <c r="T156" i="13" a="1"/>
  <c r="T156" i="13" s="1"/>
  <c r="T157" i="13" a="1"/>
  <c r="T157" i="13" s="1"/>
  <c r="T158" i="13" a="1"/>
  <c r="T158" i="13" s="1"/>
  <c r="T159" i="13" a="1"/>
  <c r="T159" i="13" s="1"/>
  <c r="T160" i="13" a="1"/>
  <c r="T160" i="13" s="1"/>
  <c r="T161" i="13" a="1"/>
  <c r="T161" i="13" s="1"/>
  <c r="T162" i="13" a="1"/>
  <c r="T162" i="13" s="1"/>
  <c r="T163" i="13" a="1"/>
  <c r="T163" i="13" s="1"/>
  <c r="T164" i="13" a="1"/>
  <c r="T164" i="13" s="1"/>
  <c r="T165" i="13" a="1"/>
  <c r="T165" i="13" s="1"/>
  <c r="T166" i="13" a="1"/>
  <c r="T166" i="13" s="1"/>
  <c r="T167" i="13" a="1"/>
  <c r="T167" i="13" s="1"/>
  <c r="T168" i="13" a="1"/>
  <c r="T168" i="13" s="1"/>
  <c r="T169" i="13" a="1"/>
  <c r="T169" i="13" s="1"/>
  <c r="T170" i="13" a="1"/>
  <c r="T170" i="13" s="1"/>
  <c r="T171" i="13" a="1"/>
  <c r="T171" i="13" s="1"/>
  <c r="T172" i="13" a="1"/>
  <c r="T172" i="13" s="1"/>
  <c r="T173" i="13" a="1"/>
  <c r="T173" i="13" s="1"/>
  <c r="T174" i="13" a="1"/>
  <c r="T174" i="13" s="1"/>
  <c r="T175" i="13" a="1"/>
  <c r="T175" i="13" s="1"/>
  <c r="T176" i="13" a="1"/>
  <c r="T176" i="13" s="1"/>
  <c r="T177" i="13" a="1"/>
  <c r="T177" i="13" s="1"/>
  <c r="T178" i="13" a="1"/>
  <c r="T178" i="13" s="1"/>
  <c r="T179" i="13" a="1"/>
  <c r="T179" i="13" s="1"/>
  <c r="T180" i="13" a="1"/>
  <c r="T180" i="13" s="1"/>
  <c r="T181" i="13" a="1"/>
  <c r="T181" i="13" s="1"/>
  <c r="T182" i="13" a="1"/>
  <c r="T182" i="13" s="1"/>
  <c r="T183" i="13" a="1"/>
  <c r="T183" i="13" s="1"/>
  <c r="T184" i="13" a="1"/>
  <c r="T184" i="13" s="1"/>
  <c r="T185" i="13" a="1"/>
  <c r="T185" i="13" s="1"/>
  <c r="T186" i="13" a="1"/>
  <c r="T186" i="13" s="1"/>
  <c r="T187" i="13" a="1"/>
  <c r="T187" i="13" s="1"/>
  <c r="T188" i="13" a="1"/>
  <c r="T188" i="13" s="1"/>
  <c r="T189" i="13" a="1"/>
  <c r="T189" i="13" s="1"/>
  <c r="T190" i="13" a="1"/>
  <c r="T190" i="13" s="1"/>
  <c r="T191" i="13" a="1"/>
  <c r="T191" i="13" s="1"/>
  <c r="T192" i="13" a="1"/>
  <c r="T192" i="13" s="1"/>
  <c r="T193" i="13" a="1"/>
  <c r="T193" i="13" s="1"/>
  <c r="T194" i="13" a="1"/>
  <c r="T194" i="13" s="1"/>
  <c r="T195" i="13" a="1"/>
  <c r="T195" i="13" s="1"/>
  <c r="T196" i="13" a="1"/>
  <c r="T196" i="13" s="1"/>
  <c r="T197" i="13" a="1"/>
  <c r="T197" i="13" s="1"/>
  <c r="T198" i="13" a="1"/>
  <c r="T198" i="13" s="1"/>
  <c r="T199" i="13" a="1"/>
  <c r="T199" i="13" s="1"/>
  <c r="T200" i="13" a="1"/>
  <c r="T200" i="13" s="1"/>
  <c r="T201" i="13" a="1"/>
  <c r="T201" i="13" s="1"/>
  <c r="T202" i="13" a="1"/>
  <c r="T202" i="13" s="1"/>
  <c r="T203" i="13" a="1"/>
  <c r="T203" i="13" s="1"/>
  <c r="T204" i="13" a="1"/>
  <c r="T204" i="13" s="1"/>
  <c r="T205" i="13" a="1"/>
  <c r="T205" i="13" s="1"/>
  <c r="T206" i="13" a="1"/>
  <c r="T206" i="13" s="1"/>
  <c r="T207" i="13" a="1"/>
  <c r="T207" i="13" s="1"/>
  <c r="T208" i="13" a="1"/>
  <c r="T208" i="13" s="1"/>
  <c r="T209" i="13" a="1"/>
  <c r="T209" i="13" s="1"/>
  <c r="T210" i="13" a="1"/>
  <c r="T210" i="13" s="1"/>
  <c r="T211" i="13" a="1"/>
  <c r="T211" i="13" s="1"/>
  <c r="T212" i="13" a="1"/>
  <c r="T212" i="13" s="1"/>
  <c r="T213" i="13" a="1"/>
  <c r="T213" i="13" s="1"/>
  <c r="T214" i="13" a="1"/>
  <c r="T214" i="13" s="1"/>
  <c r="T5" i="13" a="1"/>
  <c r="T5" i="13" s="1"/>
  <c r="K7" i="16"/>
  <c r="L7" i="16"/>
  <c r="M7" i="16"/>
  <c r="N7" i="16"/>
  <c r="O7" i="16"/>
  <c r="P7" i="16"/>
  <c r="F7" i="16"/>
  <c r="J7" i="16"/>
  <c r="C7" i="16"/>
  <c r="D7" i="16"/>
  <c r="E7" i="16"/>
  <c r="G7" i="16"/>
  <c r="H7" i="16"/>
  <c r="I7" i="16"/>
  <c r="B7" i="16"/>
  <c r="U7" i="13" l="1"/>
  <c r="V7" i="13" s="1"/>
  <c r="U8" i="13"/>
  <c r="V8" i="13" s="1"/>
  <c r="L8" i="13" l="1"/>
  <c r="P8" i="13" s="1"/>
  <c r="M8" i="13"/>
  <c r="Q8" i="13" s="1"/>
  <c r="N8" i="13"/>
  <c r="R8" i="13" s="1"/>
  <c r="M7" i="13"/>
  <c r="Q7" i="13" s="1"/>
  <c r="N7" i="13"/>
  <c r="R7" i="13" s="1"/>
  <c r="L7" i="13"/>
  <c r="P7" i="13" s="1"/>
  <c r="E8" i="15"/>
  <c r="K8" i="15"/>
  <c r="M8" i="15"/>
  <c r="C8" i="15"/>
  <c r="F8" i="15"/>
  <c r="G8" i="15"/>
  <c r="H8" i="15"/>
  <c r="I8" i="15"/>
  <c r="J8" i="15"/>
  <c r="C1" i="12" a="1"/>
  <c r="C1" i="12" s="1"/>
  <c r="U13" i="13" l="1"/>
  <c r="V13" i="13" s="1"/>
  <c r="U14" i="13"/>
  <c r="V14" i="13" s="1"/>
  <c r="U15" i="13"/>
  <c r="V15" i="13" s="1"/>
  <c r="U16" i="13"/>
  <c r="V16" i="13" s="1"/>
  <c r="U17" i="13"/>
  <c r="U18" i="13"/>
  <c r="V18" i="13" s="1"/>
  <c r="U19" i="13"/>
  <c r="V19" i="13" s="1"/>
  <c r="U20" i="13"/>
  <c r="V20" i="13" s="1"/>
  <c r="U21" i="13"/>
  <c r="V21" i="13" s="1"/>
  <c r="U22" i="13"/>
  <c r="V22" i="13" s="1"/>
  <c r="U23" i="13"/>
  <c r="V23" i="13" s="1"/>
  <c r="U24" i="13"/>
  <c r="V24" i="13" s="1"/>
  <c r="U25" i="13"/>
  <c r="V25" i="13" s="1"/>
  <c r="U26" i="13"/>
  <c r="V26" i="13" s="1"/>
  <c r="U27" i="13"/>
  <c r="V27" i="13" s="1"/>
  <c r="U28" i="13"/>
  <c r="V28" i="13" s="1"/>
  <c r="U29" i="13"/>
  <c r="V29" i="13" s="1"/>
  <c r="U30" i="13"/>
  <c r="V30" i="13" s="1"/>
  <c r="U31" i="13"/>
  <c r="V31" i="13" s="1"/>
  <c r="U32" i="13"/>
  <c r="V32" i="13" s="1"/>
  <c r="U33" i="13"/>
  <c r="V33" i="13" s="1"/>
  <c r="U34" i="13"/>
  <c r="V34" i="13" s="1"/>
  <c r="U35" i="13"/>
  <c r="V35" i="13" s="1"/>
  <c r="U36" i="13"/>
  <c r="V36" i="13" s="1"/>
  <c r="U37" i="13"/>
  <c r="V37" i="13" s="1"/>
  <c r="U38" i="13"/>
  <c r="V38" i="13" s="1"/>
  <c r="U39" i="13"/>
  <c r="V39" i="13" s="1"/>
  <c r="U40" i="13"/>
  <c r="V40" i="13" s="1"/>
  <c r="U41" i="13"/>
  <c r="V41" i="13" s="1"/>
  <c r="U42" i="13"/>
  <c r="V42" i="13" s="1"/>
  <c r="U43" i="13"/>
  <c r="V43" i="13" s="1"/>
  <c r="U44" i="13"/>
  <c r="V44" i="13" s="1"/>
  <c r="U45" i="13"/>
  <c r="V45" i="13" s="1"/>
  <c r="U46" i="13"/>
  <c r="V46" i="13" s="1"/>
  <c r="U47" i="13"/>
  <c r="V47" i="13" s="1"/>
  <c r="U48" i="13"/>
  <c r="V48" i="13" s="1"/>
  <c r="U49" i="13"/>
  <c r="V49" i="13" s="1"/>
  <c r="U50" i="13"/>
  <c r="V50" i="13" s="1"/>
  <c r="U51" i="13"/>
  <c r="V51" i="13" s="1"/>
  <c r="U52" i="13"/>
  <c r="V52" i="13" s="1"/>
  <c r="U53" i="13"/>
  <c r="V53" i="13" s="1"/>
  <c r="U54" i="13"/>
  <c r="V54" i="13" s="1"/>
  <c r="U55" i="13"/>
  <c r="U56" i="13"/>
  <c r="V56" i="13" s="1"/>
  <c r="U57" i="13"/>
  <c r="V57" i="13" s="1"/>
  <c r="U58" i="13"/>
  <c r="V58" i="13" s="1"/>
  <c r="U59" i="13"/>
  <c r="V59" i="13" s="1"/>
  <c r="U60" i="13"/>
  <c r="V60" i="13" s="1"/>
  <c r="U61" i="13"/>
  <c r="V61" i="13" s="1"/>
  <c r="U62" i="13"/>
  <c r="V62" i="13" s="1"/>
  <c r="U63" i="13"/>
  <c r="V63" i="13" s="1"/>
  <c r="U64" i="13"/>
  <c r="V64" i="13" s="1"/>
  <c r="U65" i="13"/>
  <c r="V65" i="13" s="1"/>
  <c r="U66" i="13"/>
  <c r="V66" i="13" s="1"/>
  <c r="U67" i="13"/>
  <c r="V67" i="13" s="1"/>
  <c r="U68" i="13"/>
  <c r="V68" i="13" s="1"/>
  <c r="U69" i="13"/>
  <c r="V69" i="13" s="1"/>
  <c r="U70" i="13"/>
  <c r="V70" i="13" s="1"/>
  <c r="U71" i="13"/>
  <c r="V71" i="13" s="1"/>
  <c r="U72" i="13"/>
  <c r="V72" i="13" s="1"/>
  <c r="U73" i="13"/>
  <c r="V73" i="13" s="1"/>
  <c r="U74" i="13"/>
  <c r="V74" i="13" s="1"/>
  <c r="U75" i="13"/>
  <c r="V75" i="13" s="1"/>
  <c r="U76" i="13"/>
  <c r="V76" i="13" s="1"/>
  <c r="U77" i="13"/>
  <c r="V77" i="13" s="1"/>
  <c r="U78" i="13"/>
  <c r="V78" i="13" s="1"/>
  <c r="U79" i="13"/>
  <c r="V79" i="13" s="1"/>
  <c r="U80" i="13"/>
  <c r="V80" i="13" s="1"/>
  <c r="U81" i="13"/>
  <c r="V81" i="13" s="1"/>
  <c r="U82" i="13"/>
  <c r="V82" i="13" s="1"/>
  <c r="U83" i="13"/>
  <c r="V83" i="13" s="1"/>
  <c r="U84" i="13"/>
  <c r="V84" i="13" s="1"/>
  <c r="U85" i="13"/>
  <c r="V85" i="13" s="1"/>
  <c r="U86" i="13"/>
  <c r="V86" i="13" s="1"/>
  <c r="U87" i="13"/>
  <c r="V87" i="13" s="1"/>
  <c r="U88" i="13"/>
  <c r="V88" i="13" s="1"/>
  <c r="U89" i="13"/>
  <c r="V89" i="13" s="1"/>
  <c r="U90" i="13"/>
  <c r="V90" i="13" s="1"/>
  <c r="U91" i="13"/>
  <c r="V91" i="13" s="1"/>
  <c r="U92" i="13"/>
  <c r="V92" i="13" s="1"/>
  <c r="U93" i="13"/>
  <c r="V93" i="13" s="1"/>
  <c r="U94" i="13"/>
  <c r="V94" i="13" s="1"/>
  <c r="U95" i="13"/>
  <c r="V95" i="13" s="1"/>
  <c r="U96" i="13"/>
  <c r="V96" i="13" s="1"/>
  <c r="U97" i="13"/>
  <c r="V97" i="13" s="1"/>
  <c r="U98" i="13"/>
  <c r="V98" i="13" s="1"/>
  <c r="U99" i="13"/>
  <c r="V99" i="13" s="1"/>
  <c r="U100" i="13"/>
  <c r="V100" i="13" s="1"/>
  <c r="U101" i="13"/>
  <c r="V101" i="13" s="1"/>
  <c r="U102" i="13"/>
  <c r="V102" i="13" s="1"/>
  <c r="U103" i="13"/>
  <c r="V103" i="13" s="1"/>
  <c r="U104" i="13"/>
  <c r="V104" i="13" s="1"/>
  <c r="U105" i="13"/>
  <c r="V105" i="13" s="1"/>
  <c r="U106" i="13"/>
  <c r="V106" i="13" s="1"/>
  <c r="U107" i="13"/>
  <c r="V107" i="13" s="1"/>
  <c r="U108" i="13"/>
  <c r="V108" i="13" s="1"/>
  <c r="U109" i="13"/>
  <c r="V109" i="13" s="1"/>
  <c r="U110" i="13"/>
  <c r="V110" i="13" s="1"/>
  <c r="U111" i="13"/>
  <c r="V111" i="13" s="1"/>
  <c r="U112" i="13"/>
  <c r="V112" i="13" s="1"/>
  <c r="U113" i="13"/>
  <c r="V113" i="13" s="1"/>
  <c r="U114" i="13"/>
  <c r="V114" i="13" s="1"/>
  <c r="U115" i="13"/>
  <c r="V115" i="13" s="1"/>
  <c r="U116" i="13"/>
  <c r="V116" i="13" s="1"/>
  <c r="U117" i="13"/>
  <c r="V117" i="13" s="1"/>
  <c r="U118" i="13"/>
  <c r="V118" i="13" s="1"/>
  <c r="U119" i="13"/>
  <c r="V119" i="13" s="1"/>
  <c r="U120" i="13"/>
  <c r="V120" i="13" s="1"/>
  <c r="U121" i="13"/>
  <c r="V121" i="13" s="1"/>
  <c r="U122" i="13"/>
  <c r="V122" i="13" s="1"/>
  <c r="U123" i="13"/>
  <c r="V123" i="13" s="1"/>
  <c r="U124" i="13"/>
  <c r="V124" i="13" s="1"/>
  <c r="U125" i="13"/>
  <c r="V125" i="13" s="1"/>
  <c r="U126" i="13"/>
  <c r="V126" i="13" s="1"/>
  <c r="U127" i="13"/>
  <c r="V127" i="13" s="1"/>
  <c r="U128" i="13"/>
  <c r="V128" i="13" s="1"/>
  <c r="U129" i="13"/>
  <c r="V129" i="13" s="1"/>
  <c r="U130" i="13"/>
  <c r="V130" i="13" s="1"/>
  <c r="U131" i="13"/>
  <c r="V131" i="13" s="1"/>
  <c r="U132" i="13"/>
  <c r="V132" i="13" s="1"/>
  <c r="U133" i="13"/>
  <c r="V133" i="13" s="1"/>
  <c r="U134" i="13"/>
  <c r="V134" i="13" s="1"/>
  <c r="U135" i="13"/>
  <c r="V135" i="13" s="1"/>
  <c r="U136" i="13"/>
  <c r="V136" i="13" s="1"/>
  <c r="U137" i="13"/>
  <c r="V137" i="13" s="1"/>
  <c r="U138" i="13"/>
  <c r="V138" i="13" s="1"/>
  <c r="U139" i="13"/>
  <c r="V139" i="13" s="1"/>
  <c r="U140" i="13"/>
  <c r="V140" i="13" s="1"/>
  <c r="U141" i="13"/>
  <c r="V141" i="13" s="1"/>
  <c r="U142" i="13"/>
  <c r="V142" i="13" s="1"/>
  <c r="U143" i="13"/>
  <c r="V143" i="13" s="1"/>
  <c r="U144" i="13"/>
  <c r="V144" i="13" s="1"/>
  <c r="U145" i="13"/>
  <c r="V145" i="13" s="1"/>
  <c r="U146" i="13"/>
  <c r="V146" i="13" s="1"/>
  <c r="U147" i="13"/>
  <c r="V147" i="13" s="1"/>
  <c r="U148" i="13"/>
  <c r="V148" i="13" s="1"/>
  <c r="U149" i="13"/>
  <c r="V149" i="13" s="1"/>
  <c r="U150" i="13"/>
  <c r="V150" i="13" s="1"/>
  <c r="U151" i="13"/>
  <c r="V151" i="13" s="1"/>
  <c r="U152" i="13"/>
  <c r="V152" i="13" s="1"/>
  <c r="U153" i="13"/>
  <c r="V153" i="13" s="1"/>
  <c r="U154" i="13"/>
  <c r="V154" i="13" s="1"/>
  <c r="U155" i="13"/>
  <c r="V155" i="13" s="1"/>
  <c r="U156" i="13"/>
  <c r="V156" i="13" s="1"/>
  <c r="U157" i="13"/>
  <c r="V157" i="13" s="1"/>
  <c r="U158" i="13"/>
  <c r="V158" i="13" s="1"/>
  <c r="U159" i="13"/>
  <c r="V159" i="13" s="1"/>
  <c r="U160" i="13"/>
  <c r="V160" i="13" s="1"/>
  <c r="U161" i="13"/>
  <c r="V161" i="13" s="1"/>
  <c r="U162" i="13"/>
  <c r="V162" i="13" s="1"/>
  <c r="U163" i="13"/>
  <c r="V163" i="13" s="1"/>
  <c r="U164" i="13"/>
  <c r="V164" i="13" s="1"/>
  <c r="U165" i="13"/>
  <c r="V165" i="13" s="1"/>
  <c r="U166" i="13"/>
  <c r="V166" i="13" s="1"/>
  <c r="U167" i="13"/>
  <c r="V167" i="13" s="1"/>
  <c r="U168" i="13"/>
  <c r="V168" i="13" s="1"/>
  <c r="U169" i="13"/>
  <c r="V169" i="13" s="1"/>
  <c r="U170" i="13"/>
  <c r="V170" i="13" s="1"/>
  <c r="U171" i="13"/>
  <c r="V171" i="13" s="1"/>
  <c r="U172" i="13"/>
  <c r="V172" i="13" s="1"/>
  <c r="U173" i="13"/>
  <c r="V173" i="13" s="1"/>
  <c r="U174" i="13"/>
  <c r="V174" i="13" s="1"/>
  <c r="U175" i="13"/>
  <c r="V175" i="13" s="1"/>
  <c r="U176" i="13"/>
  <c r="V176" i="13" s="1"/>
  <c r="U177" i="13"/>
  <c r="V177" i="13" s="1"/>
  <c r="U178" i="13"/>
  <c r="V178" i="13" s="1"/>
  <c r="U179" i="13"/>
  <c r="V179" i="13" s="1"/>
  <c r="U180" i="13"/>
  <c r="V180" i="13" s="1"/>
  <c r="U181" i="13"/>
  <c r="V181" i="13" s="1"/>
  <c r="U182" i="13"/>
  <c r="V182" i="13" s="1"/>
  <c r="U183" i="13"/>
  <c r="V183" i="13" s="1"/>
  <c r="U184" i="13"/>
  <c r="V184" i="13" s="1"/>
  <c r="U185" i="13"/>
  <c r="V185" i="13" s="1"/>
  <c r="U186" i="13"/>
  <c r="V186" i="13" s="1"/>
  <c r="U187" i="13"/>
  <c r="V187" i="13" s="1"/>
  <c r="U188" i="13"/>
  <c r="V188" i="13" s="1"/>
  <c r="U189" i="13"/>
  <c r="V189" i="13" s="1"/>
  <c r="U190" i="13"/>
  <c r="V190" i="13" s="1"/>
  <c r="U191" i="13"/>
  <c r="V191" i="13" s="1"/>
  <c r="U192" i="13"/>
  <c r="V192" i="13" s="1"/>
  <c r="U193" i="13"/>
  <c r="V193" i="13" s="1"/>
  <c r="U194" i="13"/>
  <c r="V194" i="13" s="1"/>
  <c r="U195" i="13"/>
  <c r="V195" i="13" s="1"/>
  <c r="U196" i="13"/>
  <c r="V196" i="13" s="1"/>
  <c r="U197" i="13"/>
  <c r="V197" i="13" s="1"/>
  <c r="U198" i="13"/>
  <c r="V198" i="13" s="1"/>
  <c r="U199" i="13"/>
  <c r="V199" i="13" s="1"/>
  <c r="U200" i="13"/>
  <c r="V200" i="13" s="1"/>
  <c r="U201" i="13"/>
  <c r="V201" i="13" s="1"/>
  <c r="U202" i="13"/>
  <c r="V202" i="13" s="1"/>
  <c r="U203" i="13"/>
  <c r="V203" i="13" s="1"/>
  <c r="U204" i="13"/>
  <c r="V204" i="13" s="1"/>
  <c r="U205" i="13"/>
  <c r="V205" i="13" s="1"/>
  <c r="U206" i="13"/>
  <c r="V206" i="13" s="1"/>
  <c r="U207" i="13"/>
  <c r="V207" i="13" s="1"/>
  <c r="U208" i="13"/>
  <c r="V208" i="13" s="1"/>
  <c r="U209" i="13"/>
  <c r="V209" i="13" s="1"/>
  <c r="U210" i="13"/>
  <c r="V210" i="13" s="1"/>
  <c r="U211" i="13"/>
  <c r="V211" i="13" s="1"/>
  <c r="U212" i="13"/>
  <c r="V212" i="13" s="1"/>
  <c r="U213" i="13"/>
  <c r="V213" i="13" s="1"/>
  <c r="U214" i="13"/>
  <c r="V214" i="13" s="1"/>
  <c r="U6" i="13"/>
  <c r="V6" i="13" s="1"/>
  <c r="U9" i="13"/>
  <c r="V9" i="13" s="1"/>
  <c r="U10" i="13"/>
  <c r="V10" i="13" s="1"/>
  <c r="U11" i="13"/>
  <c r="V11" i="13" s="1"/>
  <c r="U12" i="13"/>
  <c r="V12" i="13" s="1"/>
  <c r="U5" i="13"/>
  <c r="K7" i="13"/>
  <c r="O7" i="13" s="1"/>
  <c r="S7" i="13" s="1"/>
  <c r="K8" i="13"/>
  <c r="O8" i="13" s="1"/>
  <c r="S8" i="13" s="1"/>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6" i="13"/>
  <c r="K5" i="13"/>
  <c r="V17" i="13" l="1"/>
  <c r="B13" i="14" a="1"/>
  <c r="B13" i="14" s="1"/>
  <c r="C13" i="14" s="1" a="1"/>
  <c r="C13" i="14" s="1"/>
  <c r="B20" i="14" a="1"/>
  <c r="B20" i="14" s="1"/>
  <c r="C20" i="14" s="1" a="1"/>
  <c r="C20" i="14" s="1"/>
  <c r="B28" i="14" a="1"/>
  <c r="B28" i="14" s="1"/>
  <c r="C28" i="14" s="1" a="1"/>
  <c r="C28" i="14" s="1"/>
  <c r="B21" i="14" a="1"/>
  <c r="B21" i="14" s="1"/>
  <c r="C21" i="14" s="1" a="1"/>
  <c r="C21" i="14" s="1"/>
  <c r="B29" i="14" a="1"/>
  <c r="B29" i="14" s="1"/>
  <c r="C29" i="14" s="1" a="1"/>
  <c r="C29" i="14" s="1"/>
  <c r="B31" i="14" a="1"/>
  <c r="B31" i="14" s="1"/>
  <c r="C31" i="14" s="1" a="1"/>
  <c r="C31" i="14" s="1"/>
  <c r="B14" i="14" a="1"/>
  <c r="B14" i="14" s="1"/>
  <c r="C14" i="14" s="1" a="1"/>
  <c r="C14" i="14" s="1"/>
  <c r="B22" i="14" a="1"/>
  <c r="B22" i="14" s="1"/>
  <c r="C22" i="14" s="1" a="1"/>
  <c r="C22" i="14" s="1"/>
  <c r="B30" i="14" a="1"/>
  <c r="B30" i="14" s="1"/>
  <c r="C30" i="14" s="1" a="1"/>
  <c r="C30" i="14" s="1"/>
  <c r="B15" i="14" a="1"/>
  <c r="B15" i="14" s="1"/>
  <c r="C15" i="14" s="1" a="1"/>
  <c r="C15" i="14" s="1"/>
  <c r="B23" i="14" a="1"/>
  <c r="B23" i="14" s="1"/>
  <c r="C23" i="14" s="1" a="1"/>
  <c r="C23" i="14" s="1"/>
  <c r="B16" i="14" a="1"/>
  <c r="B16" i="14" s="1"/>
  <c r="C16" i="14" s="1" a="1"/>
  <c r="C16" i="14" s="1"/>
  <c r="B24" i="14" a="1"/>
  <c r="B24" i="14" s="1"/>
  <c r="C24" i="14" s="1" a="1"/>
  <c r="C24" i="14" s="1"/>
  <c r="A3" i="14" a="1"/>
  <c r="B17" i="14" a="1"/>
  <c r="B17" i="14" s="1"/>
  <c r="C17" i="14" s="1" a="1"/>
  <c r="C17" i="14" s="1"/>
  <c r="B25" i="14" a="1"/>
  <c r="B25" i="14" s="1"/>
  <c r="C25" i="14" s="1" a="1"/>
  <c r="C25" i="14" s="1"/>
  <c r="B11" i="14" a="1"/>
  <c r="B11" i="14" s="1"/>
  <c r="C11" i="14" s="1" a="1"/>
  <c r="C11" i="14" s="1"/>
  <c r="B18" i="14" a="1"/>
  <c r="B18" i="14" s="1"/>
  <c r="C18" i="14" s="1" a="1"/>
  <c r="C18" i="14" s="1"/>
  <c r="B26" i="14" a="1"/>
  <c r="B26" i="14" s="1"/>
  <c r="C26" i="14" s="1" a="1"/>
  <c r="C26" i="14" s="1"/>
  <c r="B12" i="14" a="1"/>
  <c r="B12" i="14" s="1"/>
  <c r="C12" i="14" s="1" a="1"/>
  <c r="C12" i="14" s="1"/>
  <c r="B19" i="14" a="1"/>
  <c r="B19" i="14" s="1"/>
  <c r="C19" i="14" s="1" a="1"/>
  <c r="C19" i="14" s="1"/>
  <c r="B27" i="14" a="1"/>
  <c r="B27" i="14" s="1"/>
  <c r="C27" i="14" s="1" a="1"/>
  <c r="C27" i="14" s="1"/>
  <c r="V55" i="13"/>
  <c r="V5" i="13"/>
  <c r="M5" i="13"/>
  <c r="N5" i="13"/>
  <c r="O5" i="13"/>
  <c r="L5" i="13"/>
  <c r="L212" i="13"/>
  <c r="P212" i="13" s="1"/>
  <c r="M212" i="13"/>
  <c r="Q212" i="13" s="1"/>
  <c r="N212" i="13"/>
  <c r="R212" i="13" s="1"/>
  <c r="O212" i="13"/>
  <c r="S212" i="13" s="1"/>
  <c r="L204" i="13"/>
  <c r="P204" i="13" s="1"/>
  <c r="M204" i="13"/>
  <c r="Q204" i="13" s="1"/>
  <c r="N204" i="13"/>
  <c r="R204" i="13" s="1"/>
  <c r="O204" i="13"/>
  <c r="S204" i="13" s="1"/>
  <c r="L196" i="13"/>
  <c r="P196" i="13" s="1"/>
  <c r="M196" i="13"/>
  <c r="Q196" i="13" s="1"/>
  <c r="N196" i="13"/>
  <c r="R196" i="13" s="1"/>
  <c r="O196" i="13"/>
  <c r="S196" i="13" s="1"/>
  <c r="L188" i="13"/>
  <c r="P188" i="13" s="1"/>
  <c r="M188" i="13"/>
  <c r="Q188" i="13" s="1"/>
  <c r="N188" i="13"/>
  <c r="R188" i="13" s="1"/>
  <c r="O188" i="13"/>
  <c r="S188" i="13" s="1"/>
  <c r="L180" i="13"/>
  <c r="P180" i="13" s="1"/>
  <c r="M180" i="13"/>
  <c r="Q180" i="13" s="1"/>
  <c r="N180" i="13"/>
  <c r="R180" i="13" s="1"/>
  <c r="O180" i="13"/>
  <c r="S180" i="13" s="1"/>
  <c r="L172" i="13"/>
  <c r="P172" i="13" s="1"/>
  <c r="M172" i="13"/>
  <c r="Q172" i="13" s="1"/>
  <c r="N172" i="13"/>
  <c r="R172" i="13" s="1"/>
  <c r="O172" i="13"/>
  <c r="S172" i="13" s="1"/>
  <c r="L164" i="13"/>
  <c r="P164" i="13" s="1"/>
  <c r="M164" i="13"/>
  <c r="Q164" i="13" s="1"/>
  <c r="N164" i="13"/>
  <c r="R164" i="13" s="1"/>
  <c r="O164" i="13"/>
  <c r="S164" i="13" s="1"/>
  <c r="L156" i="13"/>
  <c r="P156" i="13" s="1"/>
  <c r="M156" i="13"/>
  <c r="Q156" i="13" s="1"/>
  <c r="N156" i="13"/>
  <c r="R156" i="13" s="1"/>
  <c r="O156" i="13"/>
  <c r="S156" i="13" s="1"/>
  <c r="L148" i="13"/>
  <c r="P148" i="13" s="1"/>
  <c r="M148" i="13"/>
  <c r="Q148" i="13" s="1"/>
  <c r="N148" i="13"/>
  <c r="R148" i="13" s="1"/>
  <c r="O148" i="13"/>
  <c r="S148" i="13" s="1"/>
  <c r="N140" i="13"/>
  <c r="R140" i="13" s="1"/>
  <c r="L140" i="13"/>
  <c r="P140" i="13" s="1"/>
  <c r="M140" i="13"/>
  <c r="Q140" i="13" s="1"/>
  <c r="O140" i="13"/>
  <c r="S140" i="13" s="1"/>
  <c r="L132" i="13"/>
  <c r="P132" i="13" s="1"/>
  <c r="M132" i="13"/>
  <c r="Q132" i="13" s="1"/>
  <c r="N132" i="13"/>
  <c r="R132" i="13" s="1"/>
  <c r="O132" i="13"/>
  <c r="S132" i="13" s="1"/>
  <c r="L124" i="13"/>
  <c r="P124" i="13" s="1"/>
  <c r="M124" i="13"/>
  <c r="Q124" i="13" s="1"/>
  <c r="N124" i="13"/>
  <c r="R124" i="13" s="1"/>
  <c r="O124" i="13"/>
  <c r="S124" i="13" s="1"/>
  <c r="L116" i="13"/>
  <c r="P116" i="13" s="1"/>
  <c r="M116" i="13"/>
  <c r="Q116" i="13" s="1"/>
  <c r="N116" i="13"/>
  <c r="R116" i="13" s="1"/>
  <c r="O116" i="13"/>
  <c r="S116" i="13" s="1"/>
  <c r="L108" i="13"/>
  <c r="P108" i="13" s="1"/>
  <c r="M108" i="13"/>
  <c r="Q108" i="13" s="1"/>
  <c r="N108" i="13"/>
  <c r="R108" i="13" s="1"/>
  <c r="O108" i="13"/>
  <c r="S108" i="13" s="1"/>
  <c r="L100" i="13"/>
  <c r="P100" i="13" s="1"/>
  <c r="M100" i="13"/>
  <c r="Q100" i="13" s="1"/>
  <c r="N100" i="13"/>
  <c r="R100" i="13" s="1"/>
  <c r="O100" i="13"/>
  <c r="S100" i="13" s="1"/>
  <c r="L92" i="13"/>
  <c r="P92" i="13" s="1"/>
  <c r="M92" i="13"/>
  <c r="Q92" i="13" s="1"/>
  <c r="N92" i="13"/>
  <c r="R92" i="13" s="1"/>
  <c r="O92" i="13"/>
  <c r="S92" i="13" s="1"/>
  <c r="L84" i="13"/>
  <c r="P84" i="13" s="1"/>
  <c r="M84" i="13"/>
  <c r="Q84" i="13" s="1"/>
  <c r="N84" i="13"/>
  <c r="R84" i="13" s="1"/>
  <c r="O84" i="13"/>
  <c r="S84" i="13" s="1"/>
  <c r="L76" i="13"/>
  <c r="P76" i="13" s="1"/>
  <c r="M76" i="13"/>
  <c r="Q76" i="13" s="1"/>
  <c r="N76" i="13"/>
  <c r="R76" i="13" s="1"/>
  <c r="O76" i="13"/>
  <c r="S76" i="13" s="1"/>
  <c r="L68" i="13"/>
  <c r="P68" i="13" s="1"/>
  <c r="M68" i="13"/>
  <c r="Q68" i="13" s="1"/>
  <c r="N68" i="13"/>
  <c r="R68" i="13" s="1"/>
  <c r="O68" i="13"/>
  <c r="S68" i="13" s="1"/>
  <c r="L60" i="13"/>
  <c r="P60" i="13" s="1"/>
  <c r="M60" i="13"/>
  <c r="Q60" i="13" s="1"/>
  <c r="N60" i="13"/>
  <c r="R60" i="13" s="1"/>
  <c r="O60" i="13"/>
  <c r="S60" i="13" s="1"/>
  <c r="L52" i="13"/>
  <c r="P52" i="13" s="1"/>
  <c r="M52" i="13"/>
  <c r="Q52" i="13" s="1"/>
  <c r="N52" i="13"/>
  <c r="R52" i="13" s="1"/>
  <c r="O52" i="13"/>
  <c r="S52" i="13" s="1"/>
  <c r="L44" i="13"/>
  <c r="P44" i="13" s="1"/>
  <c r="M44" i="13"/>
  <c r="Q44" i="13" s="1"/>
  <c r="N44" i="13"/>
  <c r="R44" i="13" s="1"/>
  <c r="O44" i="13"/>
  <c r="S44" i="13" s="1"/>
  <c r="L36" i="13"/>
  <c r="P36" i="13" s="1"/>
  <c r="M36" i="13"/>
  <c r="Q36" i="13" s="1"/>
  <c r="N36" i="13"/>
  <c r="R36" i="13" s="1"/>
  <c r="O36" i="13"/>
  <c r="S36" i="13" s="1"/>
  <c r="L28" i="13"/>
  <c r="P28" i="13" s="1"/>
  <c r="M28" i="13"/>
  <c r="Q28" i="13" s="1"/>
  <c r="N28" i="13"/>
  <c r="R28" i="13" s="1"/>
  <c r="O28" i="13"/>
  <c r="S28" i="13" s="1"/>
  <c r="L20" i="13"/>
  <c r="P20" i="13" s="1"/>
  <c r="M20" i="13"/>
  <c r="Q20" i="13" s="1"/>
  <c r="N20" i="13"/>
  <c r="R20" i="13" s="1"/>
  <c r="O20" i="13"/>
  <c r="S20" i="13" s="1"/>
  <c r="L12" i="13"/>
  <c r="P12" i="13" s="1"/>
  <c r="M12" i="13"/>
  <c r="Q12" i="13" s="1"/>
  <c r="N12" i="13"/>
  <c r="R12" i="13" s="1"/>
  <c r="O12" i="13"/>
  <c r="S12" i="13" s="1"/>
  <c r="N211" i="13"/>
  <c r="R211" i="13" s="1"/>
  <c r="O211" i="13"/>
  <c r="S211" i="13" s="1"/>
  <c r="M211" i="13"/>
  <c r="Q211" i="13" s="1"/>
  <c r="L211" i="13"/>
  <c r="P211" i="13" s="1"/>
  <c r="N203" i="13"/>
  <c r="R203" i="13" s="1"/>
  <c r="O203" i="13"/>
  <c r="S203" i="13" s="1"/>
  <c r="M203" i="13"/>
  <c r="Q203" i="13" s="1"/>
  <c r="L203" i="13"/>
  <c r="P203" i="13" s="1"/>
  <c r="N195" i="13"/>
  <c r="R195" i="13" s="1"/>
  <c r="O195" i="13"/>
  <c r="S195" i="13" s="1"/>
  <c r="M195" i="13"/>
  <c r="Q195" i="13" s="1"/>
  <c r="L195" i="13"/>
  <c r="P195" i="13" s="1"/>
  <c r="N187" i="13"/>
  <c r="R187" i="13" s="1"/>
  <c r="O187" i="13"/>
  <c r="S187" i="13" s="1"/>
  <c r="M187" i="13"/>
  <c r="Q187" i="13" s="1"/>
  <c r="L187" i="13"/>
  <c r="P187" i="13" s="1"/>
  <c r="N179" i="13"/>
  <c r="R179" i="13" s="1"/>
  <c r="O179" i="13"/>
  <c r="S179" i="13" s="1"/>
  <c r="M179" i="13"/>
  <c r="Q179" i="13" s="1"/>
  <c r="L179" i="13"/>
  <c r="P179" i="13" s="1"/>
  <c r="N171" i="13"/>
  <c r="R171" i="13" s="1"/>
  <c r="O171" i="13"/>
  <c r="S171" i="13" s="1"/>
  <c r="M171" i="13"/>
  <c r="Q171" i="13" s="1"/>
  <c r="L171" i="13"/>
  <c r="P171" i="13" s="1"/>
  <c r="N163" i="13"/>
  <c r="R163" i="13" s="1"/>
  <c r="O163" i="13"/>
  <c r="S163" i="13" s="1"/>
  <c r="M163" i="13"/>
  <c r="Q163" i="13" s="1"/>
  <c r="L163" i="13"/>
  <c r="P163" i="13" s="1"/>
  <c r="N155" i="13"/>
  <c r="R155" i="13" s="1"/>
  <c r="O155" i="13"/>
  <c r="S155" i="13" s="1"/>
  <c r="M155" i="13"/>
  <c r="Q155" i="13" s="1"/>
  <c r="L155" i="13"/>
  <c r="P155" i="13" s="1"/>
  <c r="N147" i="13"/>
  <c r="R147" i="13" s="1"/>
  <c r="O147" i="13"/>
  <c r="S147" i="13" s="1"/>
  <c r="L147" i="13"/>
  <c r="P147" i="13" s="1"/>
  <c r="M147" i="13"/>
  <c r="Q147" i="13" s="1"/>
  <c r="N139" i="13"/>
  <c r="R139" i="13" s="1"/>
  <c r="L139" i="13"/>
  <c r="P139" i="13" s="1"/>
  <c r="M139" i="13"/>
  <c r="Q139" i="13" s="1"/>
  <c r="O139" i="13"/>
  <c r="S139" i="13" s="1"/>
  <c r="N131" i="13"/>
  <c r="R131" i="13" s="1"/>
  <c r="M131" i="13"/>
  <c r="Q131" i="13" s="1"/>
  <c r="O131" i="13"/>
  <c r="S131" i="13" s="1"/>
  <c r="L131" i="13"/>
  <c r="P131" i="13" s="1"/>
  <c r="L123" i="13"/>
  <c r="P123" i="13" s="1"/>
  <c r="M123" i="13"/>
  <c r="Q123" i="13" s="1"/>
  <c r="N123" i="13"/>
  <c r="R123" i="13" s="1"/>
  <c r="O123" i="13"/>
  <c r="S123" i="13" s="1"/>
  <c r="L115" i="13"/>
  <c r="P115" i="13" s="1"/>
  <c r="M115" i="13"/>
  <c r="Q115" i="13" s="1"/>
  <c r="N115" i="13"/>
  <c r="R115" i="13" s="1"/>
  <c r="O115" i="13"/>
  <c r="S115" i="13" s="1"/>
  <c r="L107" i="13"/>
  <c r="P107" i="13" s="1"/>
  <c r="M107" i="13"/>
  <c r="Q107" i="13" s="1"/>
  <c r="N107" i="13"/>
  <c r="R107" i="13" s="1"/>
  <c r="O107" i="13"/>
  <c r="S107" i="13" s="1"/>
  <c r="L99" i="13"/>
  <c r="P99" i="13" s="1"/>
  <c r="M99" i="13"/>
  <c r="Q99" i="13" s="1"/>
  <c r="N99" i="13"/>
  <c r="R99" i="13" s="1"/>
  <c r="O99" i="13"/>
  <c r="S99" i="13" s="1"/>
  <c r="L91" i="13"/>
  <c r="P91" i="13" s="1"/>
  <c r="M91" i="13"/>
  <c r="Q91" i="13" s="1"/>
  <c r="N91" i="13"/>
  <c r="R91" i="13" s="1"/>
  <c r="O91" i="13"/>
  <c r="S91" i="13" s="1"/>
  <c r="L83" i="13"/>
  <c r="P83" i="13" s="1"/>
  <c r="M83" i="13"/>
  <c r="Q83" i="13" s="1"/>
  <c r="N83" i="13"/>
  <c r="R83" i="13" s="1"/>
  <c r="O83" i="13"/>
  <c r="S83" i="13" s="1"/>
  <c r="L75" i="13"/>
  <c r="P75" i="13" s="1"/>
  <c r="M75" i="13"/>
  <c r="Q75" i="13" s="1"/>
  <c r="N75" i="13"/>
  <c r="R75" i="13" s="1"/>
  <c r="O75" i="13"/>
  <c r="S75" i="13" s="1"/>
  <c r="L67" i="13"/>
  <c r="P67" i="13" s="1"/>
  <c r="M67" i="13"/>
  <c r="Q67" i="13" s="1"/>
  <c r="N67" i="13"/>
  <c r="R67" i="13" s="1"/>
  <c r="O67" i="13"/>
  <c r="S67" i="13" s="1"/>
  <c r="L59" i="13"/>
  <c r="P59" i="13" s="1"/>
  <c r="M59" i="13"/>
  <c r="Q59" i="13" s="1"/>
  <c r="N59" i="13"/>
  <c r="R59" i="13" s="1"/>
  <c r="O59" i="13"/>
  <c r="S59" i="13" s="1"/>
  <c r="L51" i="13"/>
  <c r="P51" i="13" s="1"/>
  <c r="M51" i="13"/>
  <c r="Q51" i="13" s="1"/>
  <c r="N51" i="13"/>
  <c r="R51" i="13" s="1"/>
  <c r="O51" i="13"/>
  <c r="S51" i="13" s="1"/>
  <c r="L43" i="13"/>
  <c r="P43" i="13" s="1"/>
  <c r="M43" i="13"/>
  <c r="Q43" i="13" s="1"/>
  <c r="N43" i="13"/>
  <c r="R43" i="13" s="1"/>
  <c r="O43" i="13"/>
  <c r="S43" i="13" s="1"/>
  <c r="L35" i="13"/>
  <c r="P35" i="13" s="1"/>
  <c r="M35" i="13"/>
  <c r="Q35" i="13" s="1"/>
  <c r="N35" i="13"/>
  <c r="R35" i="13" s="1"/>
  <c r="O35" i="13"/>
  <c r="S35" i="13" s="1"/>
  <c r="L27" i="13"/>
  <c r="P27" i="13" s="1"/>
  <c r="M27" i="13"/>
  <c r="Q27" i="13" s="1"/>
  <c r="N27" i="13"/>
  <c r="R27" i="13" s="1"/>
  <c r="O27" i="13"/>
  <c r="S27" i="13" s="1"/>
  <c r="L19" i="13"/>
  <c r="P19" i="13" s="1"/>
  <c r="M19" i="13"/>
  <c r="Q19" i="13" s="1"/>
  <c r="N19" i="13"/>
  <c r="R19" i="13" s="1"/>
  <c r="O19" i="13"/>
  <c r="S19" i="13" s="1"/>
  <c r="L11" i="13"/>
  <c r="P11" i="13" s="1"/>
  <c r="M11" i="13"/>
  <c r="Q11" i="13" s="1"/>
  <c r="N11" i="13"/>
  <c r="R11" i="13" s="1"/>
  <c r="O11" i="13"/>
  <c r="S11" i="13" s="1"/>
  <c r="L210" i="13"/>
  <c r="P210" i="13" s="1"/>
  <c r="M210" i="13"/>
  <c r="Q210" i="13" s="1"/>
  <c r="N210" i="13"/>
  <c r="R210" i="13" s="1"/>
  <c r="O210" i="13"/>
  <c r="S210" i="13" s="1"/>
  <c r="L202" i="13"/>
  <c r="P202" i="13" s="1"/>
  <c r="M202" i="13"/>
  <c r="Q202" i="13" s="1"/>
  <c r="N202" i="13"/>
  <c r="R202" i="13" s="1"/>
  <c r="O202" i="13"/>
  <c r="S202" i="13" s="1"/>
  <c r="L194" i="13"/>
  <c r="P194" i="13" s="1"/>
  <c r="M194" i="13"/>
  <c r="Q194" i="13" s="1"/>
  <c r="N194" i="13"/>
  <c r="R194" i="13" s="1"/>
  <c r="O194" i="13"/>
  <c r="S194" i="13" s="1"/>
  <c r="L186" i="13"/>
  <c r="P186" i="13" s="1"/>
  <c r="M186" i="13"/>
  <c r="Q186" i="13" s="1"/>
  <c r="N186" i="13"/>
  <c r="R186" i="13" s="1"/>
  <c r="O186" i="13"/>
  <c r="S186" i="13" s="1"/>
  <c r="L178" i="13"/>
  <c r="P178" i="13" s="1"/>
  <c r="M178" i="13"/>
  <c r="Q178" i="13" s="1"/>
  <c r="N178" i="13"/>
  <c r="R178" i="13" s="1"/>
  <c r="O178" i="13"/>
  <c r="S178" i="13" s="1"/>
  <c r="L170" i="13"/>
  <c r="P170" i="13" s="1"/>
  <c r="M170" i="13"/>
  <c r="Q170" i="13" s="1"/>
  <c r="N170" i="13"/>
  <c r="R170" i="13" s="1"/>
  <c r="O170" i="13"/>
  <c r="S170" i="13" s="1"/>
  <c r="L162" i="13"/>
  <c r="P162" i="13" s="1"/>
  <c r="M162" i="13"/>
  <c r="Q162" i="13" s="1"/>
  <c r="N162" i="13"/>
  <c r="R162" i="13" s="1"/>
  <c r="O162" i="13"/>
  <c r="S162" i="13" s="1"/>
  <c r="L154" i="13"/>
  <c r="P154" i="13" s="1"/>
  <c r="M154" i="13"/>
  <c r="Q154" i="13" s="1"/>
  <c r="N154" i="13"/>
  <c r="R154" i="13" s="1"/>
  <c r="O154" i="13"/>
  <c r="S154" i="13" s="1"/>
  <c r="L146" i="13"/>
  <c r="P146" i="13" s="1"/>
  <c r="M146" i="13"/>
  <c r="Q146" i="13" s="1"/>
  <c r="N146" i="13"/>
  <c r="R146" i="13" s="1"/>
  <c r="O146" i="13"/>
  <c r="S146" i="13" s="1"/>
  <c r="O138" i="13"/>
  <c r="S138" i="13" s="1"/>
  <c r="M138" i="13"/>
  <c r="Q138" i="13" s="1"/>
  <c r="L138" i="13"/>
  <c r="P138" i="13" s="1"/>
  <c r="N138" i="13"/>
  <c r="R138" i="13" s="1"/>
  <c r="N130" i="13"/>
  <c r="R130" i="13" s="1"/>
  <c r="O130" i="13"/>
  <c r="S130" i="13" s="1"/>
  <c r="M130" i="13"/>
  <c r="Q130" i="13" s="1"/>
  <c r="L130" i="13"/>
  <c r="P130" i="13" s="1"/>
  <c r="N122" i="13"/>
  <c r="R122" i="13" s="1"/>
  <c r="O122" i="13"/>
  <c r="S122" i="13" s="1"/>
  <c r="L122" i="13"/>
  <c r="P122" i="13" s="1"/>
  <c r="M122" i="13"/>
  <c r="Q122" i="13" s="1"/>
  <c r="N114" i="13"/>
  <c r="R114" i="13" s="1"/>
  <c r="O114" i="13"/>
  <c r="S114" i="13" s="1"/>
  <c r="M114" i="13"/>
  <c r="Q114" i="13" s="1"/>
  <c r="L114" i="13"/>
  <c r="P114" i="13" s="1"/>
  <c r="N106" i="13"/>
  <c r="R106" i="13" s="1"/>
  <c r="O106" i="13"/>
  <c r="S106" i="13" s="1"/>
  <c r="M106" i="13"/>
  <c r="Q106" i="13" s="1"/>
  <c r="L106" i="13"/>
  <c r="P106" i="13" s="1"/>
  <c r="N98" i="13"/>
  <c r="R98" i="13" s="1"/>
  <c r="O98" i="13"/>
  <c r="S98" i="13" s="1"/>
  <c r="L98" i="13"/>
  <c r="P98" i="13" s="1"/>
  <c r="M98" i="13"/>
  <c r="Q98" i="13" s="1"/>
  <c r="N90" i="13"/>
  <c r="R90" i="13" s="1"/>
  <c r="O90" i="13"/>
  <c r="S90" i="13" s="1"/>
  <c r="L90" i="13"/>
  <c r="P90" i="13" s="1"/>
  <c r="M90" i="13"/>
  <c r="Q90" i="13" s="1"/>
  <c r="N82" i="13"/>
  <c r="R82" i="13" s="1"/>
  <c r="O82" i="13"/>
  <c r="S82" i="13" s="1"/>
  <c r="M82" i="13"/>
  <c r="Q82" i="13" s="1"/>
  <c r="L82" i="13"/>
  <c r="P82" i="13" s="1"/>
  <c r="N74" i="13"/>
  <c r="R74" i="13" s="1"/>
  <c r="O74" i="13"/>
  <c r="S74" i="13" s="1"/>
  <c r="L74" i="13"/>
  <c r="P74" i="13" s="1"/>
  <c r="M74" i="13"/>
  <c r="Q74" i="13" s="1"/>
  <c r="N66" i="13"/>
  <c r="R66" i="13" s="1"/>
  <c r="O66" i="13"/>
  <c r="S66" i="13" s="1"/>
  <c r="L66" i="13"/>
  <c r="P66" i="13" s="1"/>
  <c r="M66" i="13"/>
  <c r="Q66" i="13" s="1"/>
  <c r="N58" i="13"/>
  <c r="R58" i="13" s="1"/>
  <c r="O58" i="13"/>
  <c r="S58" i="13" s="1"/>
  <c r="L58" i="13"/>
  <c r="P58" i="13" s="1"/>
  <c r="M58" i="13"/>
  <c r="Q58" i="13" s="1"/>
  <c r="N50" i="13"/>
  <c r="R50" i="13" s="1"/>
  <c r="O50" i="13"/>
  <c r="S50" i="13" s="1"/>
  <c r="M50" i="13"/>
  <c r="Q50" i="13" s="1"/>
  <c r="L50" i="13"/>
  <c r="P50" i="13" s="1"/>
  <c r="N42" i="13"/>
  <c r="R42" i="13" s="1"/>
  <c r="O42" i="13"/>
  <c r="S42" i="13" s="1"/>
  <c r="L42" i="13"/>
  <c r="P42" i="13" s="1"/>
  <c r="M42" i="13"/>
  <c r="Q42" i="13" s="1"/>
  <c r="N34" i="13"/>
  <c r="R34" i="13" s="1"/>
  <c r="O34" i="13"/>
  <c r="S34" i="13" s="1"/>
  <c r="L34" i="13"/>
  <c r="P34" i="13" s="1"/>
  <c r="M34" i="13"/>
  <c r="Q34" i="13" s="1"/>
  <c r="N26" i="13"/>
  <c r="R26" i="13" s="1"/>
  <c r="O26" i="13"/>
  <c r="S26" i="13" s="1"/>
  <c r="L26" i="13"/>
  <c r="P26" i="13" s="1"/>
  <c r="M26" i="13"/>
  <c r="Q26" i="13" s="1"/>
  <c r="N18" i="13"/>
  <c r="R18" i="13" s="1"/>
  <c r="O18" i="13"/>
  <c r="S18" i="13" s="1"/>
  <c r="M18" i="13"/>
  <c r="Q18" i="13" s="1"/>
  <c r="L18" i="13"/>
  <c r="P18" i="13" s="1"/>
  <c r="N10" i="13"/>
  <c r="R10" i="13" s="1"/>
  <c r="O10" i="13"/>
  <c r="S10" i="13" s="1"/>
  <c r="L10" i="13"/>
  <c r="P10" i="13" s="1"/>
  <c r="M10" i="13"/>
  <c r="Q10" i="13" s="1"/>
  <c r="L209" i="13"/>
  <c r="P209" i="13" s="1"/>
  <c r="M209" i="13"/>
  <c r="Q209" i="13" s="1"/>
  <c r="O209" i="13"/>
  <c r="S209" i="13" s="1"/>
  <c r="N209" i="13"/>
  <c r="R209" i="13" s="1"/>
  <c r="L201" i="13"/>
  <c r="P201" i="13" s="1"/>
  <c r="M201" i="13"/>
  <c r="Q201" i="13" s="1"/>
  <c r="O201" i="13"/>
  <c r="S201" i="13" s="1"/>
  <c r="N201" i="13"/>
  <c r="R201" i="13" s="1"/>
  <c r="L193" i="13"/>
  <c r="P193" i="13" s="1"/>
  <c r="M193" i="13"/>
  <c r="Q193" i="13" s="1"/>
  <c r="O193" i="13"/>
  <c r="S193" i="13" s="1"/>
  <c r="N193" i="13"/>
  <c r="R193" i="13" s="1"/>
  <c r="L185" i="13"/>
  <c r="P185" i="13" s="1"/>
  <c r="M185" i="13"/>
  <c r="Q185" i="13" s="1"/>
  <c r="O185" i="13"/>
  <c r="S185" i="13" s="1"/>
  <c r="N185" i="13"/>
  <c r="R185" i="13" s="1"/>
  <c r="L177" i="13"/>
  <c r="P177" i="13" s="1"/>
  <c r="M177" i="13"/>
  <c r="Q177" i="13" s="1"/>
  <c r="O177" i="13"/>
  <c r="S177" i="13" s="1"/>
  <c r="N177" i="13"/>
  <c r="R177" i="13" s="1"/>
  <c r="L169" i="13"/>
  <c r="P169" i="13" s="1"/>
  <c r="M169" i="13"/>
  <c r="Q169" i="13" s="1"/>
  <c r="O169" i="13"/>
  <c r="S169" i="13" s="1"/>
  <c r="N169" i="13"/>
  <c r="R169" i="13" s="1"/>
  <c r="L161" i="13"/>
  <c r="P161" i="13" s="1"/>
  <c r="M161" i="13"/>
  <c r="Q161" i="13" s="1"/>
  <c r="O161" i="13"/>
  <c r="S161" i="13" s="1"/>
  <c r="N161" i="13"/>
  <c r="R161" i="13" s="1"/>
  <c r="L153" i="13"/>
  <c r="P153" i="13" s="1"/>
  <c r="N153" i="13"/>
  <c r="R153" i="13" s="1"/>
  <c r="M153" i="13"/>
  <c r="Q153" i="13" s="1"/>
  <c r="O153" i="13"/>
  <c r="S153" i="13" s="1"/>
  <c r="L145" i="13"/>
  <c r="P145" i="13" s="1"/>
  <c r="M145" i="13"/>
  <c r="Q145" i="13" s="1"/>
  <c r="O145" i="13"/>
  <c r="S145" i="13" s="1"/>
  <c r="N145" i="13"/>
  <c r="R145" i="13" s="1"/>
  <c r="M137" i="13"/>
  <c r="Q137" i="13" s="1"/>
  <c r="L137" i="13"/>
  <c r="P137" i="13" s="1"/>
  <c r="N137" i="13"/>
  <c r="R137" i="13" s="1"/>
  <c r="O137" i="13"/>
  <c r="S137" i="13" s="1"/>
  <c r="L129" i="13"/>
  <c r="P129" i="13" s="1"/>
  <c r="M129" i="13"/>
  <c r="Q129" i="13" s="1"/>
  <c r="N129" i="13"/>
  <c r="R129" i="13" s="1"/>
  <c r="O129" i="13"/>
  <c r="S129" i="13" s="1"/>
  <c r="L121" i="13"/>
  <c r="P121" i="13" s="1"/>
  <c r="M121" i="13"/>
  <c r="Q121" i="13" s="1"/>
  <c r="N121" i="13"/>
  <c r="R121" i="13" s="1"/>
  <c r="O121" i="13"/>
  <c r="S121" i="13" s="1"/>
  <c r="L113" i="13"/>
  <c r="P113" i="13" s="1"/>
  <c r="M113" i="13"/>
  <c r="Q113" i="13" s="1"/>
  <c r="N113" i="13"/>
  <c r="R113" i="13" s="1"/>
  <c r="O113" i="13"/>
  <c r="S113" i="13" s="1"/>
  <c r="L105" i="13"/>
  <c r="P105" i="13" s="1"/>
  <c r="M105" i="13"/>
  <c r="Q105" i="13" s="1"/>
  <c r="N105" i="13"/>
  <c r="R105" i="13" s="1"/>
  <c r="O105" i="13"/>
  <c r="S105" i="13" s="1"/>
  <c r="L97" i="13"/>
  <c r="P97" i="13" s="1"/>
  <c r="M97" i="13"/>
  <c r="Q97" i="13" s="1"/>
  <c r="N97" i="13"/>
  <c r="R97" i="13" s="1"/>
  <c r="O97" i="13"/>
  <c r="S97" i="13" s="1"/>
  <c r="L89" i="13"/>
  <c r="P89" i="13" s="1"/>
  <c r="M89" i="13"/>
  <c r="Q89" i="13" s="1"/>
  <c r="N89" i="13"/>
  <c r="R89" i="13" s="1"/>
  <c r="O89" i="13"/>
  <c r="S89" i="13" s="1"/>
  <c r="L81" i="13"/>
  <c r="P81" i="13" s="1"/>
  <c r="M81" i="13"/>
  <c r="Q81" i="13" s="1"/>
  <c r="N81" i="13"/>
  <c r="R81" i="13" s="1"/>
  <c r="O81" i="13"/>
  <c r="S81" i="13" s="1"/>
  <c r="L73" i="13"/>
  <c r="P73" i="13" s="1"/>
  <c r="M73" i="13"/>
  <c r="Q73" i="13" s="1"/>
  <c r="N73" i="13"/>
  <c r="R73" i="13" s="1"/>
  <c r="O73" i="13"/>
  <c r="S73" i="13" s="1"/>
  <c r="L65" i="13"/>
  <c r="P65" i="13" s="1"/>
  <c r="M65" i="13"/>
  <c r="Q65" i="13" s="1"/>
  <c r="N65" i="13"/>
  <c r="R65" i="13" s="1"/>
  <c r="O65" i="13"/>
  <c r="S65" i="13" s="1"/>
  <c r="L57" i="13"/>
  <c r="P57" i="13" s="1"/>
  <c r="M57" i="13"/>
  <c r="Q57" i="13" s="1"/>
  <c r="N57" i="13"/>
  <c r="R57" i="13" s="1"/>
  <c r="O57" i="13"/>
  <c r="S57" i="13" s="1"/>
  <c r="L49" i="13"/>
  <c r="P49" i="13" s="1"/>
  <c r="M49" i="13"/>
  <c r="Q49" i="13" s="1"/>
  <c r="N49" i="13"/>
  <c r="R49" i="13" s="1"/>
  <c r="O49" i="13"/>
  <c r="S49" i="13" s="1"/>
  <c r="L41" i="13"/>
  <c r="P41" i="13" s="1"/>
  <c r="M41" i="13"/>
  <c r="Q41" i="13" s="1"/>
  <c r="N41" i="13"/>
  <c r="R41" i="13" s="1"/>
  <c r="O41" i="13"/>
  <c r="S41" i="13" s="1"/>
  <c r="L33" i="13"/>
  <c r="P33" i="13" s="1"/>
  <c r="M33" i="13"/>
  <c r="Q33" i="13" s="1"/>
  <c r="N33" i="13"/>
  <c r="R33" i="13" s="1"/>
  <c r="O33" i="13"/>
  <c r="S33" i="13" s="1"/>
  <c r="L25" i="13"/>
  <c r="P25" i="13" s="1"/>
  <c r="M25" i="13"/>
  <c r="Q25" i="13" s="1"/>
  <c r="N25" i="13"/>
  <c r="R25" i="13" s="1"/>
  <c r="O25" i="13"/>
  <c r="S25" i="13" s="1"/>
  <c r="L17" i="13"/>
  <c r="P17" i="13" s="1"/>
  <c r="M17" i="13"/>
  <c r="Q17" i="13" s="1"/>
  <c r="N17" i="13"/>
  <c r="R17" i="13" s="1"/>
  <c r="O17" i="13"/>
  <c r="S17" i="13" s="1"/>
  <c r="L9" i="13"/>
  <c r="P9" i="13" s="1"/>
  <c r="M9" i="13"/>
  <c r="Q9" i="13" s="1"/>
  <c r="N9" i="13"/>
  <c r="R9" i="13" s="1"/>
  <c r="O9" i="13"/>
  <c r="S9" i="13" s="1"/>
  <c r="M208" i="13"/>
  <c r="Q208" i="13" s="1"/>
  <c r="N208" i="13"/>
  <c r="R208" i="13" s="1"/>
  <c r="O208" i="13"/>
  <c r="S208" i="13" s="1"/>
  <c r="L208" i="13"/>
  <c r="P208" i="13" s="1"/>
  <c r="M200" i="13"/>
  <c r="Q200" i="13" s="1"/>
  <c r="N200" i="13"/>
  <c r="R200" i="13" s="1"/>
  <c r="O200" i="13"/>
  <c r="S200" i="13" s="1"/>
  <c r="L200" i="13"/>
  <c r="P200" i="13" s="1"/>
  <c r="M192" i="13"/>
  <c r="Q192" i="13" s="1"/>
  <c r="N192" i="13"/>
  <c r="R192" i="13" s="1"/>
  <c r="O192" i="13"/>
  <c r="S192" i="13" s="1"/>
  <c r="L192" i="13"/>
  <c r="P192" i="13" s="1"/>
  <c r="M184" i="13"/>
  <c r="Q184" i="13" s="1"/>
  <c r="N184" i="13"/>
  <c r="R184" i="13" s="1"/>
  <c r="O184" i="13"/>
  <c r="S184" i="13" s="1"/>
  <c r="L184" i="13"/>
  <c r="P184" i="13" s="1"/>
  <c r="M176" i="13"/>
  <c r="Q176" i="13" s="1"/>
  <c r="N176" i="13"/>
  <c r="R176" i="13" s="1"/>
  <c r="O176" i="13"/>
  <c r="S176" i="13" s="1"/>
  <c r="L176" i="13"/>
  <c r="P176" i="13" s="1"/>
  <c r="M168" i="13"/>
  <c r="Q168" i="13" s="1"/>
  <c r="N168" i="13"/>
  <c r="R168" i="13" s="1"/>
  <c r="O168" i="13"/>
  <c r="S168" i="13" s="1"/>
  <c r="L168" i="13"/>
  <c r="P168" i="13" s="1"/>
  <c r="M160" i="13"/>
  <c r="Q160" i="13" s="1"/>
  <c r="N160" i="13"/>
  <c r="R160" i="13" s="1"/>
  <c r="O160" i="13"/>
  <c r="S160" i="13" s="1"/>
  <c r="L160" i="13"/>
  <c r="P160" i="13" s="1"/>
  <c r="M152" i="13"/>
  <c r="Q152" i="13" s="1"/>
  <c r="N152" i="13"/>
  <c r="R152" i="13" s="1"/>
  <c r="O152" i="13"/>
  <c r="S152" i="13" s="1"/>
  <c r="L152" i="13"/>
  <c r="P152" i="13" s="1"/>
  <c r="M144" i="13"/>
  <c r="Q144" i="13" s="1"/>
  <c r="N144" i="13"/>
  <c r="R144" i="13" s="1"/>
  <c r="O144" i="13"/>
  <c r="S144" i="13" s="1"/>
  <c r="L144" i="13"/>
  <c r="P144" i="13" s="1"/>
  <c r="M136" i="13"/>
  <c r="Q136" i="13" s="1"/>
  <c r="O136" i="13"/>
  <c r="S136" i="13" s="1"/>
  <c r="L136" i="13"/>
  <c r="P136" i="13" s="1"/>
  <c r="N136" i="13"/>
  <c r="R136" i="13" s="1"/>
  <c r="M128" i="13"/>
  <c r="Q128" i="13" s="1"/>
  <c r="L128" i="13"/>
  <c r="P128" i="13" s="1"/>
  <c r="N128" i="13"/>
  <c r="R128" i="13" s="1"/>
  <c r="O128" i="13"/>
  <c r="S128" i="13" s="1"/>
  <c r="L120" i="13"/>
  <c r="P120" i="13" s="1"/>
  <c r="M120" i="13"/>
  <c r="Q120" i="13" s="1"/>
  <c r="O120" i="13"/>
  <c r="S120" i="13" s="1"/>
  <c r="N120" i="13"/>
  <c r="R120" i="13" s="1"/>
  <c r="L112" i="13"/>
  <c r="P112" i="13" s="1"/>
  <c r="M112" i="13"/>
  <c r="Q112" i="13" s="1"/>
  <c r="N112" i="13"/>
  <c r="R112" i="13" s="1"/>
  <c r="O112" i="13"/>
  <c r="S112" i="13" s="1"/>
  <c r="L104" i="13"/>
  <c r="P104" i="13" s="1"/>
  <c r="M104" i="13"/>
  <c r="Q104" i="13" s="1"/>
  <c r="N104" i="13"/>
  <c r="R104" i="13" s="1"/>
  <c r="O104" i="13"/>
  <c r="S104" i="13" s="1"/>
  <c r="L96" i="13"/>
  <c r="P96" i="13" s="1"/>
  <c r="M96" i="13"/>
  <c r="Q96" i="13" s="1"/>
  <c r="N96" i="13"/>
  <c r="R96" i="13" s="1"/>
  <c r="O96" i="13"/>
  <c r="S96" i="13" s="1"/>
  <c r="L88" i="13"/>
  <c r="P88" i="13" s="1"/>
  <c r="M88" i="13"/>
  <c r="Q88" i="13" s="1"/>
  <c r="O88" i="13"/>
  <c r="S88" i="13" s="1"/>
  <c r="N88" i="13"/>
  <c r="R88" i="13" s="1"/>
  <c r="L80" i="13"/>
  <c r="P80" i="13" s="1"/>
  <c r="M80" i="13"/>
  <c r="Q80" i="13" s="1"/>
  <c r="O80" i="13"/>
  <c r="S80" i="13" s="1"/>
  <c r="N80" i="13"/>
  <c r="R80" i="13" s="1"/>
  <c r="L72" i="13"/>
  <c r="P72" i="13" s="1"/>
  <c r="M72" i="13"/>
  <c r="Q72" i="13" s="1"/>
  <c r="N72" i="13"/>
  <c r="R72" i="13" s="1"/>
  <c r="O72" i="13"/>
  <c r="S72" i="13" s="1"/>
  <c r="L64" i="13"/>
  <c r="P64" i="13" s="1"/>
  <c r="M64" i="13"/>
  <c r="Q64" i="13" s="1"/>
  <c r="N64" i="13"/>
  <c r="R64" i="13" s="1"/>
  <c r="O64" i="13"/>
  <c r="S64" i="13" s="1"/>
  <c r="L56" i="13"/>
  <c r="P56" i="13" s="1"/>
  <c r="M56" i="13"/>
  <c r="Q56" i="13" s="1"/>
  <c r="O56" i="13"/>
  <c r="S56" i="13" s="1"/>
  <c r="N56" i="13"/>
  <c r="R56" i="13" s="1"/>
  <c r="L48" i="13"/>
  <c r="P48" i="13" s="1"/>
  <c r="M48" i="13"/>
  <c r="Q48" i="13" s="1"/>
  <c r="O48" i="13"/>
  <c r="S48" i="13" s="1"/>
  <c r="N48" i="13"/>
  <c r="R48" i="13" s="1"/>
  <c r="L40" i="13"/>
  <c r="P40" i="13" s="1"/>
  <c r="M40" i="13"/>
  <c r="Q40" i="13" s="1"/>
  <c r="N40" i="13"/>
  <c r="R40" i="13" s="1"/>
  <c r="O40" i="13"/>
  <c r="S40" i="13" s="1"/>
  <c r="L32" i="13"/>
  <c r="P32" i="13" s="1"/>
  <c r="M32" i="13"/>
  <c r="Q32" i="13" s="1"/>
  <c r="N32" i="13"/>
  <c r="R32" i="13" s="1"/>
  <c r="O32" i="13"/>
  <c r="S32" i="13" s="1"/>
  <c r="L24" i="13"/>
  <c r="P24" i="13" s="1"/>
  <c r="M24" i="13"/>
  <c r="Q24" i="13" s="1"/>
  <c r="O24" i="13"/>
  <c r="S24" i="13" s="1"/>
  <c r="N24" i="13"/>
  <c r="R24" i="13" s="1"/>
  <c r="L16" i="13"/>
  <c r="P16" i="13" s="1"/>
  <c r="M16" i="13"/>
  <c r="Q16" i="13" s="1"/>
  <c r="O16" i="13"/>
  <c r="S16" i="13" s="1"/>
  <c r="N16" i="13"/>
  <c r="R16" i="13" s="1"/>
  <c r="L6" i="13"/>
  <c r="P6" i="13" s="1"/>
  <c r="M6" i="13"/>
  <c r="Q6" i="13" s="1"/>
  <c r="N6" i="13"/>
  <c r="R6" i="13" s="1"/>
  <c r="O6" i="13"/>
  <c r="S6" i="13" s="1"/>
  <c r="L207" i="13"/>
  <c r="P207" i="13" s="1"/>
  <c r="M207" i="13"/>
  <c r="Q207" i="13" s="1"/>
  <c r="N207" i="13"/>
  <c r="R207" i="13" s="1"/>
  <c r="O207" i="13"/>
  <c r="S207" i="13" s="1"/>
  <c r="L199" i="13"/>
  <c r="P199" i="13" s="1"/>
  <c r="M199" i="13"/>
  <c r="Q199" i="13" s="1"/>
  <c r="N199" i="13"/>
  <c r="R199" i="13" s="1"/>
  <c r="O199" i="13"/>
  <c r="S199" i="13" s="1"/>
  <c r="L191" i="13"/>
  <c r="P191" i="13" s="1"/>
  <c r="M191" i="13"/>
  <c r="Q191" i="13" s="1"/>
  <c r="N191" i="13"/>
  <c r="R191" i="13" s="1"/>
  <c r="O191" i="13"/>
  <c r="S191" i="13" s="1"/>
  <c r="L183" i="13"/>
  <c r="P183" i="13" s="1"/>
  <c r="M183" i="13"/>
  <c r="Q183" i="13" s="1"/>
  <c r="N183" i="13"/>
  <c r="R183" i="13" s="1"/>
  <c r="O183" i="13"/>
  <c r="S183" i="13" s="1"/>
  <c r="L175" i="13"/>
  <c r="P175" i="13" s="1"/>
  <c r="M175" i="13"/>
  <c r="Q175" i="13" s="1"/>
  <c r="N175" i="13"/>
  <c r="R175" i="13" s="1"/>
  <c r="O175" i="13"/>
  <c r="S175" i="13" s="1"/>
  <c r="L167" i="13"/>
  <c r="P167" i="13" s="1"/>
  <c r="M167" i="13"/>
  <c r="Q167" i="13" s="1"/>
  <c r="N167" i="13"/>
  <c r="R167" i="13" s="1"/>
  <c r="O167" i="13"/>
  <c r="S167" i="13" s="1"/>
  <c r="L159" i="13"/>
  <c r="P159" i="13" s="1"/>
  <c r="M159" i="13"/>
  <c r="Q159" i="13" s="1"/>
  <c r="N159" i="13"/>
  <c r="R159" i="13" s="1"/>
  <c r="O159" i="13"/>
  <c r="S159" i="13" s="1"/>
  <c r="L151" i="13"/>
  <c r="P151" i="13" s="1"/>
  <c r="M151" i="13"/>
  <c r="Q151" i="13" s="1"/>
  <c r="N151" i="13"/>
  <c r="R151" i="13" s="1"/>
  <c r="O151" i="13"/>
  <c r="S151" i="13" s="1"/>
  <c r="L143" i="13"/>
  <c r="P143" i="13" s="1"/>
  <c r="M143" i="13"/>
  <c r="Q143" i="13" s="1"/>
  <c r="N143" i="13"/>
  <c r="R143" i="13" s="1"/>
  <c r="O143" i="13"/>
  <c r="S143" i="13" s="1"/>
  <c r="O135" i="13"/>
  <c r="S135" i="13" s="1"/>
  <c r="L135" i="13"/>
  <c r="P135" i="13" s="1"/>
  <c r="M135" i="13"/>
  <c r="Q135" i="13" s="1"/>
  <c r="N135" i="13"/>
  <c r="R135" i="13" s="1"/>
  <c r="M127" i="13"/>
  <c r="Q127" i="13" s="1"/>
  <c r="N127" i="13"/>
  <c r="R127" i="13" s="1"/>
  <c r="O127" i="13"/>
  <c r="S127" i="13" s="1"/>
  <c r="L127" i="13"/>
  <c r="P127" i="13" s="1"/>
  <c r="M119" i="13"/>
  <c r="Q119" i="13" s="1"/>
  <c r="N119" i="13"/>
  <c r="R119" i="13" s="1"/>
  <c r="O119" i="13"/>
  <c r="S119" i="13" s="1"/>
  <c r="L119" i="13"/>
  <c r="P119" i="13" s="1"/>
  <c r="M111" i="13"/>
  <c r="Q111" i="13" s="1"/>
  <c r="N111" i="13"/>
  <c r="R111" i="13" s="1"/>
  <c r="O111" i="13"/>
  <c r="S111" i="13" s="1"/>
  <c r="L111" i="13"/>
  <c r="P111" i="13" s="1"/>
  <c r="M103" i="13"/>
  <c r="Q103" i="13" s="1"/>
  <c r="N103" i="13"/>
  <c r="R103" i="13" s="1"/>
  <c r="O103" i="13"/>
  <c r="S103" i="13" s="1"/>
  <c r="L103" i="13"/>
  <c r="P103" i="13" s="1"/>
  <c r="M95" i="13"/>
  <c r="Q95" i="13" s="1"/>
  <c r="N95" i="13"/>
  <c r="R95" i="13" s="1"/>
  <c r="O95" i="13"/>
  <c r="S95" i="13" s="1"/>
  <c r="L95" i="13"/>
  <c r="P95" i="13" s="1"/>
  <c r="M87" i="13"/>
  <c r="Q87" i="13" s="1"/>
  <c r="N87" i="13"/>
  <c r="R87" i="13" s="1"/>
  <c r="O87" i="13"/>
  <c r="S87" i="13" s="1"/>
  <c r="L87" i="13"/>
  <c r="P87" i="13" s="1"/>
  <c r="M79" i="13"/>
  <c r="Q79" i="13" s="1"/>
  <c r="N79" i="13"/>
  <c r="R79" i="13" s="1"/>
  <c r="O79" i="13"/>
  <c r="S79" i="13" s="1"/>
  <c r="L79" i="13"/>
  <c r="P79" i="13" s="1"/>
  <c r="M71" i="13"/>
  <c r="Q71" i="13" s="1"/>
  <c r="N71" i="13"/>
  <c r="R71" i="13" s="1"/>
  <c r="O71" i="13"/>
  <c r="S71" i="13" s="1"/>
  <c r="L71" i="13"/>
  <c r="P71" i="13" s="1"/>
  <c r="M63" i="13"/>
  <c r="Q63" i="13" s="1"/>
  <c r="N63" i="13"/>
  <c r="R63" i="13" s="1"/>
  <c r="O63" i="13"/>
  <c r="S63" i="13" s="1"/>
  <c r="L63" i="13"/>
  <c r="P63" i="13" s="1"/>
  <c r="M55" i="13"/>
  <c r="Q55" i="13" s="1"/>
  <c r="N55" i="13"/>
  <c r="R55" i="13" s="1"/>
  <c r="O55" i="13"/>
  <c r="S55" i="13" s="1"/>
  <c r="L55" i="13"/>
  <c r="P55" i="13" s="1"/>
  <c r="M47" i="13"/>
  <c r="Q47" i="13" s="1"/>
  <c r="N47" i="13"/>
  <c r="R47" i="13" s="1"/>
  <c r="O47" i="13"/>
  <c r="S47" i="13" s="1"/>
  <c r="L47" i="13"/>
  <c r="P47" i="13" s="1"/>
  <c r="M39" i="13"/>
  <c r="Q39" i="13" s="1"/>
  <c r="N39" i="13"/>
  <c r="R39" i="13" s="1"/>
  <c r="O39" i="13"/>
  <c r="S39" i="13" s="1"/>
  <c r="L39" i="13"/>
  <c r="P39" i="13" s="1"/>
  <c r="M31" i="13"/>
  <c r="Q31" i="13" s="1"/>
  <c r="N31" i="13"/>
  <c r="R31" i="13" s="1"/>
  <c r="O31" i="13"/>
  <c r="S31" i="13" s="1"/>
  <c r="L31" i="13"/>
  <c r="P31" i="13" s="1"/>
  <c r="M23" i="13"/>
  <c r="Q23" i="13" s="1"/>
  <c r="N23" i="13"/>
  <c r="R23" i="13" s="1"/>
  <c r="O23" i="13"/>
  <c r="S23" i="13" s="1"/>
  <c r="L23" i="13"/>
  <c r="P23" i="13" s="1"/>
  <c r="M15" i="13"/>
  <c r="Q15" i="13" s="1"/>
  <c r="N15" i="13"/>
  <c r="R15" i="13" s="1"/>
  <c r="O15" i="13"/>
  <c r="S15" i="13" s="1"/>
  <c r="L15" i="13"/>
  <c r="P15" i="13" s="1"/>
  <c r="O214" i="13"/>
  <c r="S214" i="13" s="1"/>
  <c r="L214" i="13"/>
  <c r="P214" i="13" s="1"/>
  <c r="N214" i="13"/>
  <c r="R214" i="13" s="1"/>
  <c r="M214" i="13"/>
  <c r="Q214" i="13" s="1"/>
  <c r="O206" i="13"/>
  <c r="S206" i="13" s="1"/>
  <c r="L206" i="13"/>
  <c r="P206" i="13" s="1"/>
  <c r="N206" i="13"/>
  <c r="R206" i="13" s="1"/>
  <c r="M206" i="13"/>
  <c r="Q206" i="13" s="1"/>
  <c r="O198" i="13"/>
  <c r="S198" i="13" s="1"/>
  <c r="L198" i="13"/>
  <c r="P198" i="13" s="1"/>
  <c r="N198" i="13"/>
  <c r="R198" i="13" s="1"/>
  <c r="M198" i="13"/>
  <c r="Q198" i="13" s="1"/>
  <c r="O190" i="13"/>
  <c r="S190" i="13" s="1"/>
  <c r="L190" i="13"/>
  <c r="P190" i="13" s="1"/>
  <c r="N190" i="13"/>
  <c r="R190" i="13" s="1"/>
  <c r="M190" i="13"/>
  <c r="Q190" i="13" s="1"/>
  <c r="O182" i="13"/>
  <c r="S182" i="13" s="1"/>
  <c r="L182" i="13"/>
  <c r="P182" i="13" s="1"/>
  <c r="N182" i="13"/>
  <c r="R182" i="13" s="1"/>
  <c r="M182" i="13"/>
  <c r="Q182" i="13" s="1"/>
  <c r="O174" i="13"/>
  <c r="S174" i="13" s="1"/>
  <c r="L174" i="13"/>
  <c r="P174" i="13" s="1"/>
  <c r="N174" i="13"/>
  <c r="R174" i="13" s="1"/>
  <c r="M174" i="13"/>
  <c r="Q174" i="13" s="1"/>
  <c r="O166" i="13"/>
  <c r="S166" i="13" s="1"/>
  <c r="L166" i="13"/>
  <c r="P166" i="13" s="1"/>
  <c r="N166" i="13"/>
  <c r="R166" i="13" s="1"/>
  <c r="M166" i="13"/>
  <c r="Q166" i="13" s="1"/>
  <c r="O158" i="13"/>
  <c r="S158" i="13" s="1"/>
  <c r="L158" i="13"/>
  <c r="P158" i="13" s="1"/>
  <c r="N158" i="13"/>
  <c r="R158" i="13" s="1"/>
  <c r="M158" i="13"/>
  <c r="Q158" i="13" s="1"/>
  <c r="O150" i="13"/>
  <c r="S150" i="13" s="1"/>
  <c r="M150" i="13"/>
  <c r="Q150" i="13" s="1"/>
  <c r="L150" i="13"/>
  <c r="P150" i="13" s="1"/>
  <c r="N150" i="13"/>
  <c r="R150" i="13" s="1"/>
  <c r="O142" i="13"/>
  <c r="S142" i="13" s="1"/>
  <c r="M142" i="13"/>
  <c r="Q142" i="13" s="1"/>
  <c r="L142" i="13"/>
  <c r="P142" i="13" s="1"/>
  <c r="N142" i="13"/>
  <c r="R142" i="13" s="1"/>
  <c r="L134" i="13"/>
  <c r="P134" i="13" s="1"/>
  <c r="O134" i="13"/>
  <c r="S134" i="13" s="1"/>
  <c r="N134" i="13"/>
  <c r="R134" i="13" s="1"/>
  <c r="M134" i="13"/>
  <c r="Q134" i="13" s="1"/>
  <c r="L126" i="13"/>
  <c r="P126" i="13" s="1"/>
  <c r="M126" i="13"/>
  <c r="Q126" i="13" s="1"/>
  <c r="N126" i="13"/>
  <c r="R126" i="13" s="1"/>
  <c r="O126" i="13"/>
  <c r="S126" i="13" s="1"/>
  <c r="L118" i="13"/>
  <c r="P118" i="13" s="1"/>
  <c r="M118" i="13"/>
  <c r="Q118" i="13" s="1"/>
  <c r="N118" i="13"/>
  <c r="R118" i="13" s="1"/>
  <c r="O118" i="13"/>
  <c r="S118" i="13" s="1"/>
  <c r="L110" i="13"/>
  <c r="P110" i="13" s="1"/>
  <c r="M110" i="13"/>
  <c r="Q110" i="13" s="1"/>
  <c r="N110" i="13"/>
  <c r="R110" i="13" s="1"/>
  <c r="O110" i="13"/>
  <c r="S110" i="13" s="1"/>
  <c r="L102" i="13"/>
  <c r="P102" i="13" s="1"/>
  <c r="M102" i="13"/>
  <c r="Q102" i="13" s="1"/>
  <c r="N102" i="13"/>
  <c r="R102" i="13" s="1"/>
  <c r="O102" i="13"/>
  <c r="S102" i="13" s="1"/>
  <c r="L94" i="13"/>
  <c r="P94" i="13" s="1"/>
  <c r="M94" i="13"/>
  <c r="Q94" i="13" s="1"/>
  <c r="N94" i="13"/>
  <c r="R94" i="13" s="1"/>
  <c r="O94" i="13"/>
  <c r="S94" i="13" s="1"/>
  <c r="L86" i="13"/>
  <c r="P86" i="13" s="1"/>
  <c r="M86" i="13"/>
  <c r="Q86" i="13" s="1"/>
  <c r="N86" i="13"/>
  <c r="R86" i="13" s="1"/>
  <c r="O86" i="13"/>
  <c r="S86" i="13" s="1"/>
  <c r="L78" i="13"/>
  <c r="P78" i="13" s="1"/>
  <c r="M78" i="13"/>
  <c r="Q78" i="13" s="1"/>
  <c r="N78" i="13"/>
  <c r="R78" i="13" s="1"/>
  <c r="O78" i="13"/>
  <c r="S78" i="13" s="1"/>
  <c r="L70" i="13"/>
  <c r="P70" i="13" s="1"/>
  <c r="M70" i="13"/>
  <c r="Q70" i="13" s="1"/>
  <c r="N70" i="13"/>
  <c r="R70" i="13" s="1"/>
  <c r="O70" i="13"/>
  <c r="S70" i="13" s="1"/>
  <c r="L62" i="13"/>
  <c r="P62" i="13" s="1"/>
  <c r="M62" i="13"/>
  <c r="Q62" i="13" s="1"/>
  <c r="N62" i="13"/>
  <c r="R62" i="13" s="1"/>
  <c r="O62" i="13"/>
  <c r="S62" i="13" s="1"/>
  <c r="L54" i="13"/>
  <c r="P54" i="13" s="1"/>
  <c r="M54" i="13"/>
  <c r="Q54" i="13" s="1"/>
  <c r="N54" i="13"/>
  <c r="R54" i="13" s="1"/>
  <c r="O54" i="13"/>
  <c r="S54" i="13" s="1"/>
  <c r="L46" i="13"/>
  <c r="P46" i="13" s="1"/>
  <c r="M46" i="13"/>
  <c r="Q46" i="13" s="1"/>
  <c r="N46" i="13"/>
  <c r="R46" i="13" s="1"/>
  <c r="O46" i="13"/>
  <c r="S46" i="13" s="1"/>
  <c r="L38" i="13"/>
  <c r="P38" i="13" s="1"/>
  <c r="M38" i="13"/>
  <c r="Q38" i="13" s="1"/>
  <c r="N38" i="13"/>
  <c r="R38" i="13" s="1"/>
  <c r="O38" i="13"/>
  <c r="S38" i="13" s="1"/>
  <c r="L30" i="13"/>
  <c r="P30" i="13" s="1"/>
  <c r="M30" i="13"/>
  <c r="Q30" i="13" s="1"/>
  <c r="N30" i="13"/>
  <c r="R30" i="13" s="1"/>
  <c r="O30" i="13"/>
  <c r="S30" i="13" s="1"/>
  <c r="L22" i="13"/>
  <c r="P22" i="13" s="1"/>
  <c r="M22" i="13"/>
  <c r="Q22" i="13" s="1"/>
  <c r="N22" i="13"/>
  <c r="R22" i="13" s="1"/>
  <c r="O22" i="13"/>
  <c r="S22" i="13" s="1"/>
  <c r="L14" i="13"/>
  <c r="P14" i="13" s="1"/>
  <c r="M14" i="13"/>
  <c r="Q14" i="13" s="1"/>
  <c r="N14" i="13"/>
  <c r="R14" i="13" s="1"/>
  <c r="O14" i="13"/>
  <c r="S14" i="13" s="1"/>
  <c r="L213" i="13"/>
  <c r="P213" i="13" s="1"/>
  <c r="M213" i="13"/>
  <c r="Q213" i="13" s="1"/>
  <c r="N213" i="13"/>
  <c r="R213" i="13" s="1"/>
  <c r="O213" i="13"/>
  <c r="S213" i="13" s="1"/>
  <c r="L205" i="13"/>
  <c r="P205" i="13" s="1"/>
  <c r="M205" i="13"/>
  <c r="Q205" i="13" s="1"/>
  <c r="N205" i="13"/>
  <c r="R205" i="13" s="1"/>
  <c r="O205" i="13"/>
  <c r="S205" i="13" s="1"/>
  <c r="L197" i="13"/>
  <c r="P197" i="13" s="1"/>
  <c r="M197" i="13"/>
  <c r="Q197" i="13" s="1"/>
  <c r="N197" i="13"/>
  <c r="R197" i="13" s="1"/>
  <c r="O197" i="13"/>
  <c r="S197" i="13" s="1"/>
  <c r="L189" i="13"/>
  <c r="P189" i="13" s="1"/>
  <c r="M189" i="13"/>
  <c r="Q189" i="13" s="1"/>
  <c r="N189" i="13"/>
  <c r="R189" i="13" s="1"/>
  <c r="O189" i="13"/>
  <c r="S189" i="13" s="1"/>
  <c r="L181" i="13"/>
  <c r="P181" i="13" s="1"/>
  <c r="M181" i="13"/>
  <c r="Q181" i="13" s="1"/>
  <c r="N181" i="13"/>
  <c r="R181" i="13" s="1"/>
  <c r="O181" i="13"/>
  <c r="S181" i="13" s="1"/>
  <c r="L173" i="13"/>
  <c r="P173" i="13" s="1"/>
  <c r="M173" i="13"/>
  <c r="Q173" i="13" s="1"/>
  <c r="N173" i="13"/>
  <c r="R173" i="13" s="1"/>
  <c r="O173" i="13"/>
  <c r="S173" i="13" s="1"/>
  <c r="L165" i="13"/>
  <c r="P165" i="13" s="1"/>
  <c r="M165" i="13"/>
  <c r="Q165" i="13" s="1"/>
  <c r="N165" i="13"/>
  <c r="R165" i="13" s="1"/>
  <c r="O165" i="13"/>
  <c r="S165" i="13" s="1"/>
  <c r="L157" i="13"/>
  <c r="P157" i="13" s="1"/>
  <c r="M157" i="13"/>
  <c r="Q157" i="13" s="1"/>
  <c r="N157" i="13"/>
  <c r="R157" i="13" s="1"/>
  <c r="O157" i="13"/>
  <c r="S157" i="13" s="1"/>
  <c r="L149" i="13"/>
  <c r="P149" i="13" s="1"/>
  <c r="M149" i="13"/>
  <c r="Q149" i="13" s="1"/>
  <c r="N149" i="13"/>
  <c r="R149" i="13" s="1"/>
  <c r="O149" i="13"/>
  <c r="S149" i="13" s="1"/>
  <c r="L141" i="13"/>
  <c r="P141" i="13" s="1"/>
  <c r="M141" i="13"/>
  <c r="Q141" i="13" s="1"/>
  <c r="N141" i="13"/>
  <c r="R141" i="13" s="1"/>
  <c r="O141" i="13"/>
  <c r="S141" i="13" s="1"/>
  <c r="O133" i="13"/>
  <c r="S133" i="13" s="1"/>
  <c r="L133" i="13"/>
  <c r="P133" i="13" s="1"/>
  <c r="M133" i="13"/>
  <c r="Q133" i="13" s="1"/>
  <c r="N133" i="13"/>
  <c r="R133" i="13" s="1"/>
  <c r="O125" i="13"/>
  <c r="S125" i="13" s="1"/>
  <c r="L125" i="13"/>
  <c r="P125" i="13" s="1"/>
  <c r="M125" i="13"/>
  <c r="Q125" i="13" s="1"/>
  <c r="N125" i="13"/>
  <c r="R125" i="13" s="1"/>
  <c r="O117" i="13"/>
  <c r="S117" i="13" s="1"/>
  <c r="L117" i="13"/>
  <c r="P117" i="13" s="1"/>
  <c r="M117" i="13"/>
  <c r="Q117" i="13" s="1"/>
  <c r="N117" i="13"/>
  <c r="R117" i="13" s="1"/>
  <c r="O109" i="13"/>
  <c r="S109" i="13" s="1"/>
  <c r="L109" i="13"/>
  <c r="P109" i="13" s="1"/>
  <c r="M109" i="13"/>
  <c r="Q109" i="13" s="1"/>
  <c r="N109" i="13"/>
  <c r="R109" i="13" s="1"/>
  <c r="O101" i="13"/>
  <c r="S101" i="13" s="1"/>
  <c r="L101" i="13"/>
  <c r="P101" i="13" s="1"/>
  <c r="N101" i="13"/>
  <c r="R101" i="13" s="1"/>
  <c r="M101" i="13"/>
  <c r="Q101" i="13" s="1"/>
  <c r="O93" i="13"/>
  <c r="S93" i="13" s="1"/>
  <c r="L93" i="13"/>
  <c r="P93" i="13" s="1"/>
  <c r="N93" i="13"/>
  <c r="R93" i="13" s="1"/>
  <c r="M93" i="13"/>
  <c r="Q93" i="13" s="1"/>
  <c r="O85" i="13"/>
  <c r="S85" i="13" s="1"/>
  <c r="L85" i="13"/>
  <c r="P85" i="13" s="1"/>
  <c r="M85" i="13"/>
  <c r="Q85" i="13" s="1"/>
  <c r="N85" i="13"/>
  <c r="R85" i="13" s="1"/>
  <c r="O77" i="13"/>
  <c r="S77" i="13" s="1"/>
  <c r="L77" i="13"/>
  <c r="P77" i="13" s="1"/>
  <c r="M77" i="13"/>
  <c r="Q77" i="13" s="1"/>
  <c r="N77" i="13"/>
  <c r="R77" i="13" s="1"/>
  <c r="O69" i="13"/>
  <c r="S69" i="13" s="1"/>
  <c r="L69" i="13"/>
  <c r="P69" i="13" s="1"/>
  <c r="N69" i="13"/>
  <c r="R69" i="13" s="1"/>
  <c r="M69" i="13"/>
  <c r="Q69" i="13" s="1"/>
  <c r="O61" i="13"/>
  <c r="S61" i="13" s="1"/>
  <c r="L61" i="13"/>
  <c r="P61" i="13" s="1"/>
  <c r="N61" i="13"/>
  <c r="R61" i="13" s="1"/>
  <c r="M61" i="13"/>
  <c r="Q61" i="13" s="1"/>
  <c r="O53" i="13"/>
  <c r="S53" i="13" s="1"/>
  <c r="L53" i="13"/>
  <c r="P53" i="13" s="1"/>
  <c r="M53" i="13"/>
  <c r="Q53" i="13" s="1"/>
  <c r="N53" i="13"/>
  <c r="R53" i="13" s="1"/>
  <c r="O45" i="13"/>
  <c r="S45" i="13" s="1"/>
  <c r="L45" i="13"/>
  <c r="P45" i="13" s="1"/>
  <c r="M45" i="13"/>
  <c r="Q45" i="13" s="1"/>
  <c r="N45" i="13"/>
  <c r="R45" i="13" s="1"/>
  <c r="O37" i="13"/>
  <c r="S37" i="13" s="1"/>
  <c r="L37" i="13"/>
  <c r="P37" i="13" s="1"/>
  <c r="N37" i="13"/>
  <c r="R37" i="13" s="1"/>
  <c r="M37" i="13"/>
  <c r="Q37" i="13" s="1"/>
  <c r="O29" i="13"/>
  <c r="S29" i="13" s="1"/>
  <c r="L29" i="13"/>
  <c r="P29" i="13" s="1"/>
  <c r="N29" i="13"/>
  <c r="R29" i="13" s="1"/>
  <c r="M29" i="13"/>
  <c r="Q29" i="13" s="1"/>
  <c r="O21" i="13"/>
  <c r="S21" i="13" s="1"/>
  <c r="L21" i="13"/>
  <c r="P21" i="13" s="1"/>
  <c r="M21" i="13"/>
  <c r="Q21" i="13" s="1"/>
  <c r="N21" i="13"/>
  <c r="R21" i="13" s="1"/>
  <c r="O13" i="13"/>
  <c r="S13" i="13" s="1"/>
  <c r="L13" i="13"/>
  <c r="P13" i="13" s="1"/>
  <c r="M13" i="13"/>
  <c r="Q13" i="13" s="1"/>
  <c r="N13" i="13"/>
  <c r="R13" i="13" s="1"/>
  <c r="E24" i="7"/>
  <c r="C24" i="7"/>
  <c r="B24" i="7"/>
  <c r="B21" i="7"/>
  <c r="B13" i="7" a="1"/>
  <c r="B13" i="7" s="1"/>
  <c r="F25" i="11" s="1"/>
  <c r="B9" i="7"/>
  <c r="B6" i="7"/>
  <c r="B7" i="7" s="1"/>
  <c r="B3" i="7" a="1"/>
  <c r="B3" i="7" s="1"/>
  <c r="B4" i="7" s="1"/>
  <c r="E21" i="7"/>
  <c r="A3" i="14" l="1"/>
  <c r="B7" i="14" a="1"/>
  <c r="B7" i="14" s="1"/>
  <c r="C7" i="14" s="1" a="1"/>
  <c r="C7" i="14" s="1"/>
  <c r="B8" i="14" a="1"/>
  <c r="B8" i="14" s="1"/>
  <c r="C8" i="14" s="1" a="1"/>
  <c r="C8" i="14" s="1"/>
  <c r="F28" i="27" a="1"/>
  <c r="F28" i="27" s="1"/>
  <c r="B1" i="33" a="1"/>
  <c r="B1" i="33" s="1"/>
  <c r="B19" i="7"/>
  <c r="F33" i="11" s="1"/>
  <c r="B9" i="15" a="1"/>
  <c r="B9" i="15" s="1"/>
  <c r="Q5" i="13"/>
  <c r="P5" i="13"/>
  <c r="A3" i="17" s="1" a="1"/>
  <c r="A3" i="17" s="1"/>
  <c r="C1" i="33" s="1" a="1"/>
  <c r="C1" i="33" s="1"/>
  <c r="S5" i="13"/>
  <c r="R5" i="13"/>
  <c r="B8" i="7" a="1"/>
  <c r="B8" i="7" s="1"/>
  <c r="B5" i="7"/>
  <c r="G6" i="30" s="1" a="1"/>
  <c r="G6" i="30" s="1"/>
  <c r="F6" i="30" l="1"/>
  <c r="B10" i="7"/>
  <c r="B16" i="7"/>
  <c r="B23" i="7" a="1"/>
  <c r="B23" i="7" s="1"/>
  <c r="B15" i="7"/>
  <c r="F30" i="11" s="1"/>
  <c r="B11" i="7" l="1"/>
  <c r="B27" i="7" s="1"/>
  <c r="C7" i="35"/>
  <c r="H6" i="30"/>
  <c r="D7" i="30" s="1"/>
  <c r="D9" i="7"/>
  <c r="E6" i="7"/>
  <c r="E7" i="7" s="1"/>
  <c r="D6" i="7"/>
  <c r="D7" i="7" s="1"/>
  <c r="L6" i="30"/>
  <c r="D3" i="7" a="1"/>
  <c r="E3" i="7" a="1"/>
  <c r="J6" i="30" l="1"/>
  <c r="L15" i="35"/>
  <c r="I18" i="35"/>
  <c r="F20" i="35"/>
  <c r="C9" i="35"/>
  <c r="C19" i="35" s="1"/>
  <c r="C20" i="35" s="1"/>
  <c r="J19" i="11"/>
  <c r="N27" i="34"/>
  <c r="C25" i="7"/>
  <c r="K6" i="30" s="1"/>
  <c r="D21" i="7"/>
  <c r="U6" i="30"/>
  <c r="D25" i="7"/>
  <c r="E6" i="30"/>
  <c r="E3" i="7"/>
  <c r="D3" i="7"/>
  <c r="C13" i="7" a="1"/>
  <c r="C13" i="7" s="1"/>
  <c r="C9" i="7"/>
  <c r="M6" i="30" s="1"/>
  <c r="C6" i="7"/>
  <c r="O6" i="30" l="1"/>
  <c r="E4" i="7"/>
  <c r="E8" i="7" s="1"/>
  <c r="D4" i="7"/>
  <c r="P6" i="30"/>
  <c r="J29" i="11"/>
  <c r="J30" i="11"/>
  <c r="H24" i="27"/>
  <c r="F26" i="7"/>
  <c r="F37" i="28" s="1"/>
  <c r="M27" i="34" a="1"/>
  <c r="M27" i="34" s="1"/>
  <c r="I20" i="35"/>
  <c r="L16" i="35"/>
  <c r="L26" i="35" s="1"/>
  <c r="C18" i="35"/>
  <c r="C25" i="35"/>
  <c r="F18" i="35"/>
  <c r="F19" i="35"/>
  <c r="S6" i="30"/>
  <c r="C15" i="7"/>
  <c r="C14" i="7"/>
  <c r="H29" i="11" s="1"/>
  <c r="C7" i="7"/>
  <c r="C16" i="7" s="1"/>
  <c r="H19" i="11"/>
  <c r="L7" i="30"/>
  <c r="T6" i="30"/>
  <c r="U7" i="30"/>
  <c r="D13" i="7"/>
  <c r="E5" i="7"/>
  <c r="AH7" i="30" s="1"/>
  <c r="D5" i="7"/>
  <c r="C19" i="7"/>
  <c r="H33" i="11" s="1"/>
  <c r="H25" i="11"/>
  <c r="V7" i="30" l="1"/>
  <c r="H30" i="11"/>
  <c r="K7" i="30"/>
  <c r="J7" i="30"/>
  <c r="I24" i="27"/>
  <c r="C26" i="35"/>
  <c r="L27" i="35"/>
  <c r="C12" i="7"/>
  <c r="C17" i="7" s="1"/>
  <c r="H28" i="11" s="1"/>
  <c r="T33" i="11" a="1"/>
  <c r="T33" i="11" s="1"/>
  <c r="U33" i="11" a="1"/>
  <c r="U33" i="11" s="1"/>
  <c r="AA33" i="11" a="1"/>
  <c r="AA33" i="11" s="1"/>
  <c r="Y33" i="11" a="1"/>
  <c r="Y33" i="11" s="1"/>
  <c r="Z33" i="11" a="1"/>
  <c r="Z33" i="11" s="1"/>
  <c r="X33" i="11" a="1"/>
  <c r="X33" i="11" s="1"/>
  <c r="X6" i="30"/>
  <c r="D24" i="7"/>
  <c r="U8" i="30"/>
  <c r="V8" i="30" s="1"/>
  <c r="T7" i="30"/>
  <c r="X7" i="30" s="1"/>
  <c r="S7" i="30"/>
  <c r="L8" i="30"/>
  <c r="L25" i="11"/>
  <c r="D8" i="7"/>
  <c r="D10" i="7" s="1" a="1"/>
  <c r="D10" i="7" s="1"/>
  <c r="J25" i="11"/>
  <c r="D19" i="7"/>
  <c r="J33" i="11" s="1"/>
  <c r="D15" i="7"/>
  <c r="D16" i="7"/>
  <c r="Y7" i="30" l="1" a="1"/>
  <c r="Y7" i="30" s="1"/>
  <c r="O7" i="30"/>
  <c r="J8" i="30"/>
  <c r="K8" i="30"/>
  <c r="C27" i="35"/>
  <c r="J24" i="11"/>
  <c r="N25" i="34"/>
  <c r="Z35" i="11"/>
  <c r="M38" i="28" s="1"/>
  <c r="M36" i="28"/>
  <c r="Y35" i="11"/>
  <c r="L38" i="28" s="1"/>
  <c r="L36" i="28"/>
  <c r="AA35" i="11"/>
  <c r="N38" i="28" s="1"/>
  <c r="N36" i="28"/>
  <c r="U35" i="11"/>
  <c r="H38" i="28" s="1"/>
  <c r="H36" i="28"/>
  <c r="T35" i="11"/>
  <c r="G38" i="28" s="1"/>
  <c r="G36" i="28"/>
  <c r="K36" i="28"/>
  <c r="X35" i="11"/>
  <c r="K38" i="28" s="1"/>
  <c r="L9" i="30"/>
  <c r="T8" i="30"/>
  <c r="X8" i="30" s="1"/>
  <c r="U9" i="30"/>
  <c r="V9" i="30" s="1"/>
  <c r="S8" i="30"/>
  <c r="D11" i="7"/>
  <c r="D27" i="7" s="1"/>
  <c r="C10" i="7"/>
  <c r="C11" i="7" s="1"/>
  <c r="F11" i="7" s="1"/>
  <c r="F35" i="28" l="1" a="1"/>
  <c r="F35" i="28" s="1"/>
  <c r="F42" i="28" s="1"/>
  <c r="G5" i="27" s="1"/>
  <c r="K9" i="30"/>
  <c r="J9" i="30"/>
  <c r="O8" i="30"/>
  <c r="H20" i="27"/>
  <c r="C27" i="7"/>
  <c r="I20" i="27"/>
  <c r="H21" i="11"/>
  <c r="L10" i="30"/>
  <c r="T9" i="30"/>
  <c r="X9" i="30" s="1"/>
  <c r="U10" i="30"/>
  <c r="V10" i="30" s="1"/>
  <c r="S9" i="30"/>
  <c r="J21" i="11"/>
  <c r="J32" i="11" s="1"/>
  <c r="V6" i="30"/>
  <c r="Y6" i="30" s="1" a="1"/>
  <c r="Y6" i="30" s="1"/>
  <c r="J10" i="30" l="1"/>
  <c r="K10" i="30"/>
  <c r="O9" i="30"/>
  <c r="D14" i="7"/>
  <c r="D18" i="7" s="1"/>
  <c r="L11" i="30"/>
  <c r="Q6" i="30"/>
  <c r="M7" i="30" s="1"/>
  <c r="P7" i="30" s="1"/>
  <c r="N6" i="30"/>
  <c r="U11" i="30"/>
  <c r="V11" i="30" s="1"/>
  <c r="T10" i="30"/>
  <c r="X10" i="30" s="1"/>
  <c r="S10" i="30"/>
  <c r="J31" i="11"/>
  <c r="I14" i="7"/>
  <c r="I13" i="7"/>
  <c r="I22" i="7"/>
  <c r="I21" i="7"/>
  <c r="K11" i="30" l="1"/>
  <c r="J11" i="30"/>
  <c r="O10" i="30"/>
  <c r="D22" i="7" a="1"/>
  <c r="D22" i="7" s="1"/>
  <c r="D12" i="7" a="1"/>
  <c r="D12" i="7" s="1"/>
  <c r="D17" i="7" s="1"/>
  <c r="J28" i="11" s="1"/>
  <c r="Z6" i="30"/>
  <c r="N7" i="30"/>
  <c r="U12" i="30"/>
  <c r="V12" i="30" s="1"/>
  <c r="T11" i="30"/>
  <c r="X11" i="30" s="1"/>
  <c r="S11" i="30"/>
  <c r="L12" i="30"/>
  <c r="W6" i="30"/>
  <c r="J16" i="7" a="1"/>
  <c r="J16" i="7" s="1"/>
  <c r="I16" i="7"/>
  <c r="I15" i="7"/>
  <c r="J14" i="7" a="1"/>
  <c r="J14" i="7" s="1"/>
  <c r="J13" i="7" a="1"/>
  <c r="J13" i="7" s="1"/>
  <c r="J12" i="7"/>
  <c r="K12" i="30" l="1"/>
  <c r="J12" i="30"/>
  <c r="O11" i="30"/>
  <c r="Q7" i="30"/>
  <c r="M8" i="30" s="1"/>
  <c r="P8" i="30" s="1"/>
  <c r="N8" i="30" s="1"/>
  <c r="N24" i="34"/>
  <c r="W7" i="30"/>
  <c r="Z7" i="30" s="1"/>
  <c r="L13" i="30"/>
  <c r="U13" i="30"/>
  <c r="V13" i="30" s="1"/>
  <c r="T12" i="30"/>
  <c r="X12" i="30" s="1"/>
  <c r="S12" i="30"/>
  <c r="J4" i="7"/>
  <c r="I12" i="7"/>
  <c r="J10" i="7"/>
  <c r="I11" i="7"/>
  <c r="I10" i="7"/>
  <c r="I9" i="7"/>
  <c r="K13" i="30" l="1"/>
  <c r="J13" i="30"/>
  <c r="O12" i="30"/>
  <c r="Q8" i="30"/>
  <c r="M9" i="30" s="1"/>
  <c r="P9" i="30" s="1"/>
  <c r="N9" i="30" s="1"/>
  <c r="L14" i="30"/>
  <c r="U14" i="30"/>
  <c r="V14" i="30" s="1"/>
  <c r="T13" i="30"/>
  <c r="X13" i="30" s="1"/>
  <c r="S13" i="30"/>
  <c r="K14" i="30" l="1"/>
  <c r="J14" i="30"/>
  <c r="O13" i="30"/>
  <c r="Q9" i="30"/>
  <c r="M10" i="30" s="1"/>
  <c r="P10" i="30" s="1"/>
  <c r="N10" i="30" s="1"/>
  <c r="U15" i="30"/>
  <c r="V15" i="30" s="1"/>
  <c r="T14" i="30"/>
  <c r="X14" i="30" s="1"/>
  <c r="S14" i="30"/>
  <c r="L15" i="30"/>
  <c r="I5" i="7"/>
  <c r="K15" i="30" l="1"/>
  <c r="J15" i="30"/>
  <c r="O14" i="30"/>
  <c r="Q10" i="30"/>
  <c r="M11" i="30" s="1"/>
  <c r="P11" i="30" s="1"/>
  <c r="N11" i="30" s="1"/>
  <c r="L16" i="30"/>
  <c r="U16" i="30"/>
  <c r="V16" i="30" s="1"/>
  <c r="T15" i="30"/>
  <c r="X15" i="30" s="1"/>
  <c r="S15" i="30"/>
  <c r="J16" i="30" l="1"/>
  <c r="K16" i="30"/>
  <c r="O15" i="30"/>
  <c r="Q11" i="30"/>
  <c r="M12" i="30" s="1"/>
  <c r="P12" i="30" s="1"/>
  <c r="U17" i="30"/>
  <c r="V17" i="30" s="1"/>
  <c r="T16" i="30"/>
  <c r="X16" i="30" s="1"/>
  <c r="S16" i="30"/>
  <c r="L17" i="30"/>
  <c r="F21" i="11"/>
  <c r="J17" i="30" l="1"/>
  <c r="K17" i="30"/>
  <c r="O16" i="30"/>
  <c r="B14" i="7"/>
  <c r="F14" i="7" s="1"/>
  <c r="F25" i="35" s="1"/>
  <c r="L18" i="30"/>
  <c r="N12" i="30"/>
  <c r="Q12" i="30" s="1"/>
  <c r="M13" i="30" s="1"/>
  <c r="P13" i="30" s="1"/>
  <c r="U18" i="30"/>
  <c r="V18" i="30" s="1"/>
  <c r="T17" i="30"/>
  <c r="X17" i="30" s="1"/>
  <c r="S17" i="30"/>
  <c r="M28" i="34" l="1"/>
  <c r="C6" i="38"/>
  <c r="O17" i="30"/>
  <c r="K18" i="30"/>
  <c r="J18" i="30"/>
  <c r="G72" i="28"/>
  <c r="G66" i="28"/>
  <c r="G67" i="28"/>
  <c r="G70" i="28"/>
  <c r="G74" i="28"/>
  <c r="H76" i="28"/>
  <c r="G71" i="28"/>
  <c r="G68" i="28"/>
  <c r="G73" i="28"/>
  <c r="G69" i="28"/>
  <c r="G75" i="28"/>
  <c r="U19" i="30"/>
  <c r="V19" i="30" s="1"/>
  <c r="T18" i="30"/>
  <c r="X18" i="30" s="1"/>
  <c r="S18" i="30"/>
  <c r="L19" i="30"/>
  <c r="K19" i="30" l="1"/>
  <c r="J19" i="30"/>
  <c r="O18" i="30"/>
  <c r="H5" i="27"/>
  <c r="N13" i="30"/>
  <c r="Q13" i="30" s="1"/>
  <c r="M14" i="30" s="1"/>
  <c r="P14" i="30" s="1"/>
  <c r="L20" i="30"/>
  <c r="U20" i="30"/>
  <c r="V20" i="30" s="1"/>
  <c r="T19" i="30"/>
  <c r="X19" i="30" s="1"/>
  <c r="S19" i="30"/>
  <c r="K20" i="30" l="1"/>
  <c r="J20" i="30"/>
  <c r="O19" i="30"/>
  <c r="U21" i="30"/>
  <c r="V21" i="30" s="1"/>
  <c r="T20" i="30"/>
  <c r="X20" i="30" s="1"/>
  <c r="S20" i="30"/>
  <c r="L21" i="30"/>
  <c r="F31" i="11"/>
  <c r="K21" i="30" l="1"/>
  <c r="J21" i="30"/>
  <c r="O20" i="30"/>
  <c r="N14" i="30"/>
  <c r="Q14" i="30" s="1"/>
  <c r="M15" i="30" s="1"/>
  <c r="P15" i="30" s="1"/>
  <c r="L22" i="30"/>
  <c r="U22" i="30"/>
  <c r="V22" i="30" s="1"/>
  <c r="T21" i="30"/>
  <c r="X21" i="30" s="1"/>
  <c r="S21" i="30"/>
  <c r="J22" i="30" l="1"/>
  <c r="K22" i="30"/>
  <c r="O21" i="30"/>
  <c r="U23" i="30"/>
  <c r="V23" i="30" s="1"/>
  <c r="T22" i="30"/>
  <c r="X22" i="30" s="1"/>
  <c r="S22" i="30"/>
  <c r="L23" i="30"/>
  <c r="O22" i="30" l="1"/>
  <c r="K23" i="30"/>
  <c r="J23" i="30"/>
  <c r="N15" i="30"/>
  <c r="Q15" i="30" s="1"/>
  <c r="M16" i="30" s="1"/>
  <c r="P16" i="30" s="1"/>
  <c r="L24" i="30"/>
  <c r="U24" i="30"/>
  <c r="V24" i="30" s="1"/>
  <c r="T23" i="30"/>
  <c r="X23" i="30" s="1"/>
  <c r="S23" i="30"/>
  <c r="O23" i="30" l="1"/>
  <c r="J24" i="30"/>
  <c r="K24" i="30"/>
  <c r="U25" i="30"/>
  <c r="V25" i="30" s="1"/>
  <c r="T24" i="30"/>
  <c r="X24" i="30" s="1"/>
  <c r="S24" i="30"/>
  <c r="L25" i="30"/>
  <c r="O24" i="30" l="1"/>
  <c r="J25" i="30"/>
  <c r="K25" i="30"/>
  <c r="L26" i="30"/>
  <c r="N16" i="30"/>
  <c r="Q16" i="30" s="1"/>
  <c r="M17" i="30" s="1"/>
  <c r="P17" i="30" s="1"/>
  <c r="U26" i="30"/>
  <c r="V26" i="30" s="1"/>
  <c r="T25" i="30"/>
  <c r="X25" i="30" s="1"/>
  <c r="S25" i="30"/>
  <c r="K26" i="30" l="1"/>
  <c r="J26" i="30"/>
  <c r="O25" i="30"/>
  <c r="P17" i="14"/>
  <c r="R17" i="14"/>
  <c r="L17" i="14"/>
  <c r="N17" i="14"/>
  <c r="L16" i="14"/>
  <c r="N16" i="14"/>
  <c r="P16" i="14"/>
  <c r="R16" i="14"/>
  <c r="T17" i="14"/>
  <c r="V17" i="14"/>
  <c r="T16" i="14"/>
  <c r="V16" i="14"/>
  <c r="L15" i="14"/>
  <c r="N15" i="14"/>
  <c r="P15" i="14"/>
  <c r="R15" i="14"/>
  <c r="T15" i="14"/>
  <c r="V15" i="14"/>
  <c r="P14" i="14"/>
  <c r="Q14" i="14" s="1"/>
  <c r="R14" i="14"/>
  <c r="T14" i="14"/>
  <c r="U14" i="14" s="1"/>
  <c r="V14" i="14"/>
  <c r="L14" i="14"/>
  <c r="M14" i="14" s="1"/>
  <c r="N14" i="14"/>
  <c r="U27" i="30"/>
  <c r="V27" i="30" s="1"/>
  <c r="T26" i="30"/>
  <c r="X26" i="30" s="1"/>
  <c r="S26" i="30"/>
  <c r="L27" i="30"/>
  <c r="T12" i="14"/>
  <c r="U12" i="14" s="1"/>
  <c r="V12" i="14"/>
  <c r="T11" i="14"/>
  <c r="U11" i="14" s="1"/>
  <c r="V11" i="14"/>
  <c r="T13" i="14"/>
  <c r="U13" i="14" s="1"/>
  <c r="P11" i="14"/>
  <c r="Q11" i="14" s="1"/>
  <c r="R11" i="14"/>
  <c r="P12" i="14"/>
  <c r="Q12" i="14" s="1"/>
  <c r="R12" i="14"/>
  <c r="P13" i="14"/>
  <c r="Q13" i="14" s="1"/>
  <c r="N13" i="14"/>
  <c r="L13" i="14"/>
  <c r="L11" i="14"/>
  <c r="L12" i="14"/>
  <c r="Y18" i="14"/>
  <c r="Z18" i="14"/>
  <c r="M18" i="14"/>
  <c r="U18" i="14"/>
  <c r="Q18" i="14"/>
  <c r="Y17" i="14"/>
  <c r="Z17" i="14"/>
  <c r="Q17" i="14"/>
  <c r="M17" i="14"/>
  <c r="U17" i="14"/>
  <c r="Y16" i="14"/>
  <c r="Z16" i="14"/>
  <c r="U16" i="14"/>
  <c r="M16" i="14"/>
  <c r="Q16" i="14"/>
  <c r="M15" i="14"/>
  <c r="U15" i="14"/>
  <c r="Y15" i="14"/>
  <c r="Z15" i="14"/>
  <c r="Q15" i="14"/>
  <c r="Y14" i="14"/>
  <c r="Z14" i="14"/>
  <c r="Y13" i="14"/>
  <c r="Z13" i="14"/>
  <c r="Y12" i="14"/>
  <c r="Z12" i="14"/>
  <c r="Y11" i="14"/>
  <c r="Z11" i="14"/>
  <c r="K27" i="30" l="1"/>
  <c r="J27" i="30"/>
  <c r="O26" i="30"/>
  <c r="L28" i="30"/>
  <c r="N17" i="30"/>
  <c r="Q17" i="30" s="1"/>
  <c r="M18" i="30" s="1"/>
  <c r="P18" i="30" s="1"/>
  <c r="U28" i="30"/>
  <c r="V28" i="30" s="1"/>
  <c r="T27" i="30"/>
  <c r="X27" i="30" s="1"/>
  <c r="S27" i="30"/>
  <c r="M11" i="14"/>
  <c r="M12" i="14"/>
  <c r="M13" i="14"/>
  <c r="K28" i="30" l="1"/>
  <c r="J28" i="30"/>
  <c r="O27" i="30"/>
  <c r="U29" i="30"/>
  <c r="V29" i="30" s="1"/>
  <c r="T28" i="30"/>
  <c r="X28" i="30" s="1"/>
  <c r="S28" i="30"/>
  <c r="L29" i="30"/>
  <c r="K29" i="30" l="1"/>
  <c r="J29" i="30"/>
  <c r="O28" i="30"/>
  <c r="N18" i="30"/>
  <c r="Q18" i="30" s="1"/>
  <c r="M19" i="30" s="1"/>
  <c r="P19" i="30" s="1"/>
  <c r="L30" i="30"/>
  <c r="U30" i="30"/>
  <c r="V30" i="30" s="1"/>
  <c r="T29" i="30"/>
  <c r="X29" i="30" s="1"/>
  <c r="S29" i="30"/>
  <c r="K30" i="30" l="1"/>
  <c r="J30" i="30"/>
  <c r="O29" i="30"/>
  <c r="U31" i="30"/>
  <c r="V31" i="30" s="1"/>
  <c r="T30" i="30"/>
  <c r="X30" i="30" s="1"/>
  <c r="S30" i="30"/>
  <c r="L31" i="30"/>
  <c r="K31" i="30" l="1"/>
  <c r="J31" i="30"/>
  <c r="O30" i="30"/>
  <c r="L32" i="30"/>
  <c r="N19" i="30"/>
  <c r="Q19" i="30" s="1"/>
  <c r="M20" i="30" s="1"/>
  <c r="P20" i="30" s="1"/>
  <c r="U32" i="30"/>
  <c r="V32" i="30" s="1"/>
  <c r="T31" i="30"/>
  <c r="X31" i="30" s="1"/>
  <c r="S31" i="30"/>
  <c r="J32" i="30" l="1"/>
  <c r="K32" i="30"/>
  <c r="O31" i="30"/>
  <c r="U33" i="30"/>
  <c r="V33" i="30" s="1"/>
  <c r="T32" i="30"/>
  <c r="X32" i="30" s="1"/>
  <c r="S32" i="30"/>
  <c r="L33" i="30"/>
  <c r="J33" i="30" l="1"/>
  <c r="K33" i="30"/>
  <c r="O32" i="30"/>
  <c r="N20" i="30"/>
  <c r="Q20" i="30" s="1"/>
  <c r="M21" i="30" s="1"/>
  <c r="P21" i="30" s="1"/>
  <c r="L34" i="30"/>
  <c r="U34" i="30"/>
  <c r="V34" i="30" s="1"/>
  <c r="T33" i="30"/>
  <c r="X33" i="30" s="1"/>
  <c r="S33" i="30"/>
  <c r="K34" i="30" l="1"/>
  <c r="J34" i="30"/>
  <c r="O33" i="30"/>
  <c r="U35" i="30"/>
  <c r="V35" i="30" s="1"/>
  <c r="T34" i="30"/>
  <c r="X34" i="30" s="1"/>
  <c r="S34" i="30"/>
  <c r="L35" i="30"/>
  <c r="K35" i="30" l="1"/>
  <c r="J35" i="30"/>
  <c r="O34" i="30"/>
  <c r="L36" i="30"/>
  <c r="N21" i="30"/>
  <c r="Q21" i="30" s="1"/>
  <c r="M22" i="30" s="1"/>
  <c r="P22" i="30" s="1"/>
  <c r="U36" i="30"/>
  <c r="V36" i="30" s="1"/>
  <c r="T35" i="30"/>
  <c r="X35" i="30" s="1"/>
  <c r="S35" i="30"/>
  <c r="K36" i="30" l="1"/>
  <c r="J36" i="30"/>
  <c r="O35" i="30"/>
  <c r="N29" i="7" a="1"/>
  <c r="N29" i="7" s="1"/>
  <c r="F6" i="37" a="1"/>
  <c r="U37" i="30"/>
  <c r="V37" i="30" s="1"/>
  <c r="T36" i="30"/>
  <c r="X36" i="30" s="1"/>
  <c r="S36" i="30"/>
  <c r="L37" i="30"/>
  <c r="K37" i="30" l="1"/>
  <c r="J37" i="30"/>
  <c r="O36" i="30"/>
  <c r="N32" i="7" a="1"/>
  <c r="N32" i="7" s="1"/>
  <c r="F6" i="37"/>
  <c r="N22" i="30"/>
  <c r="Q22" i="30" s="1"/>
  <c r="M23" i="30" s="1"/>
  <c r="P23" i="30" s="1"/>
  <c r="L38" i="30"/>
  <c r="U38" i="30"/>
  <c r="V38" i="30" s="1"/>
  <c r="T37" i="30"/>
  <c r="X37" i="30" s="1"/>
  <c r="S37" i="30"/>
  <c r="K38" i="30" l="1"/>
  <c r="J38" i="30"/>
  <c r="O37" i="30"/>
  <c r="U39" i="30"/>
  <c r="V39" i="30" s="1"/>
  <c r="T38" i="30"/>
  <c r="X38" i="30" s="1"/>
  <c r="S38" i="30"/>
  <c r="L39" i="30"/>
  <c r="K39" i="30" l="1"/>
  <c r="J39" i="30"/>
  <c r="O38" i="30"/>
  <c r="N23" i="30"/>
  <c r="Q23" i="30" s="1"/>
  <c r="M24" i="30" s="1"/>
  <c r="P24" i="30" s="1"/>
  <c r="L40" i="30"/>
  <c r="U40" i="30"/>
  <c r="V40" i="30" s="1"/>
  <c r="T39" i="30"/>
  <c r="X39" i="30" s="1"/>
  <c r="S39" i="30"/>
  <c r="J40" i="30" l="1"/>
  <c r="K40" i="30"/>
  <c r="O39" i="30"/>
  <c r="U41" i="30"/>
  <c r="V41" i="30" s="1"/>
  <c r="T40" i="30"/>
  <c r="X40" i="30" s="1"/>
  <c r="S40" i="30"/>
  <c r="L41" i="30"/>
  <c r="J41" i="30" l="1"/>
  <c r="K41" i="30"/>
  <c r="O40" i="30"/>
  <c r="U42" i="30"/>
  <c r="V42" i="30" s="1"/>
  <c r="T41" i="30"/>
  <c r="X41" i="30" s="1"/>
  <c r="S41" i="30"/>
  <c r="L42" i="30"/>
  <c r="N24" i="30"/>
  <c r="Q24" i="30" s="1"/>
  <c r="M25" i="30" s="1"/>
  <c r="P25" i="30" s="1"/>
  <c r="K42" i="30" l="1"/>
  <c r="J42" i="30"/>
  <c r="O41" i="30"/>
  <c r="L43" i="30"/>
  <c r="U43" i="30"/>
  <c r="V43" i="30" s="1"/>
  <c r="T42" i="30"/>
  <c r="X42" i="30" s="1"/>
  <c r="S42" i="30"/>
  <c r="N25" i="30"/>
  <c r="Q25" i="30" s="1"/>
  <c r="M26" i="30" s="1"/>
  <c r="P26" i="30" s="1"/>
  <c r="K43" i="30" l="1"/>
  <c r="J43" i="30"/>
  <c r="O42" i="30"/>
  <c r="U44" i="30"/>
  <c r="V44" i="30" s="1"/>
  <c r="T43" i="30"/>
  <c r="X43" i="30" s="1"/>
  <c r="S43" i="30"/>
  <c r="L44" i="30"/>
  <c r="N26" i="30"/>
  <c r="Q26" i="30" s="1"/>
  <c r="M27" i="30" s="1"/>
  <c r="P27" i="30" s="1"/>
  <c r="K44" i="30" l="1"/>
  <c r="J44" i="30"/>
  <c r="O43" i="30"/>
  <c r="L45" i="30"/>
  <c r="U45" i="30"/>
  <c r="V45" i="30" s="1"/>
  <c r="T44" i="30"/>
  <c r="X44" i="30" s="1"/>
  <c r="S44" i="30"/>
  <c r="K45" i="30" l="1"/>
  <c r="J45" i="30"/>
  <c r="O44" i="30"/>
  <c r="L46" i="30"/>
  <c r="N27" i="30"/>
  <c r="Q27" i="30" s="1"/>
  <c r="M28" i="30" s="1"/>
  <c r="P28" i="30" s="1"/>
  <c r="U46" i="30"/>
  <c r="V46" i="30" s="1"/>
  <c r="T45" i="30"/>
  <c r="X45" i="30" s="1"/>
  <c r="S45" i="30"/>
  <c r="J46" i="30" l="1"/>
  <c r="K46" i="30"/>
  <c r="O45" i="30"/>
  <c r="U47" i="30"/>
  <c r="V47" i="30" s="1"/>
  <c r="T46" i="30"/>
  <c r="X46" i="30" s="1"/>
  <c r="S46" i="30"/>
  <c r="L47" i="30"/>
  <c r="K47" i="30" l="1"/>
  <c r="J47" i="30"/>
  <c r="O46" i="30"/>
  <c r="U48" i="30"/>
  <c r="V48" i="30" s="1"/>
  <c r="T47" i="30"/>
  <c r="X47" i="30" s="1"/>
  <c r="S47" i="30"/>
  <c r="N28" i="30"/>
  <c r="Q28" i="30" s="1"/>
  <c r="M29" i="30" s="1"/>
  <c r="P29" i="30" s="1"/>
  <c r="L48" i="30"/>
  <c r="J48" i="30" l="1"/>
  <c r="K48" i="30"/>
  <c r="O47" i="30"/>
  <c r="L49" i="30"/>
  <c r="U49" i="30"/>
  <c r="V49" i="30" s="1"/>
  <c r="T48" i="30"/>
  <c r="X48" i="30" s="1"/>
  <c r="S48" i="30"/>
  <c r="J49" i="30" l="1"/>
  <c r="K49" i="30"/>
  <c r="O48" i="30"/>
  <c r="U50" i="30"/>
  <c r="V50" i="30" s="1"/>
  <c r="T49" i="30"/>
  <c r="X49" i="30" s="1"/>
  <c r="S49" i="30"/>
  <c r="L50" i="30"/>
  <c r="N29" i="30"/>
  <c r="Q29" i="30" s="1"/>
  <c r="M30" i="30" s="1"/>
  <c r="P30" i="30" s="1"/>
  <c r="K50" i="30" l="1"/>
  <c r="J50" i="30"/>
  <c r="O49" i="30"/>
  <c r="U51" i="30"/>
  <c r="V51" i="30" s="1"/>
  <c r="T50" i="30"/>
  <c r="X50" i="30" s="1"/>
  <c r="S50" i="30"/>
  <c r="L51" i="30"/>
  <c r="K51" i="30" l="1"/>
  <c r="J51" i="30"/>
  <c r="O50" i="30"/>
  <c r="N30" i="30"/>
  <c r="Q30" i="30" s="1"/>
  <c r="M31" i="30" s="1"/>
  <c r="P31" i="30" s="1"/>
  <c r="L52" i="30"/>
  <c r="U52" i="30"/>
  <c r="V52" i="30" s="1"/>
  <c r="T51" i="30"/>
  <c r="X51" i="30" s="1"/>
  <c r="S51" i="30"/>
  <c r="K52" i="30" l="1"/>
  <c r="J52" i="30"/>
  <c r="O51" i="30"/>
  <c r="U53" i="30"/>
  <c r="V53" i="30" s="1"/>
  <c r="T52" i="30"/>
  <c r="X52" i="30" s="1"/>
  <c r="S52" i="30"/>
  <c r="L53" i="30"/>
  <c r="K53" i="30" l="1"/>
  <c r="J53" i="30"/>
  <c r="O52" i="30"/>
  <c r="L54" i="30"/>
  <c r="N31" i="30"/>
  <c r="Q31" i="30" s="1"/>
  <c r="M32" i="30" s="1"/>
  <c r="P32" i="30" s="1"/>
  <c r="U54" i="30"/>
  <c r="V54" i="30" s="1"/>
  <c r="T53" i="30"/>
  <c r="X53" i="30" s="1"/>
  <c r="S53" i="30"/>
  <c r="J54" i="30" l="1"/>
  <c r="K54" i="30"/>
  <c r="O53" i="30"/>
  <c r="U55" i="30"/>
  <c r="V55" i="30" s="1"/>
  <c r="T54" i="30"/>
  <c r="X54" i="30" s="1"/>
  <c r="S54" i="30"/>
  <c r="L55" i="30"/>
  <c r="K55" i="30" l="1"/>
  <c r="J55" i="30"/>
  <c r="O54" i="30"/>
  <c r="N32" i="30"/>
  <c r="Q32" i="30" s="1"/>
  <c r="M33" i="30" s="1"/>
  <c r="P33" i="30" s="1"/>
  <c r="L56" i="30"/>
  <c r="U56" i="30"/>
  <c r="V56" i="30" s="1"/>
  <c r="T55" i="30"/>
  <c r="X55" i="30" s="1"/>
  <c r="S55" i="30"/>
  <c r="J56" i="30" l="1"/>
  <c r="K56" i="30"/>
  <c r="O55" i="30"/>
  <c r="U57" i="30"/>
  <c r="V57" i="30" s="1"/>
  <c r="T56" i="30"/>
  <c r="X56" i="30" s="1"/>
  <c r="S56" i="30"/>
  <c r="L57" i="30"/>
  <c r="O56" i="30" l="1"/>
  <c r="J57" i="30"/>
  <c r="K57" i="30"/>
  <c r="N33" i="30"/>
  <c r="Q33" i="30" s="1"/>
  <c r="M34" i="30" s="1"/>
  <c r="P34" i="30" s="1"/>
  <c r="L58" i="30"/>
  <c r="U58" i="30"/>
  <c r="V58" i="30" s="1"/>
  <c r="T57" i="30"/>
  <c r="X57" i="30" s="1"/>
  <c r="S57" i="30"/>
  <c r="K58" i="30" l="1"/>
  <c r="J58" i="30"/>
  <c r="O57" i="30"/>
  <c r="L59" i="30"/>
  <c r="U59" i="30"/>
  <c r="V59" i="30" s="1"/>
  <c r="T58" i="30"/>
  <c r="X58" i="30" s="1"/>
  <c r="S58" i="30"/>
  <c r="K59" i="30" l="1"/>
  <c r="J59" i="30"/>
  <c r="O58" i="30"/>
  <c r="N34" i="30"/>
  <c r="Q34" i="30" s="1"/>
  <c r="M35" i="30" s="1"/>
  <c r="P35" i="30" s="1"/>
  <c r="U60" i="30"/>
  <c r="V60" i="30" s="1"/>
  <c r="T59" i="30"/>
  <c r="X59" i="30" s="1"/>
  <c r="S59" i="30"/>
  <c r="L60" i="30"/>
  <c r="K60" i="30" l="1"/>
  <c r="J60" i="30"/>
  <c r="O59" i="30"/>
  <c r="L61" i="30"/>
  <c r="U61" i="30"/>
  <c r="V61" i="30" s="1"/>
  <c r="T60" i="30"/>
  <c r="X60" i="30" s="1"/>
  <c r="S60" i="30"/>
  <c r="K61" i="30" l="1"/>
  <c r="J61" i="30"/>
  <c r="O60" i="30"/>
  <c r="N35" i="30"/>
  <c r="Q35" i="30" s="1"/>
  <c r="M36" i="30" s="1"/>
  <c r="P36" i="30" s="1"/>
  <c r="U62" i="30"/>
  <c r="V62" i="30" s="1"/>
  <c r="T61" i="30"/>
  <c r="X61" i="30" s="1"/>
  <c r="S61" i="30"/>
  <c r="L62" i="30"/>
  <c r="J62" i="30" l="1"/>
  <c r="K62" i="30"/>
  <c r="O61" i="30"/>
  <c r="L63" i="30"/>
  <c r="U63" i="30"/>
  <c r="V63" i="30" s="1"/>
  <c r="T62" i="30"/>
  <c r="X62" i="30" s="1"/>
  <c r="S62" i="30"/>
  <c r="K63" i="30" l="1"/>
  <c r="J63" i="30"/>
  <c r="O62" i="30"/>
  <c r="L64" i="30"/>
  <c r="U64" i="30"/>
  <c r="V64" i="30" s="1"/>
  <c r="T63" i="30"/>
  <c r="X63" i="30" s="1"/>
  <c r="S63" i="30"/>
  <c r="N36" i="30"/>
  <c r="Q36" i="30" s="1"/>
  <c r="M37" i="30" s="1"/>
  <c r="P37" i="30" s="1"/>
  <c r="J64" i="30" l="1"/>
  <c r="K64" i="30"/>
  <c r="O63" i="30"/>
  <c r="N37" i="30"/>
  <c r="Q37" i="30" s="1"/>
  <c r="M38" i="30" s="1"/>
  <c r="P38" i="30" s="1"/>
  <c r="U65" i="30"/>
  <c r="V65" i="30" s="1"/>
  <c r="T64" i="30"/>
  <c r="X64" i="30" s="1"/>
  <c r="S64" i="30"/>
  <c r="L65" i="30"/>
  <c r="J65" i="30" l="1"/>
  <c r="K65" i="30"/>
  <c r="O64" i="30"/>
  <c r="U66" i="30"/>
  <c r="V66" i="30" s="1"/>
  <c r="T65" i="30"/>
  <c r="X65" i="30" s="1"/>
  <c r="S65" i="30"/>
  <c r="L66" i="30"/>
  <c r="K66" i="30" l="1"/>
  <c r="J66" i="30"/>
  <c r="O65" i="30"/>
  <c r="L67" i="30"/>
  <c r="N38" i="30"/>
  <c r="Q38" i="30" s="1"/>
  <c r="M39" i="30" s="1"/>
  <c r="P39" i="30" s="1"/>
  <c r="U67" i="30"/>
  <c r="V67" i="30" s="1"/>
  <c r="T66" i="30"/>
  <c r="X66" i="30" s="1"/>
  <c r="S66" i="30"/>
  <c r="K67" i="30" l="1"/>
  <c r="J67" i="30"/>
  <c r="O66" i="30"/>
  <c r="U68" i="30"/>
  <c r="V68" i="30" s="1"/>
  <c r="T67" i="30"/>
  <c r="X67" i="30" s="1"/>
  <c r="S67" i="30"/>
  <c r="L68" i="30"/>
  <c r="K68" i="30" l="1"/>
  <c r="J68" i="30"/>
  <c r="O67" i="30"/>
  <c r="U69" i="30"/>
  <c r="V69" i="30" s="1"/>
  <c r="T68" i="30"/>
  <c r="X68" i="30" s="1"/>
  <c r="S68" i="30"/>
  <c r="L69" i="30"/>
  <c r="N39" i="30"/>
  <c r="Q39" i="30" s="1"/>
  <c r="M40" i="30" s="1"/>
  <c r="P40" i="30" s="1"/>
  <c r="K69" i="30" l="1"/>
  <c r="J69" i="30"/>
  <c r="O68" i="30"/>
  <c r="L70" i="30"/>
  <c r="U70" i="30"/>
  <c r="V70" i="30" s="1"/>
  <c r="T69" i="30"/>
  <c r="X69" i="30" s="1"/>
  <c r="S69" i="30"/>
  <c r="N40" i="30"/>
  <c r="K70" i="30" l="1"/>
  <c r="J70" i="30"/>
  <c r="O69" i="30"/>
  <c r="L71" i="30"/>
  <c r="Q40" i="30"/>
  <c r="M41" i="30" s="1"/>
  <c r="P41" i="30" s="1"/>
  <c r="U71" i="30"/>
  <c r="V71" i="30" s="1"/>
  <c r="T70" i="30"/>
  <c r="X70" i="30" s="1"/>
  <c r="S70" i="30"/>
  <c r="K71" i="30" l="1"/>
  <c r="J71" i="30"/>
  <c r="O70" i="30"/>
  <c r="U72" i="30"/>
  <c r="V72" i="30" s="1"/>
  <c r="T71" i="30"/>
  <c r="X71" i="30" s="1"/>
  <c r="S71" i="30"/>
  <c r="N41" i="30"/>
  <c r="Q41" i="30" s="1"/>
  <c r="M42" i="30" s="1"/>
  <c r="P42" i="30" s="1"/>
  <c r="L72" i="30"/>
  <c r="J72" i="30" l="1"/>
  <c r="K72" i="30"/>
  <c r="O71" i="30"/>
  <c r="L73" i="30"/>
  <c r="U73" i="30"/>
  <c r="V73" i="30" s="1"/>
  <c r="T72" i="30"/>
  <c r="X72" i="30" s="1"/>
  <c r="S72" i="30"/>
  <c r="J73" i="30" l="1"/>
  <c r="K73" i="30"/>
  <c r="O72" i="30"/>
  <c r="N42" i="30"/>
  <c r="Q42" i="30" s="1"/>
  <c r="M43" i="30" s="1"/>
  <c r="P43" i="30" s="1"/>
  <c r="U74" i="30"/>
  <c r="V74" i="30" s="1"/>
  <c r="T73" i="30"/>
  <c r="X73" i="30" s="1"/>
  <c r="S73" i="30"/>
  <c r="L74" i="30"/>
  <c r="K74" i="30" l="1"/>
  <c r="J74" i="30"/>
  <c r="O73" i="30"/>
  <c r="U75" i="30"/>
  <c r="V75" i="30" s="1"/>
  <c r="T74" i="30"/>
  <c r="X74" i="30" s="1"/>
  <c r="S74" i="30"/>
  <c r="L75" i="30"/>
  <c r="K75" i="30" l="1"/>
  <c r="J75" i="30"/>
  <c r="O74" i="30"/>
  <c r="L76" i="30"/>
  <c r="N43" i="30"/>
  <c r="Q43" i="30" s="1"/>
  <c r="M44" i="30" s="1"/>
  <c r="P44" i="30" s="1"/>
  <c r="U76" i="30"/>
  <c r="V76" i="30" s="1"/>
  <c r="T75" i="30"/>
  <c r="X75" i="30" s="1"/>
  <c r="S75" i="30"/>
  <c r="K76" i="30" l="1"/>
  <c r="J76" i="30"/>
  <c r="O75" i="30"/>
  <c r="U77" i="30"/>
  <c r="V77" i="30" s="1"/>
  <c r="T76" i="30"/>
  <c r="X76" i="30" s="1"/>
  <c r="S76" i="30"/>
  <c r="L77" i="30"/>
  <c r="K77" i="30" l="1"/>
  <c r="J77" i="30"/>
  <c r="O76" i="30"/>
  <c r="N44" i="30"/>
  <c r="Q44" i="30" s="1"/>
  <c r="M45" i="30" s="1"/>
  <c r="P45" i="30" s="1"/>
  <c r="U78" i="30"/>
  <c r="V78" i="30" s="1"/>
  <c r="T77" i="30"/>
  <c r="X77" i="30" s="1"/>
  <c r="S77" i="30"/>
  <c r="L78" i="30"/>
  <c r="J78" i="30" l="1"/>
  <c r="K78" i="30"/>
  <c r="O77" i="30"/>
  <c r="U79" i="30"/>
  <c r="V79" i="30" s="1"/>
  <c r="T78" i="30"/>
  <c r="X78" i="30" s="1"/>
  <c r="S78" i="30"/>
  <c r="L79" i="30"/>
  <c r="O78" i="30" l="1"/>
  <c r="K79" i="30"/>
  <c r="J79" i="30"/>
  <c r="N45" i="30"/>
  <c r="Q45" i="30" s="1"/>
  <c r="M46" i="30" s="1"/>
  <c r="P46" i="30" s="1"/>
  <c r="L80" i="30"/>
  <c r="U80" i="30"/>
  <c r="V80" i="30" s="1"/>
  <c r="T79" i="30"/>
  <c r="X79" i="30" s="1"/>
  <c r="S79" i="30"/>
  <c r="K80" i="30" l="1"/>
  <c r="J80" i="30"/>
  <c r="O79" i="30"/>
  <c r="U81" i="30"/>
  <c r="V81" i="30" s="1"/>
  <c r="T80" i="30"/>
  <c r="X80" i="30" s="1"/>
  <c r="S80" i="30"/>
  <c r="L81" i="30"/>
  <c r="J81" i="30" l="1"/>
  <c r="K81" i="30"/>
  <c r="O80" i="30"/>
  <c r="N46" i="30"/>
  <c r="Q46" i="30" s="1"/>
  <c r="M47" i="30" s="1"/>
  <c r="P47" i="30" s="1"/>
  <c r="U82" i="30"/>
  <c r="V82" i="30" s="1"/>
  <c r="T81" i="30"/>
  <c r="X81" i="30" s="1"/>
  <c r="S81" i="30"/>
  <c r="L82" i="30"/>
  <c r="K82" i="30" l="1"/>
  <c r="J82" i="30"/>
  <c r="O81" i="30"/>
  <c r="L83" i="30"/>
  <c r="U83" i="30"/>
  <c r="V83" i="30" s="1"/>
  <c r="T82" i="30"/>
  <c r="X82" i="30" s="1"/>
  <c r="S82" i="30"/>
  <c r="N47" i="30"/>
  <c r="Q47" i="30" s="1"/>
  <c r="M48" i="30" s="1"/>
  <c r="P48" i="30" s="1"/>
  <c r="O82" i="30" l="1"/>
  <c r="K83" i="30"/>
  <c r="J83" i="30"/>
  <c r="U84" i="30"/>
  <c r="V84" i="30" s="1"/>
  <c r="T83" i="30"/>
  <c r="X83" i="30" s="1"/>
  <c r="S83" i="30"/>
  <c r="L84" i="30"/>
  <c r="O83" i="30" l="1"/>
  <c r="K84" i="30"/>
  <c r="J84" i="30"/>
  <c r="N48" i="30"/>
  <c r="Q48" i="30" s="1"/>
  <c r="M49" i="30" s="1"/>
  <c r="P49" i="30" s="1"/>
  <c r="L85" i="30"/>
  <c r="U85" i="30"/>
  <c r="V85" i="30" s="1"/>
  <c r="T84" i="30"/>
  <c r="X84" i="30" s="1"/>
  <c r="S84" i="30"/>
  <c r="K85" i="30" l="1"/>
  <c r="J85" i="30"/>
  <c r="O84" i="30"/>
  <c r="L86" i="30"/>
  <c r="U86" i="30"/>
  <c r="V86" i="30" s="1"/>
  <c r="T85" i="30"/>
  <c r="X85" i="30" s="1"/>
  <c r="S85" i="30"/>
  <c r="J86" i="30" l="1"/>
  <c r="K86" i="30"/>
  <c r="O85" i="30"/>
  <c r="U87" i="30"/>
  <c r="V87" i="30" s="1"/>
  <c r="T86" i="30"/>
  <c r="X86" i="30" s="1"/>
  <c r="S86" i="30"/>
  <c r="N49" i="30"/>
  <c r="Q49" i="30" s="1"/>
  <c r="M50" i="30" s="1"/>
  <c r="P50" i="30" s="1"/>
  <c r="L87" i="30"/>
  <c r="K87" i="30" l="1"/>
  <c r="J87" i="30"/>
  <c r="O86" i="30"/>
  <c r="U88" i="30"/>
  <c r="V88" i="30" s="1"/>
  <c r="T87" i="30"/>
  <c r="X87" i="30" s="1"/>
  <c r="S87" i="30"/>
  <c r="L88" i="30"/>
  <c r="K88" i="30" l="1"/>
  <c r="J88" i="30"/>
  <c r="O87" i="30"/>
  <c r="L89" i="30"/>
  <c r="U89" i="30"/>
  <c r="V89" i="30" s="1"/>
  <c r="T88" i="30"/>
  <c r="X88" i="30" s="1"/>
  <c r="S88" i="30"/>
  <c r="N50" i="30"/>
  <c r="Q50" i="30" s="1"/>
  <c r="M51" i="30" s="1"/>
  <c r="P51" i="30" s="1"/>
  <c r="O88" i="30" l="1"/>
  <c r="J89" i="30"/>
  <c r="K89" i="30"/>
  <c r="U90" i="30"/>
  <c r="V90" i="30" s="1"/>
  <c r="T89" i="30"/>
  <c r="X89" i="30" s="1"/>
  <c r="S89" i="30"/>
  <c r="L90" i="30"/>
  <c r="O89" i="30" l="1"/>
  <c r="K90" i="30"/>
  <c r="J90" i="30"/>
  <c r="N51" i="30"/>
  <c r="Q51" i="30" s="1"/>
  <c r="M52" i="30" s="1"/>
  <c r="P52" i="30" s="1"/>
  <c r="U91" i="30"/>
  <c r="V91" i="30" s="1"/>
  <c r="T90" i="30"/>
  <c r="X90" i="30" s="1"/>
  <c r="S90" i="30"/>
  <c r="L91" i="30"/>
  <c r="O90" i="30" l="1"/>
  <c r="K91" i="30"/>
  <c r="J91" i="30"/>
  <c r="L92" i="30"/>
  <c r="U92" i="30"/>
  <c r="V92" i="30" s="1"/>
  <c r="T91" i="30"/>
  <c r="X91" i="30" s="1"/>
  <c r="S91" i="30"/>
  <c r="K92" i="30" l="1"/>
  <c r="J92" i="30"/>
  <c r="O91" i="30"/>
  <c r="N52" i="30"/>
  <c r="Q52" i="30" s="1"/>
  <c r="M53" i="30" s="1"/>
  <c r="P53" i="30" s="1"/>
  <c r="L93" i="30"/>
  <c r="U93" i="30"/>
  <c r="V93" i="30" s="1"/>
  <c r="T92" i="30"/>
  <c r="X92" i="30" s="1"/>
  <c r="S92" i="30"/>
  <c r="K93" i="30" l="1"/>
  <c r="J93" i="30"/>
  <c r="O92" i="30"/>
  <c r="U94" i="30"/>
  <c r="V94" i="30" s="1"/>
  <c r="T93" i="30"/>
  <c r="X93" i="30" s="1"/>
  <c r="S93" i="30"/>
  <c r="L94" i="30"/>
  <c r="J94" i="30" l="1"/>
  <c r="K94" i="30"/>
  <c r="O93" i="30"/>
  <c r="U95" i="30"/>
  <c r="V95" i="30" s="1"/>
  <c r="T94" i="30"/>
  <c r="X94" i="30" s="1"/>
  <c r="S94" i="30"/>
  <c r="L95" i="30"/>
  <c r="N53" i="30"/>
  <c r="Q53" i="30" s="1"/>
  <c r="M54" i="30" s="1"/>
  <c r="P54" i="30" s="1"/>
  <c r="O94" i="30" l="1"/>
  <c r="K95" i="30"/>
  <c r="J95" i="30"/>
  <c r="L96" i="30"/>
  <c r="U96" i="30"/>
  <c r="V96" i="30" s="1"/>
  <c r="T95" i="30"/>
  <c r="X95" i="30" s="1"/>
  <c r="S95" i="30"/>
  <c r="K96" i="30" l="1"/>
  <c r="J96" i="30"/>
  <c r="O95" i="30"/>
  <c r="U97" i="30"/>
  <c r="V97" i="30" s="1"/>
  <c r="T96" i="30"/>
  <c r="X96" i="30" s="1"/>
  <c r="S96" i="30"/>
  <c r="L97" i="30"/>
  <c r="N54" i="30"/>
  <c r="Q54" i="30" s="1"/>
  <c r="M55" i="30" s="1"/>
  <c r="P55" i="30" s="1"/>
  <c r="J97" i="30" l="1"/>
  <c r="K97" i="30"/>
  <c r="O96" i="30"/>
  <c r="L98" i="30"/>
  <c r="U98" i="30"/>
  <c r="V98" i="30" s="1"/>
  <c r="T97" i="30"/>
  <c r="X97" i="30" s="1"/>
  <c r="S97" i="30"/>
  <c r="K98" i="30" l="1"/>
  <c r="J98" i="30"/>
  <c r="O97" i="30"/>
  <c r="L99" i="30"/>
  <c r="N55" i="30"/>
  <c r="Q55" i="30" s="1"/>
  <c r="M56" i="30" s="1"/>
  <c r="P56" i="30" s="1"/>
  <c r="U99" i="30"/>
  <c r="V99" i="30" s="1"/>
  <c r="T98" i="30"/>
  <c r="X98" i="30" s="1"/>
  <c r="S98" i="30"/>
  <c r="K99" i="30" l="1"/>
  <c r="J99" i="30"/>
  <c r="O98" i="30"/>
  <c r="U100" i="30"/>
  <c r="V100" i="30" s="1"/>
  <c r="T99" i="30"/>
  <c r="X99" i="30" s="1"/>
  <c r="S99" i="30"/>
  <c r="L100" i="30"/>
  <c r="K100" i="30" l="1"/>
  <c r="J100" i="30"/>
  <c r="O99" i="30"/>
  <c r="N56" i="30"/>
  <c r="Q56" i="30" s="1"/>
  <c r="M57" i="30" s="1"/>
  <c r="P57" i="30" s="1"/>
  <c r="U101" i="30"/>
  <c r="V101" i="30" s="1"/>
  <c r="T100" i="30"/>
  <c r="X100" i="30" s="1"/>
  <c r="S100" i="30"/>
  <c r="L101" i="30"/>
  <c r="K101" i="30" l="1"/>
  <c r="J101" i="30"/>
  <c r="O100" i="30"/>
  <c r="L102" i="30"/>
  <c r="U102" i="30"/>
  <c r="V102" i="30" s="1"/>
  <c r="T101" i="30"/>
  <c r="X101" i="30" s="1"/>
  <c r="S101" i="30"/>
  <c r="J102" i="30" l="1"/>
  <c r="K102" i="30"/>
  <c r="O101" i="30"/>
  <c r="U103" i="30"/>
  <c r="V103" i="30" s="1"/>
  <c r="T102" i="30"/>
  <c r="X102" i="30" s="1"/>
  <c r="S102" i="30"/>
  <c r="L103" i="30"/>
  <c r="N57" i="30"/>
  <c r="Q57" i="30" s="1"/>
  <c r="M58" i="30" s="1"/>
  <c r="P58" i="30" s="1"/>
  <c r="O102" i="30" l="1"/>
  <c r="K103" i="30"/>
  <c r="J103" i="30"/>
  <c r="L104" i="30"/>
  <c r="U104" i="30"/>
  <c r="V104" i="30" s="1"/>
  <c r="T103" i="30"/>
  <c r="X103" i="30" s="1"/>
  <c r="S103" i="30"/>
  <c r="K104" i="30" l="1"/>
  <c r="J104" i="30"/>
  <c r="O103" i="30"/>
  <c r="U105" i="30"/>
  <c r="V105" i="30" s="1"/>
  <c r="T104" i="30"/>
  <c r="X104" i="30" s="1"/>
  <c r="S104" i="30"/>
  <c r="N58" i="30"/>
  <c r="Q58" i="30" s="1"/>
  <c r="M59" i="30" s="1"/>
  <c r="P59" i="30" s="1"/>
  <c r="L105" i="30"/>
  <c r="O104" i="30" l="1"/>
  <c r="J105" i="30"/>
  <c r="K105" i="30"/>
  <c r="L106" i="30"/>
  <c r="U106" i="30"/>
  <c r="V106" i="30" s="1"/>
  <c r="T105" i="30"/>
  <c r="X105" i="30" s="1"/>
  <c r="S105" i="30"/>
  <c r="K106" i="30" l="1"/>
  <c r="J106" i="30"/>
  <c r="O105" i="30"/>
  <c r="N59" i="30"/>
  <c r="Q59" i="30" s="1"/>
  <c r="M60" i="30" s="1"/>
  <c r="P60" i="30" s="1"/>
  <c r="L107" i="30"/>
  <c r="U107" i="30"/>
  <c r="V107" i="30" s="1"/>
  <c r="T106" i="30"/>
  <c r="X106" i="30" s="1"/>
  <c r="S106" i="30"/>
  <c r="O106" i="30" l="1"/>
  <c r="K107" i="30"/>
  <c r="J107" i="30"/>
  <c r="U108" i="30"/>
  <c r="V108" i="30" s="1"/>
  <c r="T107" i="30"/>
  <c r="X107" i="30" s="1"/>
  <c r="S107" i="30"/>
  <c r="L108" i="30"/>
  <c r="O107" i="30" l="1"/>
  <c r="K108" i="30"/>
  <c r="J108" i="30"/>
  <c r="N60" i="30"/>
  <c r="Q60" i="30" s="1"/>
  <c r="M61" i="30" s="1"/>
  <c r="P61" i="30" s="1"/>
  <c r="U109" i="30"/>
  <c r="V109" i="30" s="1"/>
  <c r="T108" i="30"/>
  <c r="X108" i="30" s="1"/>
  <c r="S108" i="30"/>
  <c r="L109" i="30"/>
  <c r="K109" i="30" l="1"/>
  <c r="J109" i="30"/>
  <c r="O108" i="30"/>
  <c r="L110" i="30"/>
  <c r="U110" i="30"/>
  <c r="V110" i="30" s="1"/>
  <c r="T109" i="30"/>
  <c r="X109" i="30" s="1"/>
  <c r="S109" i="30"/>
  <c r="J110" i="30" l="1"/>
  <c r="K110" i="30"/>
  <c r="O109" i="30"/>
  <c r="U111" i="30"/>
  <c r="V111" i="30" s="1"/>
  <c r="T110" i="30"/>
  <c r="X110" i="30" s="1"/>
  <c r="S110" i="30"/>
  <c r="N61" i="30"/>
  <c r="Q61" i="30" s="1"/>
  <c r="M62" i="30" s="1"/>
  <c r="P62" i="30" s="1"/>
  <c r="L111" i="30"/>
  <c r="K111" i="30" l="1"/>
  <c r="J111" i="30"/>
  <c r="O110" i="30"/>
  <c r="L112" i="30"/>
  <c r="U112" i="30"/>
  <c r="V112" i="30" s="1"/>
  <c r="T111" i="30"/>
  <c r="X111" i="30" s="1"/>
  <c r="S111" i="30"/>
  <c r="K112" i="30" l="1"/>
  <c r="J112" i="30"/>
  <c r="O111" i="30"/>
  <c r="U113" i="30"/>
  <c r="V113" i="30" s="1"/>
  <c r="T112" i="30"/>
  <c r="X112" i="30" s="1"/>
  <c r="S112" i="30"/>
  <c r="L113" i="30"/>
  <c r="N62" i="30"/>
  <c r="Q62" i="30" s="1"/>
  <c r="M63" i="30" s="1"/>
  <c r="P63" i="30" s="1"/>
  <c r="J113" i="30" l="1"/>
  <c r="K113" i="30"/>
  <c r="O112" i="30"/>
  <c r="L114" i="30"/>
  <c r="U114" i="30"/>
  <c r="V114" i="30" s="1"/>
  <c r="T113" i="30"/>
  <c r="X113" i="30" s="1"/>
  <c r="S113" i="30"/>
  <c r="K114" i="30" l="1"/>
  <c r="J114" i="30"/>
  <c r="O113" i="30"/>
  <c r="L115" i="30"/>
  <c r="N63" i="30"/>
  <c r="Q63" i="30" s="1"/>
  <c r="M64" i="30" s="1"/>
  <c r="P64" i="30" s="1"/>
  <c r="U115" i="30"/>
  <c r="V115" i="30" s="1"/>
  <c r="T114" i="30"/>
  <c r="X114" i="30" s="1"/>
  <c r="S114" i="30"/>
  <c r="K115" i="30" l="1"/>
  <c r="J115" i="30"/>
  <c r="O114" i="30"/>
  <c r="U116" i="30"/>
  <c r="V116" i="30" s="1"/>
  <c r="T115" i="30"/>
  <c r="X115" i="30" s="1"/>
  <c r="S115" i="30"/>
  <c r="L116" i="30"/>
  <c r="K116" i="30" l="1"/>
  <c r="J116" i="30"/>
  <c r="O115" i="30"/>
  <c r="N64" i="30"/>
  <c r="Q64" i="30" s="1"/>
  <c r="M65" i="30" s="1"/>
  <c r="P65" i="30" s="1"/>
  <c r="L117" i="30"/>
  <c r="U117" i="30"/>
  <c r="V117" i="30" s="1"/>
  <c r="T116" i="30"/>
  <c r="X116" i="30" s="1"/>
  <c r="S116" i="30"/>
  <c r="K117" i="30" l="1"/>
  <c r="J117" i="30"/>
  <c r="O116" i="30"/>
  <c r="L118" i="30"/>
  <c r="U118" i="30"/>
  <c r="V118" i="30" s="1"/>
  <c r="T117" i="30"/>
  <c r="X117" i="30" s="1"/>
  <c r="S117" i="30"/>
  <c r="J118" i="30" l="1"/>
  <c r="K118" i="30"/>
  <c r="O117" i="30"/>
  <c r="U119" i="30"/>
  <c r="V119" i="30" s="1"/>
  <c r="T118" i="30"/>
  <c r="X118" i="30" s="1"/>
  <c r="S118" i="30"/>
  <c r="N65" i="30"/>
  <c r="Q65" i="30" s="1"/>
  <c r="M66" i="30" s="1"/>
  <c r="P66" i="30" s="1"/>
  <c r="L119" i="30"/>
  <c r="K119" i="30" l="1"/>
  <c r="J119" i="30"/>
  <c r="O118" i="30"/>
  <c r="U120" i="30"/>
  <c r="V120" i="30" s="1"/>
  <c r="T119" i="30"/>
  <c r="X119" i="30" s="1"/>
  <c r="S119" i="30"/>
  <c r="N66" i="30"/>
  <c r="L120" i="30"/>
  <c r="K120" i="30" l="1"/>
  <c r="J120" i="30"/>
  <c r="O119" i="30"/>
  <c r="L121" i="30"/>
  <c r="Q66" i="30"/>
  <c r="M67" i="30" s="1"/>
  <c r="P67" i="30" s="1"/>
  <c r="U121" i="30"/>
  <c r="V121" i="30" s="1"/>
  <c r="T120" i="30"/>
  <c r="X120" i="30" s="1"/>
  <c r="S120" i="30"/>
  <c r="J121" i="30" l="1"/>
  <c r="K121" i="30"/>
  <c r="O120" i="30"/>
  <c r="U122" i="30"/>
  <c r="V122" i="30" s="1"/>
  <c r="T121" i="30"/>
  <c r="X121" i="30" s="1"/>
  <c r="S121" i="30"/>
  <c r="L122" i="30"/>
  <c r="K122" i="30" l="1"/>
  <c r="J122" i="30"/>
  <c r="O121" i="30"/>
  <c r="N67" i="30"/>
  <c r="Q67" i="30" s="1"/>
  <c r="M68" i="30" s="1"/>
  <c r="P68" i="30" s="1"/>
  <c r="L123" i="30"/>
  <c r="U123" i="30"/>
  <c r="V123" i="30" s="1"/>
  <c r="T122" i="30"/>
  <c r="X122" i="30" s="1"/>
  <c r="S122" i="30"/>
  <c r="K123" i="30" l="1"/>
  <c r="J123" i="30"/>
  <c r="O122" i="30"/>
  <c r="U124" i="30"/>
  <c r="V124" i="30" s="1"/>
  <c r="T123" i="30"/>
  <c r="X123" i="30" s="1"/>
  <c r="S123" i="30"/>
  <c r="L124" i="30"/>
  <c r="K124" i="30" l="1"/>
  <c r="J124" i="30"/>
  <c r="O123" i="30"/>
  <c r="L125" i="30"/>
  <c r="N68" i="30"/>
  <c r="Q68" i="30" s="1"/>
  <c r="M69" i="30" s="1"/>
  <c r="P69" i="30" s="1"/>
  <c r="U125" i="30"/>
  <c r="V125" i="30" s="1"/>
  <c r="T124" i="30"/>
  <c r="X124" i="30" s="1"/>
  <c r="S124" i="30"/>
  <c r="K125" i="30" l="1"/>
  <c r="J125" i="30"/>
  <c r="O124" i="30"/>
  <c r="U126" i="30"/>
  <c r="V126" i="30" s="1"/>
  <c r="T125" i="30"/>
  <c r="X125" i="30" s="1"/>
  <c r="S125" i="30"/>
  <c r="L126" i="30"/>
  <c r="J126" i="30" l="1"/>
  <c r="K126" i="30"/>
  <c r="O125" i="30"/>
  <c r="N69" i="30"/>
  <c r="Q69" i="30" s="1"/>
  <c r="M70" i="30" s="1"/>
  <c r="P70" i="30" s="1"/>
  <c r="L127" i="30"/>
  <c r="U127" i="30"/>
  <c r="V127" i="30" s="1"/>
  <c r="T126" i="30"/>
  <c r="X126" i="30" s="1"/>
  <c r="S126" i="30"/>
  <c r="K127" i="30" l="1"/>
  <c r="J127" i="30"/>
  <c r="O126" i="30"/>
  <c r="L128" i="30"/>
  <c r="U128" i="30"/>
  <c r="V128" i="30" s="1"/>
  <c r="T127" i="30"/>
  <c r="X127" i="30" s="1"/>
  <c r="S127" i="30"/>
  <c r="K128" i="30" l="1"/>
  <c r="J128" i="30"/>
  <c r="O127" i="30"/>
  <c r="U129" i="30"/>
  <c r="V129" i="30" s="1"/>
  <c r="T128" i="30"/>
  <c r="X128" i="30" s="1"/>
  <c r="S128" i="30"/>
  <c r="N70" i="30"/>
  <c r="Q70" i="30" s="1"/>
  <c r="M71" i="30" s="1"/>
  <c r="P71" i="30" s="1"/>
  <c r="L129" i="30"/>
  <c r="J129" i="30" l="1"/>
  <c r="K129" i="30"/>
  <c r="O128" i="30"/>
  <c r="L130" i="30"/>
  <c r="U130" i="30"/>
  <c r="V130" i="30" s="1"/>
  <c r="T129" i="30"/>
  <c r="X129" i="30" s="1"/>
  <c r="S129" i="30"/>
  <c r="K130" i="30" l="1"/>
  <c r="J130" i="30"/>
  <c r="O129" i="30"/>
  <c r="N71" i="30"/>
  <c r="Q71" i="30" s="1"/>
  <c r="M72" i="30" s="1"/>
  <c r="P72" i="30" s="1"/>
  <c r="L131" i="30"/>
  <c r="U131" i="30"/>
  <c r="V131" i="30" s="1"/>
  <c r="T130" i="30"/>
  <c r="X130" i="30" s="1"/>
  <c r="S130" i="30"/>
  <c r="K131" i="30" l="1"/>
  <c r="J131" i="30"/>
  <c r="O130" i="30"/>
  <c r="U132" i="30"/>
  <c r="V132" i="30" s="1"/>
  <c r="T131" i="30"/>
  <c r="X131" i="30" s="1"/>
  <c r="S131" i="30"/>
  <c r="N72" i="30"/>
  <c r="L132" i="30"/>
  <c r="K132" i="30" l="1"/>
  <c r="J132" i="30"/>
  <c r="O131" i="30"/>
  <c r="Q72" i="30"/>
  <c r="M73" i="30" s="1"/>
  <c r="P73" i="30" s="1"/>
  <c r="L133" i="30"/>
  <c r="U133" i="30"/>
  <c r="V133" i="30" s="1"/>
  <c r="T132" i="30"/>
  <c r="X132" i="30" s="1"/>
  <c r="S132" i="30"/>
  <c r="K133" i="30" l="1"/>
  <c r="J133" i="30"/>
  <c r="O132" i="30"/>
  <c r="L134" i="30"/>
  <c r="U134" i="30"/>
  <c r="V134" i="30" s="1"/>
  <c r="T133" i="30"/>
  <c r="X133" i="30" s="1"/>
  <c r="S133" i="30"/>
  <c r="K134" i="30" l="1"/>
  <c r="J134" i="30"/>
  <c r="O133" i="30"/>
  <c r="U135" i="30"/>
  <c r="V135" i="30" s="1"/>
  <c r="T134" i="30"/>
  <c r="X134" i="30" s="1"/>
  <c r="S134" i="30"/>
  <c r="N73" i="30"/>
  <c r="Q73" i="30" s="1"/>
  <c r="M74" i="30" s="1"/>
  <c r="P74" i="30" s="1"/>
  <c r="L135" i="30"/>
  <c r="J135" i="30" l="1"/>
  <c r="K135" i="30"/>
  <c r="O134" i="30"/>
  <c r="U136" i="30"/>
  <c r="V136" i="30" s="1"/>
  <c r="T135" i="30"/>
  <c r="X135" i="30" s="1"/>
  <c r="S135" i="30"/>
  <c r="L136" i="30"/>
  <c r="O135" i="30" l="1"/>
  <c r="K136" i="30"/>
  <c r="J136" i="30"/>
  <c r="U137" i="30"/>
  <c r="V137" i="30" s="1"/>
  <c r="T136" i="30"/>
  <c r="X136" i="30" s="1"/>
  <c r="S136" i="30"/>
  <c r="N74" i="30"/>
  <c r="Q74" i="30" s="1"/>
  <c r="M75" i="30" s="1"/>
  <c r="P75" i="30" s="1"/>
  <c r="L137" i="30"/>
  <c r="O136" i="30" l="1"/>
  <c r="K137" i="30"/>
  <c r="J137" i="30"/>
  <c r="U138" i="30"/>
  <c r="V138" i="30" s="1"/>
  <c r="T137" i="30"/>
  <c r="X137" i="30" s="1"/>
  <c r="S137" i="30"/>
  <c r="L138" i="30"/>
  <c r="O137" i="30" l="1"/>
  <c r="K138" i="30"/>
  <c r="J138" i="30"/>
  <c r="U139" i="30"/>
  <c r="V139" i="30" s="1"/>
  <c r="T138" i="30"/>
  <c r="X138" i="30" s="1"/>
  <c r="S138" i="30"/>
  <c r="N75" i="30"/>
  <c r="Q75" i="30" s="1"/>
  <c r="M76" i="30" s="1"/>
  <c r="P76" i="30" s="1"/>
  <c r="L139" i="30"/>
  <c r="O138" i="30" l="1"/>
  <c r="K139" i="30"/>
  <c r="J139" i="30"/>
  <c r="L140" i="30"/>
  <c r="U140" i="30"/>
  <c r="V140" i="30" s="1"/>
  <c r="T139" i="30"/>
  <c r="X139" i="30" s="1"/>
  <c r="S139" i="30"/>
  <c r="O139" i="30" l="1"/>
  <c r="K140" i="30"/>
  <c r="J140" i="30"/>
  <c r="N76" i="30"/>
  <c r="Q76" i="30" s="1"/>
  <c r="M77" i="30" s="1"/>
  <c r="P77" i="30" s="1"/>
  <c r="L141" i="30"/>
  <c r="U141" i="30"/>
  <c r="V141" i="30" s="1"/>
  <c r="T140" i="30"/>
  <c r="X140" i="30" s="1"/>
  <c r="S140" i="30"/>
  <c r="O140" i="30" l="1"/>
  <c r="K141" i="30"/>
  <c r="J141" i="30"/>
  <c r="U142" i="30"/>
  <c r="V142" i="30" s="1"/>
  <c r="T141" i="30"/>
  <c r="X141" i="30" s="1"/>
  <c r="S141" i="30"/>
  <c r="L142" i="30"/>
  <c r="O141" i="30" l="1"/>
  <c r="K142" i="30"/>
  <c r="J142" i="30"/>
  <c r="N77" i="30"/>
  <c r="Q77" i="30" s="1"/>
  <c r="M78" i="30" s="1"/>
  <c r="P78" i="30" s="1"/>
  <c r="U143" i="30"/>
  <c r="V143" i="30" s="1"/>
  <c r="T142" i="30"/>
  <c r="X142" i="30" s="1"/>
  <c r="S142" i="30"/>
  <c r="L143" i="30"/>
  <c r="O142" i="30" l="1"/>
  <c r="J143" i="30"/>
  <c r="K143" i="30"/>
  <c r="L144" i="30"/>
  <c r="U144" i="30"/>
  <c r="V144" i="30" s="1"/>
  <c r="T143" i="30"/>
  <c r="X143" i="30" s="1"/>
  <c r="S143" i="30"/>
  <c r="N78" i="30"/>
  <c r="O143" i="30" l="1"/>
  <c r="K144" i="30"/>
  <c r="J144" i="30"/>
  <c r="L145" i="30"/>
  <c r="U145" i="30"/>
  <c r="V145" i="30" s="1"/>
  <c r="T144" i="30"/>
  <c r="X144" i="30" s="1"/>
  <c r="S144" i="30"/>
  <c r="Q78" i="30"/>
  <c r="M79" i="30" s="1"/>
  <c r="P79" i="30" s="1"/>
  <c r="O144" i="30" l="1"/>
  <c r="K145" i="30"/>
  <c r="J145" i="30"/>
  <c r="U146" i="30"/>
  <c r="V146" i="30" s="1"/>
  <c r="T145" i="30"/>
  <c r="X145" i="30" s="1"/>
  <c r="S145" i="30"/>
  <c r="L146" i="30"/>
  <c r="O145" i="30" l="1"/>
  <c r="K146" i="30"/>
  <c r="J146" i="30"/>
  <c r="N79" i="30"/>
  <c r="Q79" i="30" s="1"/>
  <c r="M80" i="30" s="1"/>
  <c r="P80" i="30" s="1"/>
  <c r="U147" i="30"/>
  <c r="V147" i="30" s="1"/>
  <c r="T146" i="30"/>
  <c r="X146" i="30" s="1"/>
  <c r="S146" i="30"/>
  <c r="L147" i="30"/>
  <c r="O146" i="30" l="1"/>
  <c r="K147" i="30"/>
  <c r="J147" i="30"/>
  <c r="L148" i="30"/>
  <c r="U148" i="30"/>
  <c r="V148" i="30" s="1"/>
  <c r="T147" i="30"/>
  <c r="X147" i="30" s="1"/>
  <c r="S147" i="30"/>
  <c r="K148" i="30" l="1"/>
  <c r="J148" i="30"/>
  <c r="O147" i="30"/>
  <c r="U149" i="30"/>
  <c r="V149" i="30" s="1"/>
  <c r="T148" i="30"/>
  <c r="X148" i="30" s="1"/>
  <c r="S148" i="30"/>
  <c r="N80" i="30"/>
  <c r="Q80" i="30" s="1"/>
  <c r="M81" i="30" s="1"/>
  <c r="P81" i="30" s="1"/>
  <c r="L149" i="30"/>
  <c r="K149" i="30" l="1"/>
  <c r="J149" i="30"/>
  <c r="O148" i="30"/>
  <c r="L150" i="30"/>
  <c r="U150" i="30"/>
  <c r="V150" i="30" s="1"/>
  <c r="T149" i="30"/>
  <c r="X149" i="30" s="1"/>
  <c r="S149" i="30"/>
  <c r="K150" i="30" l="1"/>
  <c r="J150" i="30"/>
  <c r="O149" i="30"/>
  <c r="L151" i="30"/>
  <c r="U151" i="30"/>
  <c r="V151" i="30" s="1"/>
  <c r="T150" i="30"/>
  <c r="X150" i="30" s="1"/>
  <c r="S150" i="30"/>
  <c r="N81" i="30"/>
  <c r="Q81" i="30" s="1"/>
  <c r="M82" i="30" s="1"/>
  <c r="P82" i="30" s="1"/>
  <c r="J151" i="30" l="1"/>
  <c r="K151" i="30"/>
  <c r="O150" i="30"/>
  <c r="U152" i="30"/>
  <c r="V152" i="30" s="1"/>
  <c r="T151" i="30"/>
  <c r="X151" i="30" s="1"/>
  <c r="S151" i="30"/>
  <c r="L152" i="30"/>
  <c r="O151" i="30" l="1"/>
  <c r="K152" i="30"/>
  <c r="J152" i="30"/>
  <c r="N82" i="30"/>
  <c r="Q82" i="30" s="1"/>
  <c r="M83" i="30" s="1"/>
  <c r="P83" i="30" s="1"/>
  <c r="U153" i="30"/>
  <c r="V153" i="30" s="1"/>
  <c r="T152" i="30"/>
  <c r="X152" i="30" s="1"/>
  <c r="S152" i="30"/>
  <c r="L153" i="30"/>
  <c r="O152" i="30" l="1"/>
  <c r="K153" i="30"/>
  <c r="J153" i="30"/>
  <c r="U154" i="30"/>
  <c r="V154" i="30" s="1"/>
  <c r="T153" i="30"/>
  <c r="X153" i="30" s="1"/>
  <c r="S153" i="30"/>
  <c r="L154" i="30"/>
  <c r="O153" i="30" l="1"/>
  <c r="K154" i="30"/>
  <c r="J154" i="30"/>
  <c r="L155" i="30"/>
  <c r="U155" i="30"/>
  <c r="V155" i="30" s="1"/>
  <c r="T154" i="30"/>
  <c r="X154" i="30" s="1"/>
  <c r="S154" i="30"/>
  <c r="N83" i="30"/>
  <c r="Q83" i="30" s="1"/>
  <c r="M84" i="30" s="1"/>
  <c r="P84" i="30" s="1"/>
  <c r="K155" i="30" l="1"/>
  <c r="J155" i="30"/>
  <c r="O154" i="30"/>
  <c r="U156" i="30"/>
  <c r="V156" i="30" s="1"/>
  <c r="T155" i="30"/>
  <c r="X155" i="30" s="1"/>
  <c r="S155" i="30"/>
  <c r="L156" i="30"/>
  <c r="K156" i="30" l="1"/>
  <c r="J156" i="30"/>
  <c r="O155" i="30"/>
  <c r="N84" i="30"/>
  <c r="Q84" i="30" s="1"/>
  <c r="M85" i="30" s="1"/>
  <c r="P85" i="30" s="1"/>
  <c r="L157" i="30"/>
  <c r="U157" i="30"/>
  <c r="V157" i="30" s="1"/>
  <c r="T156" i="30"/>
  <c r="X156" i="30" s="1"/>
  <c r="S156" i="30"/>
  <c r="K157" i="30" l="1"/>
  <c r="J157" i="30"/>
  <c r="O156" i="30"/>
  <c r="U158" i="30"/>
  <c r="V158" i="30" s="1"/>
  <c r="T157" i="30"/>
  <c r="X157" i="30" s="1"/>
  <c r="S157" i="30"/>
  <c r="L158" i="30"/>
  <c r="K158" i="30" l="1"/>
  <c r="J158" i="30"/>
  <c r="O157" i="30"/>
  <c r="L159" i="30"/>
  <c r="U159" i="30"/>
  <c r="V159" i="30" s="1"/>
  <c r="T158" i="30"/>
  <c r="X158" i="30" s="1"/>
  <c r="S158" i="30"/>
  <c r="N85" i="30"/>
  <c r="Q85" i="30" s="1"/>
  <c r="M86" i="30" s="1"/>
  <c r="P86" i="30" s="1"/>
  <c r="O158" i="30" l="1"/>
  <c r="J159" i="30"/>
  <c r="K159" i="30"/>
  <c r="U160" i="30"/>
  <c r="V160" i="30" s="1"/>
  <c r="T159" i="30"/>
  <c r="X159" i="30" s="1"/>
  <c r="S159" i="30"/>
  <c r="L160" i="30"/>
  <c r="O159" i="30" l="1"/>
  <c r="K160" i="30"/>
  <c r="J160" i="30"/>
  <c r="N86" i="30"/>
  <c r="Q86" i="30" s="1"/>
  <c r="M87" i="30" s="1"/>
  <c r="P87" i="30" s="1"/>
  <c r="L161" i="30"/>
  <c r="U161" i="30"/>
  <c r="V161" i="30" s="1"/>
  <c r="T160" i="30"/>
  <c r="X160" i="30" s="1"/>
  <c r="S160" i="30"/>
  <c r="K161" i="30" l="1"/>
  <c r="J161" i="30"/>
  <c r="O160" i="30"/>
  <c r="L162" i="30"/>
  <c r="U162" i="30"/>
  <c r="V162" i="30" s="1"/>
  <c r="T161" i="30"/>
  <c r="X161" i="30" s="1"/>
  <c r="S161" i="30"/>
  <c r="N87" i="30"/>
  <c r="K162" i="30" l="1"/>
  <c r="J162" i="30"/>
  <c r="O161" i="30"/>
  <c r="U163" i="30"/>
  <c r="V163" i="30" s="1"/>
  <c r="T162" i="30"/>
  <c r="X162" i="30" s="1"/>
  <c r="S162" i="30"/>
  <c r="Q87" i="30"/>
  <c r="M88" i="30" s="1"/>
  <c r="P88" i="30" s="1"/>
  <c r="L163" i="30"/>
  <c r="K163" i="30" l="1"/>
  <c r="J163" i="30"/>
  <c r="O162" i="30"/>
  <c r="L164" i="30"/>
  <c r="U164" i="30"/>
  <c r="V164" i="30" s="1"/>
  <c r="T163" i="30"/>
  <c r="X163" i="30" s="1"/>
  <c r="S163" i="30"/>
  <c r="K164" i="30" l="1"/>
  <c r="J164" i="30"/>
  <c r="O163" i="30"/>
  <c r="U165" i="30"/>
  <c r="V165" i="30" s="1"/>
  <c r="T164" i="30"/>
  <c r="X164" i="30" s="1"/>
  <c r="S164" i="30"/>
  <c r="N88" i="30"/>
  <c r="Q88" i="30" s="1"/>
  <c r="M89" i="30" s="1"/>
  <c r="P89" i="30" s="1"/>
  <c r="L165" i="30"/>
  <c r="K165" i="30" l="1"/>
  <c r="J165" i="30"/>
  <c r="O164" i="30"/>
  <c r="N89" i="30"/>
  <c r="U166" i="30"/>
  <c r="V166" i="30" s="1"/>
  <c r="T165" i="30"/>
  <c r="X165" i="30" s="1"/>
  <c r="S165" i="30"/>
  <c r="L166" i="30"/>
  <c r="K166" i="30" l="1"/>
  <c r="J166" i="30"/>
  <c r="O165" i="30"/>
  <c r="U167" i="30"/>
  <c r="V167" i="30" s="1"/>
  <c r="T166" i="30"/>
  <c r="X166" i="30" s="1"/>
  <c r="S166" i="30"/>
  <c r="L167" i="30"/>
  <c r="Q89" i="30"/>
  <c r="M90" i="30" s="1"/>
  <c r="P90" i="30" s="1"/>
  <c r="J167" i="30" l="1"/>
  <c r="K167" i="30"/>
  <c r="O166" i="30"/>
  <c r="L168" i="30"/>
  <c r="U168" i="30"/>
  <c r="V168" i="30" s="1"/>
  <c r="T167" i="30"/>
  <c r="X167" i="30" s="1"/>
  <c r="S167" i="30"/>
  <c r="K168" i="30" l="1"/>
  <c r="J168" i="30"/>
  <c r="O167" i="30"/>
  <c r="N90" i="30"/>
  <c r="Q90" i="30" s="1"/>
  <c r="M91" i="30" s="1"/>
  <c r="P91" i="30" s="1"/>
  <c r="U169" i="30"/>
  <c r="V169" i="30" s="1"/>
  <c r="T168" i="30"/>
  <c r="X168" i="30" s="1"/>
  <c r="S168" i="30"/>
  <c r="L169" i="30"/>
  <c r="K169" i="30" l="1"/>
  <c r="J169" i="30"/>
  <c r="O168" i="30"/>
  <c r="U170" i="30"/>
  <c r="V170" i="30" s="1"/>
  <c r="T169" i="30"/>
  <c r="X169" i="30" s="1"/>
  <c r="S169" i="30"/>
  <c r="L170" i="30"/>
  <c r="K170" i="30" l="1"/>
  <c r="J170" i="30"/>
  <c r="O169" i="30"/>
  <c r="L171" i="30"/>
  <c r="N91" i="30"/>
  <c r="Q91" i="30" s="1"/>
  <c r="M92" i="30" s="1"/>
  <c r="P92" i="30" s="1"/>
  <c r="U171" i="30"/>
  <c r="V171" i="30" s="1"/>
  <c r="T170" i="30"/>
  <c r="X170" i="30" s="1"/>
  <c r="S170" i="30"/>
  <c r="K171" i="30" l="1"/>
  <c r="J171" i="30"/>
  <c r="O170" i="30"/>
  <c r="U172" i="30"/>
  <c r="V172" i="30" s="1"/>
  <c r="T171" i="30"/>
  <c r="X171" i="30" s="1"/>
  <c r="S171" i="30"/>
  <c r="L172" i="30"/>
  <c r="K172" i="30" l="1"/>
  <c r="J172" i="30"/>
  <c r="O171" i="30"/>
  <c r="N92" i="30"/>
  <c r="Q92" i="30" s="1"/>
  <c r="M93" i="30" s="1"/>
  <c r="P93" i="30" s="1"/>
  <c r="L173" i="30"/>
  <c r="U173" i="30"/>
  <c r="V173" i="30" s="1"/>
  <c r="T172" i="30"/>
  <c r="X172" i="30" s="1"/>
  <c r="S172" i="30"/>
  <c r="K173" i="30" l="1"/>
  <c r="J173" i="30"/>
  <c r="O172" i="30"/>
  <c r="U174" i="30"/>
  <c r="V174" i="30" s="1"/>
  <c r="T173" i="30"/>
  <c r="X173" i="30" s="1"/>
  <c r="S173" i="30"/>
  <c r="L174" i="30"/>
  <c r="K174" i="30" l="1"/>
  <c r="J174" i="30"/>
  <c r="O173" i="30"/>
  <c r="L175" i="30"/>
  <c r="N93" i="30"/>
  <c r="Q93" i="30" s="1"/>
  <c r="M94" i="30" s="1"/>
  <c r="P94" i="30" s="1"/>
  <c r="U175" i="30"/>
  <c r="V175" i="30" s="1"/>
  <c r="T174" i="30"/>
  <c r="X174" i="30" s="1"/>
  <c r="S174" i="30"/>
  <c r="J175" i="30" l="1"/>
  <c r="K175" i="30"/>
  <c r="O174" i="30"/>
  <c r="U176" i="30"/>
  <c r="V176" i="30" s="1"/>
  <c r="T175" i="30"/>
  <c r="X175" i="30" s="1"/>
  <c r="S175" i="30"/>
  <c r="L176" i="30"/>
  <c r="O175" i="30" l="1"/>
  <c r="K176" i="30"/>
  <c r="J176" i="30"/>
  <c r="N94" i="30"/>
  <c r="Q94" i="30" s="1"/>
  <c r="M95" i="30" s="1"/>
  <c r="P95" i="30" s="1"/>
  <c r="U177" i="30"/>
  <c r="V177" i="30" s="1"/>
  <c r="T176" i="30"/>
  <c r="X176" i="30" s="1"/>
  <c r="S176" i="30"/>
  <c r="L177" i="30"/>
  <c r="O176" i="30" l="1"/>
  <c r="K177" i="30"/>
  <c r="J177" i="30"/>
  <c r="L178" i="30"/>
  <c r="U178" i="30"/>
  <c r="V178" i="30" s="1"/>
  <c r="T177" i="30"/>
  <c r="X177" i="30" s="1"/>
  <c r="S177" i="30"/>
  <c r="K178" i="30" l="1"/>
  <c r="J178" i="30"/>
  <c r="O177" i="30"/>
  <c r="U179" i="30"/>
  <c r="V179" i="30" s="1"/>
  <c r="T178" i="30"/>
  <c r="X178" i="30" s="1"/>
  <c r="S178" i="30"/>
  <c r="L179" i="30"/>
  <c r="N95" i="30"/>
  <c r="Q95" i="30" s="1"/>
  <c r="M96" i="30" s="1"/>
  <c r="P96" i="30" s="1"/>
  <c r="K179" i="30" l="1"/>
  <c r="J179" i="30"/>
  <c r="O178" i="30"/>
  <c r="L180" i="30"/>
  <c r="U180" i="30"/>
  <c r="V180" i="30" s="1"/>
  <c r="T179" i="30"/>
  <c r="X179" i="30" s="1"/>
  <c r="S179" i="30"/>
  <c r="K180" i="30" l="1"/>
  <c r="J180" i="30"/>
  <c r="O179" i="30"/>
  <c r="L181" i="30"/>
  <c r="N96" i="30"/>
  <c r="Q96" i="30" s="1"/>
  <c r="M97" i="30" s="1"/>
  <c r="P97" i="30" s="1"/>
  <c r="U181" i="30"/>
  <c r="V181" i="30" s="1"/>
  <c r="T180" i="30"/>
  <c r="X180" i="30" s="1"/>
  <c r="S180" i="30"/>
  <c r="K181" i="30" l="1"/>
  <c r="J181" i="30"/>
  <c r="O180" i="30"/>
  <c r="N97" i="30"/>
  <c r="Q97" i="30" s="1"/>
  <c r="M98" i="30" s="1"/>
  <c r="P98" i="30" s="1"/>
  <c r="U182" i="30"/>
  <c r="V182" i="30" s="1"/>
  <c r="T181" i="30"/>
  <c r="X181" i="30" s="1"/>
  <c r="S181" i="30"/>
  <c r="L182" i="30"/>
  <c r="K182" i="30" l="1"/>
  <c r="J182" i="30"/>
  <c r="O181" i="30"/>
  <c r="U183" i="30"/>
  <c r="V183" i="30" s="1"/>
  <c r="T182" i="30"/>
  <c r="X182" i="30" s="1"/>
  <c r="S182" i="30"/>
  <c r="L183" i="30"/>
  <c r="J183" i="30" l="1"/>
  <c r="K183" i="30"/>
  <c r="O182" i="30"/>
  <c r="U184" i="30"/>
  <c r="V184" i="30" s="1"/>
  <c r="T183" i="30"/>
  <c r="X183" i="30" s="1"/>
  <c r="S183" i="30"/>
  <c r="L184" i="30"/>
  <c r="N98" i="30"/>
  <c r="Q98" i="30" s="1"/>
  <c r="M99" i="30" s="1"/>
  <c r="P99" i="30" s="1"/>
  <c r="K184" i="30" l="1"/>
  <c r="J184" i="30"/>
  <c r="O183" i="30"/>
  <c r="L185" i="30"/>
  <c r="U185" i="30"/>
  <c r="V185" i="30" s="1"/>
  <c r="T184" i="30"/>
  <c r="X184" i="30" s="1"/>
  <c r="S184" i="30"/>
  <c r="K185" i="30" l="1"/>
  <c r="J185" i="30"/>
  <c r="O184" i="30"/>
  <c r="N99" i="30"/>
  <c r="Q99" i="30" s="1"/>
  <c r="M100" i="30" s="1"/>
  <c r="P100" i="30" s="1"/>
  <c r="L186" i="30"/>
  <c r="U186" i="30"/>
  <c r="V186" i="30" s="1"/>
  <c r="T185" i="30"/>
  <c r="X185" i="30" s="1"/>
  <c r="S185" i="30"/>
  <c r="K186" i="30" l="1"/>
  <c r="J186" i="30"/>
  <c r="O185" i="30"/>
  <c r="U187" i="30"/>
  <c r="V187" i="30" s="1"/>
  <c r="T186" i="30"/>
  <c r="X186" i="30" s="1"/>
  <c r="S186" i="30"/>
  <c r="L187" i="30"/>
  <c r="K187" i="30" l="1"/>
  <c r="J187" i="30"/>
  <c r="O186" i="30"/>
  <c r="U188" i="30"/>
  <c r="V188" i="30" s="1"/>
  <c r="T187" i="30"/>
  <c r="X187" i="30" s="1"/>
  <c r="S187" i="30"/>
  <c r="L188" i="30"/>
  <c r="N100" i="30"/>
  <c r="Q100" i="30" s="1"/>
  <c r="M101" i="30" s="1"/>
  <c r="P101" i="30" s="1"/>
  <c r="K188" i="30" l="1"/>
  <c r="J188" i="30"/>
  <c r="O187" i="30"/>
  <c r="L189" i="30"/>
  <c r="U189" i="30"/>
  <c r="V189" i="30" s="1"/>
  <c r="T188" i="30"/>
  <c r="X188" i="30" s="1"/>
  <c r="S188" i="30"/>
  <c r="K189" i="30" l="1"/>
  <c r="J189" i="30"/>
  <c r="O188" i="30"/>
  <c r="N101" i="30"/>
  <c r="Q101" i="30" s="1"/>
  <c r="M102" i="30" s="1"/>
  <c r="P102" i="30" s="1"/>
  <c r="L190" i="30"/>
  <c r="U190" i="30"/>
  <c r="V190" i="30" s="1"/>
  <c r="T189" i="30"/>
  <c r="X189" i="30" s="1"/>
  <c r="S189" i="30"/>
  <c r="K190" i="30" l="1"/>
  <c r="J190" i="30"/>
  <c r="O189" i="30"/>
  <c r="U191" i="30"/>
  <c r="V191" i="30" s="1"/>
  <c r="T190" i="30"/>
  <c r="X190" i="30" s="1"/>
  <c r="S190" i="30"/>
  <c r="L191" i="30"/>
  <c r="J191" i="30" l="1"/>
  <c r="K191" i="30"/>
  <c r="O190" i="30"/>
  <c r="L192" i="30"/>
  <c r="N102" i="30"/>
  <c r="Q102" i="30" s="1"/>
  <c r="M103" i="30" s="1"/>
  <c r="P103" i="30" s="1"/>
  <c r="N103" i="30" s="1"/>
  <c r="U192" i="30"/>
  <c r="V192" i="30" s="1"/>
  <c r="T191" i="30"/>
  <c r="X191" i="30" s="1"/>
  <c r="S191" i="30"/>
  <c r="K192" i="30" l="1"/>
  <c r="J192" i="30"/>
  <c r="O191" i="30"/>
  <c r="Q103" i="30"/>
  <c r="M104" i="30" s="1"/>
  <c r="P104" i="30" s="1"/>
  <c r="L193" i="30"/>
  <c r="U193" i="30"/>
  <c r="V193" i="30" s="1"/>
  <c r="T192" i="30"/>
  <c r="X192" i="30" s="1"/>
  <c r="S192" i="30"/>
  <c r="K193" i="30" l="1"/>
  <c r="J193" i="30"/>
  <c r="O192" i="30"/>
  <c r="U194" i="30"/>
  <c r="V194" i="30" s="1"/>
  <c r="T193" i="30"/>
  <c r="X193" i="30" s="1"/>
  <c r="S193" i="30"/>
  <c r="L194" i="30"/>
  <c r="K194" i="30" l="1"/>
  <c r="J194" i="30"/>
  <c r="O193" i="30"/>
  <c r="N104" i="30"/>
  <c r="Q104" i="30" s="1"/>
  <c r="M105" i="30" s="1"/>
  <c r="P105" i="30" s="1"/>
  <c r="L195" i="30"/>
  <c r="U195" i="30"/>
  <c r="V195" i="30" s="1"/>
  <c r="T194" i="30"/>
  <c r="X194" i="30" s="1"/>
  <c r="S194" i="30"/>
  <c r="K195" i="30" l="1"/>
  <c r="J195" i="30"/>
  <c r="O194" i="30"/>
  <c r="L196" i="30"/>
  <c r="U196" i="30"/>
  <c r="V196" i="30" s="1"/>
  <c r="T195" i="30"/>
  <c r="X195" i="30" s="1"/>
  <c r="S195" i="30"/>
  <c r="K196" i="30" l="1"/>
  <c r="J196" i="30"/>
  <c r="O195" i="30"/>
  <c r="U197" i="30"/>
  <c r="V197" i="30" s="1"/>
  <c r="T196" i="30"/>
  <c r="X196" i="30" s="1"/>
  <c r="S196" i="30"/>
  <c r="N105" i="30"/>
  <c r="Q105" i="30" s="1"/>
  <c r="M106" i="30" s="1"/>
  <c r="P106" i="30" s="1"/>
  <c r="L197" i="30"/>
  <c r="K197" i="30" l="1"/>
  <c r="J197" i="30"/>
  <c r="O196" i="30"/>
  <c r="L198" i="30"/>
  <c r="U198" i="30"/>
  <c r="V198" i="30" s="1"/>
  <c r="T197" i="30"/>
  <c r="X197" i="30" s="1"/>
  <c r="S197" i="30"/>
  <c r="K198" i="30" l="1"/>
  <c r="J198" i="30"/>
  <c r="O197" i="30"/>
  <c r="N106" i="30"/>
  <c r="Q106" i="30" s="1"/>
  <c r="M107" i="30" s="1"/>
  <c r="P107" i="30" s="1"/>
  <c r="L199" i="30"/>
  <c r="U199" i="30"/>
  <c r="V199" i="30" s="1"/>
  <c r="T198" i="30"/>
  <c r="X198" i="30" s="1"/>
  <c r="S198" i="30"/>
  <c r="J199" i="30" l="1"/>
  <c r="K199" i="30"/>
  <c r="O198" i="30"/>
  <c r="N107" i="30"/>
  <c r="U200" i="30"/>
  <c r="V200" i="30" s="1"/>
  <c r="T199" i="30"/>
  <c r="X199" i="30" s="1"/>
  <c r="S199" i="30"/>
  <c r="L200" i="30"/>
  <c r="O199" i="30" l="1"/>
  <c r="K200" i="30"/>
  <c r="J200" i="30"/>
  <c r="Q107" i="30"/>
  <c r="M108" i="30" s="1"/>
  <c r="P108" i="30" s="1"/>
  <c r="U201" i="30"/>
  <c r="V201" i="30" s="1"/>
  <c r="T200" i="30"/>
  <c r="X200" i="30" s="1"/>
  <c r="S200" i="30"/>
  <c r="L201" i="30"/>
  <c r="O200" i="30" l="1"/>
  <c r="K201" i="30"/>
  <c r="J201" i="30"/>
  <c r="L202" i="30"/>
  <c r="U202" i="30"/>
  <c r="V202" i="30" s="1"/>
  <c r="T201" i="30"/>
  <c r="X201" i="30" s="1"/>
  <c r="S201" i="30"/>
  <c r="K202" i="30" l="1"/>
  <c r="J202" i="30"/>
  <c r="O201" i="30"/>
  <c r="L203" i="30"/>
  <c r="U203" i="30"/>
  <c r="V203" i="30" s="1"/>
  <c r="T202" i="30"/>
  <c r="X202" i="30" s="1"/>
  <c r="S202" i="30"/>
  <c r="N108" i="30"/>
  <c r="Q108" i="30" s="1"/>
  <c r="M109" i="30" s="1"/>
  <c r="P109" i="30" s="1"/>
  <c r="K203" i="30" l="1"/>
  <c r="J203" i="30"/>
  <c r="O202" i="30"/>
  <c r="U204" i="30"/>
  <c r="V204" i="30" s="1"/>
  <c r="T203" i="30"/>
  <c r="X203" i="30" s="1"/>
  <c r="S203" i="30"/>
  <c r="L204" i="30"/>
  <c r="K204" i="30" l="1"/>
  <c r="J204" i="30"/>
  <c r="O203" i="30"/>
  <c r="U205" i="30"/>
  <c r="V205" i="30" s="1"/>
  <c r="T204" i="30"/>
  <c r="X204" i="30" s="1"/>
  <c r="S204" i="30"/>
  <c r="N109" i="30"/>
  <c r="Q109" i="30" s="1"/>
  <c r="M110" i="30" s="1"/>
  <c r="P110" i="30" s="1"/>
  <c r="L205" i="30"/>
  <c r="K205" i="30" l="1"/>
  <c r="J205" i="30"/>
  <c r="O204" i="30"/>
  <c r="L206" i="30"/>
  <c r="U206" i="30"/>
  <c r="V206" i="30" s="1"/>
  <c r="T205" i="30"/>
  <c r="X205" i="30" s="1"/>
  <c r="S205" i="30"/>
  <c r="K206" i="30" l="1"/>
  <c r="J206" i="30"/>
  <c r="O205" i="30"/>
  <c r="U207" i="30"/>
  <c r="V207" i="30" s="1"/>
  <c r="T206" i="30"/>
  <c r="X206" i="30" s="1"/>
  <c r="S206" i="30"/>
  <c r="N110" i="30"/>
  <c r="Q110" i="30" s="1"/>
  <c r="M111" i="30" s="1"/>
  <c r="P111" i="30" s="1"/>
  <c r="L207" i="30"/>
  <c r="J207" i="30" l="1"/>
  <c r="K207" i="30"/>
  <c r="O206" i="30"/>
  <c r="U208" i="30"/>
  <c r="V208" i="30" s="1"/>
  <c r="T207" i="30"/>
  <c r="X207" i="30" s="1"/>
  <c r="S207" i="30"/>
  <c r="N111" i="30"/>
  <c r="Q111" i="30" s="1"/>
  <c r="M112" i="30" s="1"/>
  <c r="P112" i="30" s="1"/>
  <c r="L208" i="30"/>
  <c r="K208" i="30" l="1"/>
  <c r="J208" i="30"/>
  <c r="O207" i="30"/>
  <c r="U209" i="30"/>
  <c r="V209" i="30" s="1"/>
  <c r="T208" i="30"/>
  <c r="X208" i="30" s="1"/>
  <c r="S208" i="30"/>
  <c r="L209" i="30"/>
  <c r="K209" i="30" l="1"/>
  <c r="J209" i="30"/>
  <c r="O208" i="30"/>
  <c r="L210" i="30"/>
  <c r="N112" i="30"/>
  <c r="Q112" i="30" s="1"/>
  <c r="M113" i="30" s="1"/>
  <c r="P113" i="30" s="1"/>
  <c r="U210" i="30"/>
  <c r="V210" i="30" s="1"/>
  <c r="T209" i="30"/>
  <c r="X209" i="30" s="1"/>
  <c r="S209" i="30"/>
  <c r="K210" i="30" l="1"/>
  <c r="J210" i="30"/>
  <c r="O209" i="30"/>
  <c r="U211" i="30"/>
  <c r="V211" i="30" s="1"/>
  <c r="T210" i="30"/>
  <c r="X210" i="30" s="1"/>
  <c r="S210" i="30"/>
  <c r="L211" i="30"/>
  <c r="K211" i="30" l="1"/>
  <c r="J211" i="30"/>
  <c r="O210" i="30"/>
  <c r="L212" i="30"/>
  <c r="U212" i="30"/>
  <c r="V212" i="30" s="1"/>
  <c r="T211" i="30"/>
  <c r="X211" i="30" s="1"/>
  <c r="S211" i="30"/>
  <c r="N113" i="30"/>
  <c r="Q113" i="30" s="1"/>
  <c r="M114" i="30" s="1"/>
  <c r="P114" i="30" s="1"/>
  <c r="K212" i="30" l="1"/>
  <c r="J212" i="30"/>
  <c r="O211" i="30"/>
  <c r="N114" i="30"/>
  <c r="Q114" i="30" s="1"/>
  <c r="M115" i="30" s="1"/>
  <c r="P115" i="30" s="1"/>
  <c r="U213" i="30"/>
  <c r="V213" i="30" s="1"/>
  <c r="T212" i="30"/>
  <c r="X212" i="30" s="1"/>
  <c r="S212" i="30"/>
  <c r="L213" i="30"/>
  <c r="K213" i="30" l="1"/>
  <c r="J213" i="30"/>
  <c r="O212" i="30"/>
  <c r="L214" i="30"/>
  <c r="U214" i="30"/>
  <c r="V214" i="30" s="1"/>
  <c r="T213" i="30"/>
  <c r="X213" i="30" s="1"/>
  <c r="S213" i="30"/>
  <c r="K214" i="30" l="1"/>
  <c r="J214" i="30"/>
  <c r="O213" i="30"/>
  <c r="N115" i="30"/>
  <c r="Q115" i="30" s="1"/>
  <c r="M116" i="30" s="1"/>
  <c r="P116" i="30" s="1"/>
  <c r="L215" i="30"/>
  <c r="U215" i="30"/>
  <c r="V215" i="30" s="1"/>
  <c r="T214" i="30"/>
  <c r="X214" i="30" s="1"/>
  <c r="S214" i="30"/>
  <c r="J215" i="30" l="1"/>
  <c r="K215" i="30"/>
  <c r="O214" i="30"/>
  <c r="U216" i="30"/>
  <c r="V216" i="30" s="1"/>
  <c r="T215" i="30"/>
  <c r="X215" i="30" s="1"/>
  <c r="S215" i="30"/>
  <c r="L216" i="30"/>
  <c r="O215" i="30" l="1"/>
  <c r="K216" i="30"/>
  <c r="J216" i="30"/>
  <c r="N116" i="30"/>
  <c r="Q116" i="30" s="1"/>
  <c r="M117" i="30" s="1"/>
  <c r="P117" i="30" s="1"/>
  <c r="U217" i="30"/>
  <c r="V217" i="30" s="1"/>
  <c r="T216" i="30"/>
  <c r="X216" i="30" s="1"/>
  <c r="S216" i="30"/>
  <c r="L217" i="30"/>
  <c r="O216" i="30" l="1"/>
  <c r="K217" i="30"/>
  <c r="J217" i="30"/>
  <c r="L218" i="30"/>
  <c r="U218" i="30"/>
  <c r="V218" i="30" s="1"/>
  <c r="T217" i="30"/>
  <c r="X217" i="30" s="1"/>
  <c r="S217" i="30"/>
  <c r="K218" i="30" l="1"/>
  <c r="J218" i="30"/>
  <c r="O217" i="30"/>
  <c r="U219" i="30"/>
  <c r="V219" i="30" s="1"/>
  <c r="T218" i="30"/>
  <c r="X218" i="30" s="1"/>
  <c r="S218" i="30"/>
  <c r="L219" i="30"/>
  <c r="N117" i="30"/>
  <c r="Q117" i="30" s="1"/>
  <c r="M118" i="30" s="1"/>
  <c r="P118" i="30" s="1"/>
  <c r="K219" i="30" l="1"/>
  <c r="J219" i="30"/>
  <c r="O218" i="30"/>
  <c r="N118" i="30"/>
  <c r="L220" i="30"/>
  <c r="U220" i="30"/>
  <c r="V220" i="30" s="1"/>
  <c r="T219" i="30"/>
  <c r="X219" i="30" s="1"/>
  <c r="S219" i="30"/>
  <c r="K220" i="30" l="1"/>
  <c r="J220" i="30"/>
  <c r="O219" i="30"/>
  <c r="L221" i="30"/>
  <c r="Q118" i="30"/>
  <c r="M119" i="30" s="1"/>
  <c r="P119" i="30" s="1"/>
  <c r="U221" i="30"/>
  <c r="V221" i="30" s="1"/>
  <c r="T220" i="30"/>
  <c r="X220" i="30" s="1"/>
  <c r="S220" i="30"/>
  <c r="K221" i="30" l="1"/>
  <c r="J221" i="30"/>
  <c r="O220" i="30"/>
  <c r="U222" i="30"/>
  <c r="V222" i="30" s="1"/>
  <c r="T221" i="30"/>
  <c r="X221" i="30" s="1"/>
  <c r="S221" i="30"/>
  <c r="L222" i="30"/>
  <c r="K222" i="30" l="1"/>
  <c r="J222" i="30"/>
  <c r="O221" i="30"/>
  <c r="N119" i="30"/>
  <c r="Q119" i="30" s="1"/>
  <c r="M120" i="30" s="1"/>
  <c r="P120" i="30" s="1"/>
  <c r="L223" i="30"/>
  <c r="U223" i="30"/>
  <c r="V223" i="30" s="1"/>
  <c r="T222" i="30"/>
  <c r="X222" i="30" s="1"/>
  <c r="S222" i="30"/>
  <c r="J223" i="30" l="1"/>
  <c r="K223" i="30"/>
  <c r="O222" i="30"/>
  <c r="L224" i="30"/>
  <c r="U224" i="30"/>
  <c r="V224" i="30" s="1"/>
  <c r="T223" i="30"/>
  <c r="X223" i="30" s="1"/>
  <c r="S223" i="30"/>
  <c r="K224" i="30" l="1"/>
  <c r="J224" i="30"/>
  <c r="O223" i="30"/>
  <c r="N120" i="30"/>
  <c r="Q120" i="30" s="1"/>
  <c r="M121" i="30" s="1"/>
  <c r="P121" i="30" s="1"/>
  <c r="U225" i="30"/>
  <c r="V225" i="30" s="1"/>
  <c r="T224" i="30"/>
  <c r="X224" i="30" s="1"/>
  <c r="S224" i="30"/>
  <c r="L225" i="30"/>
  <c r="K225" i="30" l="1"/>
  <c r="J225" i="30"/>
  <c r="O224" i="30"/>
  <c r="L226" i="30"/>
  <c r="U226" i="30"/>
  <c r="V226" i="30" s="1"/>
  <c r="T225" i="30"/>
  <c r="X225" i="30" s="1"/>
  <c r="S225" i="30"/>
  <c r="K226" i="30" l="1"/>
  <c r="J226" i="30"/>
  <c r="O225" i="30"/>
  <c r="U227" i="30"/>
  <c r="V227" i="30" s="1"/>
  <c r="T226" i="30"/>
  <c r="X226" i="30" s="1"/>
  <c r="S226" i="30"/>
  <c r="N121" i="30"/>
  <c r="Q121" i="30" s="1"/>
  <c r="M122" i="30" s="1"/>
  <c r="P122" i="30" s="1"/>
  <c r="L227" i="30"/>
  <c r="K227" i="30" l="1"/>
  <c r="J227" i="30"/>
  <c r="O226" i="30"/>
  <c r="U228" i="30"/>
  <c r="V228" i="30" s="1"/>
  <c r="T227" i="30"/>
  <c r="X227" i="30" s="1"/>
  <c r="S227" i="30"/>
  <c r="L228" i="30"/>
  <c r="K228" i="30" l="1"/>
  <c r="J228" i="30"/>
  <c r="O227" i="30"/>
  <c r="L229" i="30"/>
  <c r="N122" i="30"/>
  <c r="Q122" i="30" s="1"/>
  <c r="M123" i="30" s="1"/>
  <c r="P123" i="30" s="1"/>
  <c r="U229" i="30"/>
  <c r="V229" i="30" s="1"/>
  <c r="T228" i="30"/>
  <c r="X228" i="30" s="1"/>
  <c r="S228" i="30"/>
  <c r="K229" i="30" l="1"/>
  <c r="J229" i="30"/>
  <c r="O228" i="30"/>
  <c r="U230" i="30"/>
  <c r="V230" i="30" s="1"/>
  <c r="T229" i="30"/>
  <c r="X229" i="30" s="1"/>
  <c r="S229" i="30"/>
  <c r="N123" i="30"/>
  <c r="L230" i="30"/>
  <c r="K230" i="30" l="1"/>
  <c r="J230" i="30"/>
  <c r="O229" i="30"/>
  <c r="Q123" i="30"/>
  <c r="M124" i="30" s="1"/>
  <c r="P124" i="30" s="1"/>
  <c r="L231" i="30"/>
  <c r="U231" i="30"/>
  <c r="V231" i="30" s="1"/>
  <c r="T230" i="30"/>
  <c r="X230" i="30" s="1"/>
  <c r="S230" i="30"/>
  <c r="J231" i="30" l="1"/>
  <c r="K231" i="30"/>
  <c r="O230" i="30"/>
  <c r="L232" i="30"/>
  <c r="U232" i="30"/>
  <c r="V232" i="30" s="1"/>
  <c r="T231" i="30"/>
  <c r="X231" i="30" s="1"/>
  <c r="S231" i="30"/>
  <c r="K232" i="30" l="1"/>
  <c r="J232" i="30"/>
  <c r="O231" i="30"/>
  <c r="U233" i="30"/>
  <c r="V233" i="30" s="1"/>
  <c r="T232" i="30"/>
  <c r="X232" i="30" s="1"/>
  <c r="S232" i="30"/>
  <c r="N124" i="30"/>
  <c r="Q124" i="30" s="1"/>
  <c r="M125" i="30" s="1"/>
  <c r="P125" i="30" s="1"/>
  <c r="L233" i="30"/>
  <c r="K233" i="30" l="1"/>
  <c r="J233" i="30"/>
  <c r="O232" i="30"/>
  <c r="L234" i="30"/>
  <c r="U234" i="30"/>
  <c r="V234" i="30" s="1"/>
  <c r="T233" i="30"/>
  <c r="X233" i="30" s="1"/>
  <c r="S233" i="30"/>
  <c r="K234" i="30" l="1"/>
  <c r="J234" i="30"/>
  <c r="O233" i="30"/>
  <c r="N125" i="30"/>
  <c r="Q125" i="30" s="1"/>
  <c r="M126" i="30" s="1"/>
  <c r="P126" i="30" s="1"/>
  <c r="L235" i="30"/>
  <c r="U235" i="30"/>
  <c r="V235" i="30" s="1"/>
  <c r="T234" i="30"/>
  <c r="X234" i="30" s="1"/>
  <c r="S234" i="30"/>
  <c r="K235" i="30" l="1"/>
  <c r="J235" i="30"/>
  <c r="O234" i="30"/>
  <c r="U236" i="30"/>
  <c r="V236" i="30" s="1"/>
  <c r="T235" i="30"/>
  <c r="X235" i="30" s="1"/>
  <c r="S235" i="30"/>
  <c r="L236" i="30"/>
  <c r="K236" i="30" l="1"/>
  <c r="J236" i="30"/>
  <c r="O235" i="30"/>
  <c r="N126" i="30"/>
  <c r="Q126" i="30" s="1"/>
  <c r="M127" i="30" s="1"/>
  <c r="P127" i="30" s="1"/>
  <c r="L237" i="30"/>
  <c r="U237" i="30"/>
  <c r="V237" i="30" s="1"/>
  <c r="T236" i="30"/>
  <c r="X236" i="30" s="1"/>
  <c r="S236" i="30"/>
  <c r="K237" i="30" l="1"/>
  <c r="J237" i="30"/>
  <c r="O236" i="30"/>
  <c r="U238" i="30"/>
  <c r="V238" i="30" s="1"/>
  <c r="T237" i="30"/>
  <c r="X237" i="30" s="1"/>
  <c r="S237" i="30"/>
  <c r="L238" i="30"/>
  <c r="K238" i="30" l="1"/>
  <c r="J238" i="30"/>
  <c r="O237" i="30"/>
  <c r="N127" i="30"/>
  <c r="Q127" i="30" s="1"/>
  <c r="M128" i="30" s="1"/>
  <c r="P128" i="30" s="1"/>
  <c r="L239" i="30"/>
  <c r="U239" i="30"/>
  <c r="V239" i="30" s="1"/>
  <c r="T238" i="30"/>
  <c r="X238" i="30" s="1"/>
  <c r="S238" i="30"/>
  <c r="J239" i="30" l="1"/>
  <c r="K239" i="30"/>
  <c r="O238" i="30"/>
  <c r="L240" i="30"/>
  <c r="U240" i="30"/>
  <c r="V240" i="30" s="1"/>
  <c r="T239" i="30"/>
  <c r="X239" i="30" s="1"/>
  <c r="S239" i="30"/>
  <c r="O239" i="30" l="1"/>
  <c r="K240" i="30"/>
  <c r="J240" i="30"/>
  <c r="U241" i="30"/>
  <c r="V241" i="30" s="1"/>
  <c r="T240" i="30"/>
  <c r="X240" i="30" s="1"/>
  <c r="S240" i="30"/>
  <c r="L241" i="30"/>
  <c r="N128" i="30"/>
  <c r="Q128" i="30" s="1"/>
  <c r="M129" i="30" s="1"/>
  <c r="P129" i="30" s="1"/>
  <c r="O240" i="30" l="1"/>
  <c r="K241" i="30"/>
  <c r="J241" i="30"/>
  <c r="L242" i="30"/>
  <c r="U242" i="30"/>
  <c r="V242" i="30" s="1"/>
  <c r="T241" i="30"/>
  <c r="X241" i="30" s="1"/>
  <c r="S241" i="30"/>
  <c r="K242" i="30" l="1"/>
  <c r="J242" i="30"/>
  <c r="O241" i="30"/>
  <c r="N129" i="30"/>
  <c r="Q129" i="30" s="1"/>
  <c r="M130" i="30" s="1"/>
  <c r="P130" i="30" s="1"/>
  <c r="L243" i="30"/>
  <c r="U243" i="30"/>
  <c r="V243" i="30" s="1"/>
  <c r="T242" i="30"/>
  <c r="X242" i="30" s="1"/>
  <c r="S242" i="30"/>
  <c r="K243" i="30" l="1"/>
  <c r="J243" i="30"/>
  <c r="O242" i="30"/>
  <c r="U244" i="30"/>
  <c r="V244" i="30" s="1"/>
  <c r="T243" i="30"/>
  <c r="X243" i="30" s="1"/>
  <c r="S243" i="30"/>
  <c r="L244" i="30"/>
  <c r="N130" i="30"/>
  <c r="Q130" i="30" s="1"/>
  <c r="M131" i="30" s="1"/>
  <c r="P131" i="30" s="1"/>
  <c r="K244" i="30" l="1"/>
  <c r="J244" i="30"/>
  <c r="O243" i="30"/>
  <c r="L245" i="30"/>
  <c r="U245" i="30"/>
  <c r="V245" i="30" s="1"/>
  <c r="T244" i="30"/>
  <c r="X244" i="30" s="1"/>
  <c r="S244" i="30"/>
  <c r="K245" i="30" l="1"/>
  <c r="J245" i="30"/>
  <c r="O244" i="30"/>
  <c r="N131" i="30"/>
  <c r="Q131" i="30" s="1"/>
  <c r="M132" i="30" s="1"/>
  <c r="P132" i="30" s="1"/>
  <c r="U246" i="30"/>
  <c r="V246" i="30" s="1"/>
  <c r="T245" i="30"/>
  <c r="X245" i="30" s="1"/>
  <c r="S245" i="30"/>
  <c r="L246" i="30"/>
  <c r="J246" i="30" l="1"/>
  <c r="K246" i="30"/>
  <c r="O245" i="30"/>
  <c r="U247" i="30"/>
  <c r="V247" i="30" s="1"/>
  <c r="T246" i="30"/>
  <c r="X246" i="30" s="1"/>
  <c r="S246" i="30"/>
  <c r="L247" i="30"/>
  <c r="O246" i="30" l="1"/>
  <c r="K247" i="30"/>
  <c r="J247" i="30"/>
  <c r="N132" i="30"/>
  <c r="Q132" i="30" s="1"/>
  <c r="M133" i="30" s="1"/>
  <c r="P133" i="30" s="1"/>
  <c r="L248" i="30"/>
  <c r="U248" i="30"/>
  <c r="V248" i="30" s="1"/>
  <c r="T247" i="30"/>
  <c r="X247" i="30" s="1"/>
  <c r="S247" i="30"/>
  <c r="K248" i="30" l="1"/>
  <c r="J248" i="30"/>
  <c r="O247" i="30"/>
  <c r="L249" i="30"/>
  <c r="U249" i="30"/>
  <c r="V249" i="30" s="1"/>
  <c r="T248" i="30"/>
  <c r="X248" i="30" s="1"/>
  <c r="S248" i="30"/>
  <c r="K249" i="30" l="1"/>
  <c r="J249" i="30"/>
  <c r="O248" i="30"/>
  <c r="N133" i="30"/>
  <c r="Q133" i="30" s="1"/>
  <c r="M134" i="30" s="1"/>
  <c r="P134" i="30" s="1"/>
  <c r="U250" i="30"/>
  <c r="V250" i="30" s="1"/>
  <c r="T249" i="30"/>
  <c r="X249" i="30" s="1"/>
  <c r="S249" i="30"/>
  <c r="L250" i="30"/>
  <c r="K250" i="30" l="1"/>
  <c r="J250" i="30"/>
  <c r="O249" i="30"/>
  <c r="U251" i="30"/>
  <c r="V251" i="30" s="1"/>
  <c r="T250" i="30"/>
  <c r="X250" i="30" s="1"/>
  <c r="S250" i="30"/>
  <c r="L251" i="30"/>
  <c r="K251" i="30" l="1"/>
  <c r="J251" i="30"/>
  <c r="O250" i="30"/>
  <c r="U252" i="30"/>
  <c r="V252" i="30" s="1"/>
  <c r="T251" i="30"/>
  <c r="X251" i="30" s="1"/>
  <c r="S251" i="30"/>
  <c r="L252" i="30"/>
  <c r="N134" i="30"/>
  <c r="Q134" i="30" s="1"/>
  <c r="M135" i="30" s="1"/>
  <c r="P135" i="30" s="1"/>
  <c r="J252" i="30" l="1"/>
  <c r="K252" i="30"/>
  <c r="O251" i="30"/>
  <c r="U253" i="30"/>
  <c r="V253" i="30" s="1"/>
  <c r="T252" i="30"/>
  <c r="X252" i="30" s="1"/>
  <c r="S252" i="30"/>
  <c r="L253" i="30"/>
  <c r="O252" i="30" l="1"/>
  <c r="K253" i="30"/>
  <c r="J253" i="30"/>
  <c r="N135" i="30"/>
  <c r="Q135" i="30" s="1"/>
  <c r="M136" i="30" s="1"/>
  <c r="P136" i="30" s="1"/>
  <c r="L254" i="30"/>
  <c r="U254" i="30"/>
  <c r="V254" i="30" s="1"/>
  <c r="T253" i="30"/>
  <c r="X253" i="30" s="1"/>
  <c r="S253" i="30"/>
  <c r="J254" i="30" l="1"/>
  <c r="K254" i="30"/>
  <c r="O253" i="30"/>
  <c r="U255" i="30"/>
  <c r="V255" i="30" s="1"/>
  <c r="T254" i="30"/>
  <c r="X254" i="30" s="1"/>
  <c r="S254" i="30"/>
  <c r="L255" i="30"/>
  <c r="O254" i="30" l="1"/>
  <c r="K255" i="30"/>
  <c r="J255" i="30"/>
  <c r="N136" i="30"/>
  <c r="Q136" i="30" s="1"/>
  <c r="M137" i="30" s="1"/>
  <c r="P137" i="30" s="1"/>
  <c r="L256" i="30"/>
  <c r="U256" i="30"/>
  <c r="V256" i="30" s="1"/>
  <c r="T255" i="30"/>
  <c r="X255" i="30" s="1"/>
  <c r="S255" i="30"/>
  <c r="K256" i="30" l="1"/>
  <c r="J256" i="30"/>
  <c r="O255" i="30"/>
  <c r="U257" i="30"/>
  <c r="V257" i="30" s="1"/>
  <c r="T256" i="30"/>
  <c r="X256" i="30" s="1"/>
  <c r="S256" i="30"/>
  <c r="L257" i="30"/>
  <c r="K257" i="30" l="1"/>
  <c r="J257" i="30"/>
  <c r="O256" i="30"/>
  <c r="L258" i="30"/>
  <c r="N137" i="30"/>
  <c r="Q137" i="30" s="1"/>
  <c r="M138" i="30" s="1"/>
  <c r="P138" i="30" s="1"/>
  <c r="U258" i="30"/>
  <c r="V258" i="30" s="1"/>
  <c r="T257" i="30"/>
  <c r="X257" i="30" s="1"/>
  <c r="S257" i="30"/>
  <c r="K258" i="30" l="1"/>
  <c r="J258" i="30"/>
  <c r="O257" i="30"/>
  <c r="U259" i="30"/>
  <c r="V259" i="30" s="1"/>
  <c r="T258" i="30"/>
  <c r="X258" i="30" s="1"/>
  <c r="S258" i="30"/>
  <c r="L259" i="30"/>
  <c r="K259" i="30" l="1"/>
  <c r="J259" i="30"/>
  <c r="O258" i="30"/>
  <c r="N138" i="30"/>
  <c r="Q138" i="30" s="1"/>
  <c r="M139" i="30" s="1"/>
  <c r="P139" i="30" s="1"/>
  <c r="L260" i="30"/>
  <c r="U260" i="30"/>
  <c r="V260" i="30" s="1"/>
  <c r="T259" i="30"/>
  <c r="X259" i="30" s="1"/>
  <c r="S259" i="30"/>
  <c r="J260" i="30" l="1"/>
  <c r="K260" i="30"/>
  <c r="O259" i="30"/>
  <c r="U261" i="30"/>
  <c r="V261" i="30" s="1"/>
  <c r="T260" i="30"/>
  <c r="X260" i="30" s="1"/>
  <c r="S260" i="30"/>
  <c r="L261" i="30"/>
  <c r="O260" i="30" l="1"/>
  <c r="K261" i="30"/>
  <c r="J261" i="30"/>
  <c r="N139" i="30"/>
  <c r="Q139" i="30" s="1"/>
  <c r="M140" i="30" s="1"/>
  <c r="P140" i="30" s="1"/>
  <c r="L262" i="30"/>
  <c r="U262" i="30"/>
  <c r="V262" i="30" s="1"/>
  <c r="T261" i="30"/>
  <c r="X261" i="30" s="1"/>
  <c r="S261" i="30"/>
  <c r="J262" i="30" l="1"/>
  <c r="K262" i="30"/>
  <c r="O261" i="30"/>
  <c r="L263" i="30"/>
  <c r="U263" i="30"/>
  <c r="V263" i="30" s="1"/>
  <c r="T262" i="30"/>
  <c r="X262" i="30" s="1"/>
  <c r="S262" i="30"/>
  <c r="K263" i="30" l="1"/>
  <c r="J263" i="30"/>
  <c r="O262" i="30"/>
  <c r="U264" i="30"/>
  <c r="V264" i="30" s="1"/>
  <c r="T263" i="30"/>
  <c r="X263" i="30" s="1"/>
  <c r="S263" i="30"/>
  <c r="N140" i="30"/>
  <c r="Q140" i="30" s="1"/>
  <c r="M141" i="30" s="1"/>
  <c r="P141" i="30" s="1"/>
  <c r="L264" i="30"/>
  <c r="K264" i="30" l="1"/>
  <c r="J264" i="30"/>
  <c r="O263" i="30"/>
  <c r="N141" i="30"/>
  <c r="U265" i="30"/>
  <c r="V265" i="30" s="1"/>
  <c r="T264" i="30"/>
  <c r="X264" i="30" s="1"/>
  <c r="S264" i="30"/>
  <c r="L265" i="30"/>
  <c r="K265" i="30" l="1"/>
  <c r="J265" i="30"/>
  <c r="O264" i="30"/>
  <c r="L266" i="30"/>
  <c r="U266" i="30"/>
  <c r="V266" i="30" s="1"/>
  <c r="T265" i="30"/>
  <c r="X265" i="30" s="1"/>
  <c r="S265" i="30"/>
  <c r="Q141" i="30"/>
  <c r="M142" i="30" s="1"/>
  <c r="P142" i="30" s="1"/>
  <c r="K266" i="30" l="1"/>
  <c r="J266" i="30"/>
  <c r="O265" i="30"/>
  <c r="U267" i="30"/>
  <c r="V267" i="30" s="1"/>
  <c r="T266" i="30"/>
  <c r="X266" i="30" s="1"/>
  <c r="S266" i="30"/>
  <c r="L267" i="30"/>
  <c r="K267" i="30" l="1"/>
  <c r="J267" i="30"/>
  <c r="O266" i="30"/>
  <c r="N142" i="30"/>
  <c r="Q142" i="30" s="1"/>
  <c r="M143" i="30" s="1"/>
  <c r="P143" i="30" s="1"/>
  <c r="U268" i="30"/>
  <c r="V268" i="30" s="1"/>
  <c r="T267" i="30"/>
  <c r="X267" i="30" s="1"/>
  <c r="S267" i="30"/>
  <c r="L268" i="30"/>
  <c r="K268" i="30" l="1"/>
  <c r="J268" i="30"/>
  <c r="O267" i="30"/>
  <c r="L269" i="30"/>
  <c r="U269" i="30"/>
  <c r="V269" i="30" s="1"/>
  <c r="T268" i="30"/>
  <c r="X268" i="30" s="1"/>
  <c r="S268" i="30"/>
  <c r="K269" i="30" l="1"/>
  <c r="J269" i="30"/>
  <c r="O268" i="30"/>
  <c r="U270" i="30"/>
  <c r="V270" i="30" s="1"/>
  <c r="T269" i="30"/>
  <c r="X269" i="30" s="1"/>
  <c r="S269" i="30"/>
  <c r="N143" i="30"/>
  <c r="Q143" i="30" s="1"/>
  <c r="M144" i="30" s="1"/>
  <c r="P144" i="30" s="1"/>
  <c r="L270" i="30"/>
  <c r="J270" i="30" l="1"/>
  <c r="K270" i="30"/>
  <c r="O269" i="30"/>
  <c r="L271" i="30"/>
  <c r="U271" i="30"/>
  <c r="V271" i="30" s="1"/>
  <c r="T270" i="30"/>
  <c r="X270" i="30" s="1"/>
  <c r="S270" i="30"/>
  <c r="K271" i="30" l="1"/>
  <c r="J271" i="30"/>
  <c r="O270" i="30"/>
  <c r="N144" i="30"/>
  <c r="Q144" i="30" s="1"/>
  <c r="M145" i="30" s="1"/>
  <c r="P145" i="30" s="1"/>
  <c r="L272" i="30"/>
  <c r="U272" i="30"/>
  <c r="V272" i="30" s="1"/>
  <c r="T271" i="30"/>
  <c r="X271" i="30" s="1"/>
  <c r="S271" i="30"/>
  <c r="K272" i="30" l="1"/>
  <c r="J272" i="30"/>
  <c r="O271" i="30"/>
  <c r="U273" i="30"/>
  <c r="V273" i="30" s="1"/>
  <c r="T272" i="30"/>
  <c r="X272" i="30" s="1"/>
  <c r="S272" i="30"/>
  <c r="L273" i="30"/>
  <c r="J273" i="30" l="1"/>
  <c r="K273" i="30"/>
  <c r="O272" i="30"/>
  <c r="U274" i="30"/>
  <c r="V274" i="30" s="1"/>
  <c r="T273" i="30"/>
  <c r="X273" i="30" s="1"/>
  <c r="S273" i="30"/>
  <c r="N145" i="30"/>
  <c r="Q145" i="30" s="1"/>
  <c r="M146" i="30" s="1"/>
  <c r="P146" i="30" s="1"/>
  <c r="L274" i="30"/>
  <c r="K274" i="30" l="1"/>
  <c r="J274" i="30"/>
  <c r="O273" i="30"/>
  <c r="L275" i="30"/>
  <c r="U275" i="30"/>
  <c r="V275" i="30" s="1"/>
  <c r="T274" i="30"/>
  <c r="X274" i="30" s="1"/>
  <c r="S274" i="30"/>
  <c r="K275" i="30" l="1"/>
  <c r="J275" i="30"/>
  <c r="O274" i="30"/>
  <c r="N146" i="30"/>
  <c r="Q146" i="30" s="1"/>
  <c r="M147" i="30" s="1"/>
  <c r="P147" i="30" s="1"/>
  <c r="U276" i="30"/>
  <c r="V276" i="30" s="1"/>
  <c r="T275" i="30"/>
  <c r="X275" i="30" s="1"/>
  <c r="S275" i="30"/>
  <c r="L276" i="30"/>
  <c r="K276" i="30" l="1"/>
  <c r="J276" i="30"/>
  <c r="O275" i="30"/>
  <c r="U277" i="30"/>
  <c r="V277" i="30" s="1"/>
  <c r="T276" i="30"/>
  <c r="X276" i="30" s="1"/>
  <c r="S276" i="30"/>
  <c r="L277" i="30"/>
  <c r="K277" i="30" l="1"/>
  <c r="J277" i="30"/>
  <c r="O276" i="30"/>
  <c r="N147" i="30"/>
  <c r="Q147" i="30" s="1"/>
  <c r="M148" i="30" s="1"/>
  <c r="P148" i="30" s="1"/>
  <c r="L278" i="30"/>
  <c r="U278" i="30"/>
  <c r="V278" i="30" s="1"/>
  <c r="T277" i="30"/>
  <c r="X277" i="30" s="1"/>
  <c r="S277" i="30"/>
  <c r="J278" i="30" l="1"/>
  <c r="K278" i="30"/>
  <c r="O277" i="30"/>
  <c r="L279" i="30"/>
  <c r="U279" i="30"/>
  <c r="V279" i="30" s="1"/>
  <c r="T278" i="30"/>
  <c r="X278" i="30" s="1"/>
  <c r="S278" i="30"/>
  <c r="K279" i="30" l="1"/>
  <c r="J279" i="30"/>
  <c r="O278" i="30"/>
  <c r="U280" i="30"/>
  <c r="V280" i="30" s="1"/>
  <c r="T279" i="30"/>
  <c r="X279" i="30" s="1"/>
  <c r="S279" i="30"/>
  <c r="L280" i="30"/>
  <c r="N148" i="30"/>
  <c r="Q148" i="30" s="1"/>
  <c r="M149" i="30" s="1"/>
  <c r="P149" i="30" s="1"/>
  <c r="K280" i="30" l="1"/>
  <c r="J280" i="30"/>
  <c r="O279" i="30"/>
  <c r="L281" i="30"/>
  <c r="U281" i="30"/>
  <c r="V281" i="30" s="1"/>
  <c r="T280" i="30"/>
  <c r="X280" i="30" s="1"/>
  <c r="S280" i="30"/>
  <c r="J281" i="30" l="1"/>
  <c r="K281" i="30"/>
  <c r="O280" i="30"/>
  <c r="L282" i="30"/>
  <c r="U282" i="30"/>
  <c r="V282" i="30" s="1"/>
  <c r="T281" i="30"/>
  <c r="X281" i="30" s="1"/>
  <c r="S281" i="30"/>
  <c r="N149" i="30"/>
  <c r="Q149" i="30" s="1"/>
  <c r="M150" i="30" s="1"/>
  <c r="P150" i="30" s="1"/>
  <c r="K282" i="30" l="1"/>
  <c r="J282" i="30"/>
  <c r="O281" i="30"/>
  <c r="U283" i="30"/>
  <c r="V283" i="30" s="1"/>
  <c r="T282" i="30"/>
  <c r="X282" i="30" s="1"/>
  <c r="S282" i="30"/>
  <c r="L283" i="30"/>
  <c r="K283" i="30" l="1"/>
  <c r="J283" i="30"/>
  <c r="O282" i="30"/>
  <c r="N150" i="30"/>
  <c r="Q150" i="30" s="1"/>
  <c r="M151" i="30" s="1"/>
  <c r="P151" i="30" s="1"/>
  <c r="L284" i="30"/>
  <c r="U284" i="30"/>
  <c r="V284" i="30" s="1"/>
  <c r="T283" i="30"/>
  <c r="X283" i="30" s="1"/>
  <c r="S283" i="30"/>
  <c r="K284" i="30" l="1"/>
  <c r="J284" i="30"/>
  <c r="O283" i="30"/>
  <c r="L285" i="30"/>
  <c r="U285" i="30"/>
  <c r="V285" i="30" s="1"/>
  <c r="T284" i="30"/>
  <c r="X284" i="30" s="1"/>
  <c r="S284" i="30"/>
  <c r="K285" i="30" l="1"/>
  <c r="J285" i="30"/>
  <c r="O284" i="30"/>
  <c r="U286" i="30"/>
  <c r="V286" i="30" s="1"/>
  <c r="T285" i="30"/>
  <c r="X285" i="30" s="1"/>
  <c r="S285" i="30"/>
  <c r="N151" i="30"/>
  <c r="Q151" i="30" s="1"/>
  <c r="M152" i="30" s="1"/>
  <c r="P152" i="30" s="1"/>
  <c r="L286" i="30"/>
  <c r="J286" i="30" l="1"/>
  <c r="K286" i="30"/>
  <c r="O285" i="30"/>
  <c r="U287" i="30"/>
  <c r="V287" i="30" s="1"/>
  <c r="T286" i="30"/>
  <c r="X286" i="30" s="1"/>
  <c r="S286" i="30"/>
  <c r="L287" i="30"/>
  <c r="K287" i="30" l="1"/>
  <c r="J287" i="30"/>
  <c r="O286" i="30"/>
  <c r="L288" i="30"/>
  <c r="N152" i="30"/>
  <c r="Q152" i="30" s="1"/>
  <c r="M153" i="30" s="1"/>
  <c r="P153" i="30" s="1"/>
  <c r="U288" i="30"/>
  <c r="V288" i="30" s="1"/>
  <c r="T287" i="30"/>
  <c r="X287" i="30" s="1"/>
  <c r="S287" i="30"/>
  <c r="K288" i="30" l="1"/>
  <c r="J288" i="30"/>
  <c r="O287" i="30"/>
  <c r="L289" i="30"/>
  <c r="U289" i="30"/>
  <c r="V289" i="30" s="1"/>
  <c r="T288" i="30"/>
  <c r="X288" i="30" s="1"/>
  <c r="S288" i="30"/>
  <c r="J289" i="30" l="1"/>
  <c r="K289" i="30"/>
  <c r="O288" i="30"/>
  <c r="U290" i="30"/>
  <c r="V290" i="30" s="1"/>
  <c r="T289" i="30"/>
  <c r="X289" i="30" s="1"/>
  <c r="S289" i="30"/>
  <c r="L290" i="30"/>
  <c r="N153" i="30"/>
  <c r="Q153" i="30" s="1"/>
  <c r="M154" i="30" s="1"/>
  <c r="P154" i="30" s="1"/>
  <c r="K290" i="30" l="1"/>
  <c r="J290" i="30"/>
  <c r="O289" i="30"/>
  <c r="L291" i="30"/>
  <c r="U291" i="30"/>
  <c r="V291" i="30" s="1"/>
  <c r="T290" i="30"/>
  <c r="X290" i="30" s="1"/>
  <c r="S290" i="30"/>
  <c r="N154" i="30"/>
  <c r="K291" i="30" l="1"/>
  <c r="J291" i="30"/>
  <c r="O290" i="30"/>
  <c r="Q154" i="30"/>
  <c r="M155" i="30" s="1"/>
  <c r="P155" i="30" s="1"/>
  <c r="U292" i="30"/>
  <c r="V292" i="30" s="1"/>
  <c r="T291" i="30"/>
  <c r="X291" i="30" s="1"/>
  <c r="S291" i="30"/>
  <c r="L292" i="30"/>
  <c r="K292" i="30" l="1"/>
  <c r="J292" i="30"/>
  <c r="O291" i="30"/>
  <c r="L293" i="30"/>
  <c r="U293" i="30"/>
  <c r="V293" i="30" s="1"/>
  <c r="T292" i="30"/>
  <c r="X292" i="30" s="1"/>
  <c r="S292" i="30"/>
  <c r="K293" i="30" l="1"/>
  <c r="J293" i="30"/>
  <c r="O292" i="30"/>
  <c r="U294" i="30"/>
  <c r="V294" i="30" s="1"/>
  <c r="T293" i="30"/>
  <c r="X293" i="30" s="1"/>
  <c r="S293" i="30"/>
  <c r="N155" i="30"/>
  <c r="Q155" i="30" s="1"/>
  <c r="M156" i="30" s="1"/>
  <c r="P156" i="30" s="1"/>
  <c r="L294" i="30"/>
  <c r="J294" i="30" l="1"/>
  <c r="K294" i="30"/>
  <c r="O293" i="30"/>
  <c r="L295" i="30"/>
  <c r="U295" i="30"/>
  <c r="V295" i="30" s="1"/>
  <c r="T294" i="30"/>
  <c r="X294" i="30" s="1"/>
  <c r="S294" i="30"/>
  <c r="O294" i="30" l="1"/>
  <c r="K295" i="30"/>
  <c r="J295" i="30"/>
  <c r="L296" i="30"/>
  <c r="N156" i="30"/>
  <c r="Q156" i="30" s="1"/>
  <c r="M157" i="30" s="1"/>
  <c r="P157" i="30" s="1"/>
  <c r="U296" i="30"/>
  <c r="V296" i="30" s="1"/>
  <c r="T295" i="30"/>
  <c r="X295" i="30" s="1"/>
  <c r="S295" i="30"/>
  <c r="K296" i="30" l="1"/>
  <c r="J296" i="30"/>
  <c r="O295" i="30"/>
  <c r="U297" i="30"/>
  <c r="V297" i="30" s="1"/>
  <c r="T296" i="30"/>
  <c r="X296" i="30" s="1"/>
  <c r="S296" i="30"/>
  <c r="L297" i="30"/>
  <c r="J297" i="30" l="1"/>
  <c r="K297" i="30"/>
  <c r="O296" i="30"/>
  <c r="N157" i="30"/>
  <c r="Q157" i="30" s="1"/>
  <c r="M158" i="30" s="1"/>
  <c r="P158" i="30" s="1"/>
  <c r="L298" i="30"/>
  <c r="U298" i="30"/>
  <c r="V298" i="30" s="1"/>
  <c r="T297" i="30"/>
  <c r="X297" i="30" s="1"/>
  <c r="S297" i="30"/>
  <c r="K298" i="30" l="1"/>
  <c r="J298" i="30"/>
  <c r="O297" i="30"/>
  <c r="L299" i="30"/>
  <c r="U299" i="30"/>
  <c r="V299" i="30" s="1"/>
  <c r="T298" i="30"/>
  <c r="X298" i="30" s="1"/>
  <c r="S298" i="30"/>
  <c r="K299" i="30" l="1"/>
  <c r="J299" i="30"/>
  <c r="O298" i="30"/>
  <c r="N158" i="30"/>
  <c r="Q158" i="30" s="1"/>
  <c r="M159" i="30" s="1"/>
  <c r="P159" i="30" s="1"/>
  <c r="U300" i="30"/>
  <c r="V300" i="30" s="1"/>
  <c r="T299" i="30"/>
  <c r="X299" i="30" s="1"/>
  <c r="S299" i="30"/>
  <c r="L300" i="30"/>
  <c r="K300" i="30" l="1"/>
  <c r="J300" i="30"/>
  <c r="O299" i="30"/>
  <c r="U301" i="30"/>
  <c r="V301" i="30" s="1"/>
  <c r="T300" i="30"/>
  <c r="X300" i="30" s="1"/>
  <c r="S300" i="30"/>
  <c r="L301" i="30"/>
  <c r="K301" i="30" l="1"/>
  <c r="J301" i="30"/>
  <c r="O300" i="30"/>
  <c r="L302" i="30"/>
  <c r="U302" i="30"/>
  <c r="V302" i="30" s="1"/>
  <c r="T301" i="30"/>
  <c r="X301" i="30" s="1"/>
  <c r="S301" i="30"/>
  <c r="N159" i="30"/>
  <c r="Q159" i="30" s="1"/>
  <c r="M160" i="30" s="1"/>
  <c r="P160" i="30" s="1"/>
  <c r="J302" i="30" l="1"/>
  <c r="K302" i="30"/>
  <c r="O301" i="30"/>
  <c r="U303" i="30"/>
  <c r="V303" i="30" s="1"/>
  <c r="T302" i="30"/>
  <c r="X302" i="30" s="1"/>
  <c r="S302" i="30"/>
  <c r="L303" i="30"/>
  <c r="K303" i="30" l="1"/>
  <c r="J303" i="30"/>
  <c r="O302" i="30"/>
  <c r="U304" i="30"/>
  <c r="V304" i="30" s="1"/>
  <c r="T303" i="30"/>
  <c r="X303" i="30" s="1"/>
  <c r="S303" i="30"/>
  <c r="N160" i="30"/>
  <c r="Q160" i="30" s="1"/>
  <c r="M161" i="30" s="1"/>
  <c r="P161" i="30" s="1"/>
  <c r="L304" i="30"/>
  <c r="K304" i="30" l="1"/>
  <c r="J304" i="30"/>
  <c r="O303" i="30"/>
  <c r="U305" i="30"/>
  <c r="V305" i="30" s="1"/>
  <c r="T304" i="30"/>
  <c r="X304" i="30" s="1"/>
  <c r="S304" i="30"/>
  <c r="L305" i="30"/>
  <c r="J305" i="30" l="1"/>
  <c r="K305" i="30"/>
  <c r="O304" i="30"/>
  <c r="N161" i="30"/>
  <c r="Q161" i="30" s="1"/>
  <c r="M162" i="30" s="1"/>
  <c r="P162" i="30" s="1"/>
  <c r="L306" i="30"/>
  <c r="U306" i="30"/>
  <c r="V306" i="30" s="1"/>
  <c r="T305" i="30"/>
  <c r="X305" i="30" s="1"/>
  <c r="S305" i="30"/>
  <c r="O305" i="30" l="1"/>
  <c r="K306" i="30"/>
  <c r="J306" i="30"/>
  <c r="L307" i="30"/>
  <c r="U307" i="30"/>
  <c r="V307" i="30" s="1"/>
  <c r="T306" i="30"/>
  <c r="X306" i="30" s="1"/>
  <c r="S306" i="30"/>
  <c r="O306" i="30" l="1"/>
  <c r="K307" i="30"/>
  <c r="J307" i="30"/>
  <c r="U308" i="30"/>
  <c r="V308" i="30" s="1"/>
  <c r="T307" i="30"/>
  <c r="X307" i="30" s="1"/>
  <c r="S307" i="30"/>
  <c r="L308" i="30"/>
  <c r="N162" i="30"/>
  <c r="Q162" i="30" s="1"/>
  <c r="M163" i="30" s="1"/>
  <c r="P163" i="30" s="1"/>
  <c r="O307" i="30" l="1"/>
  <c r="K308" i="30"/>
  <c r="J308" i="30"/>
  <c r="L309" i="30"/>
  <c r="U309" i="30"/>
  <c r="V309" i="30" s="1"/>
  <c r="T308" i="30"/>
  <c r="X308" i="30" s="1"/>
  <c r="S308" i="30"/>
  <c r="O308" i="30" l="1"/>
  <c r="K309" i="30"/>
  <c r="J309" i="30"/>
  <c r="N163" i="30"/>
  <c r="Q163" i="30" s="1"/>
  <c r="M164" i="30" s="1"/>
  <c r="P164" i="30" s="1"/>
  <c r="U310" i="30"/>
  <c r="V310" i="30" s="1"/>
  <c r="T309" i="30"/>
  <c r="X309" i="30" s="1"/>
  <c r="S309" i="30"/>
  <c r="L310" i="30"/>
  <c r="O309" i="30" l="1"/>
  <c r="J310" i="30"/>
  <c r="K310" i="30"/>
  <c r="U311" i="30"/>
  <c r="V311" i="30" s="1"/>
  <c r="T310" i="30"/>
  <c r="X310" i="30" s="1"/>
  <c r="S310" i="30"/>
  <c r="L311" i="30"/>
  <c r="O310" i="30" l="1"/>
  <c r="K311" i="30"/>
  <c r="J311" i="30"/>
  <c r="L312" i="30"/>
  <c r="N164" i="30"/>
  <c r="Q164" i="30" s="1"/>
  <c r="M165" i="30" s="1"/>
  <c r="P165" i="30" s="1"/>
  <c r="U312" i="30"/>
  <c r="V312" i="30" s="1"/>
  <c r="T311" i="30"/>
  <c r="X311" i="30" s="1"/>
  <c r="S311" i="30"/>
  <c r="O311" i="30" l="1"/>
  <c r="K312" i="30"/>
  <c r="J312" i="30"/>
  <c r="L313" i="30"/>
  <c r="U313" i="30"/>
  <c r="V313" i="30" s="1"/>
  <c r="T312" i="30"/>
  <c r="X312" i="30" s="1"/>
  <c r="S312" i="30"/>
  <c r="J313" i="30" l="1"/>
  <c r="K313" i="30"/>
  <c r="O312" i="30"/>
  <c r="U314" i="30"/>
  <c r="V314" i="30" s="1"/>
  <c r="T313" i="30"/>
  <c r="X313" i="30" s="1"/>
  <c r="S313" i="30"/>
  <c r="L314" i="30"/>
  <c r="N165" i="30"/>
  <c r="Q165" i="30" s="1"/>
  <c r="M166" i="30" s="1"/>
  <c r="P166" i="30" s="1"/>
  <c r="K314" i="30" l="1"/>
  <c r="J314" i="30"/>
  <c r="O313" i="30"/>
  <c r="L315" i="30"/>
  <c r="U315" i="30"/>
  <c r="V315" i="30" s="1"/>
  <c r="T314" i="30"/>
  <c r="X314" i="30" s="1"/>
  <c r="S314" i="30"/>
  <c r="K315" i="30" l="1"/>
  <c r="J315" i="30"/>
  <c r="O314" i="30"/>
  <c r="N166" i="30"/>
  <c r="Q166" i="30" s="1"/>
  <c r="M167" i="30" s="1"/>
  <c r="P167" i="30" s="1"/>
  <c r="U316" i="30"/>
  <c r="V316" i="30" s="1"/>
  <c r="T315" i="30"/>
  <c r="X315" i="30" s="1"/>
  <c r="S315" i="30"/>
  <c r="L316" i="30"/>
  <c r="K316" i="30" l="1"/>
  <c r="J316" i="30"/>
  <c r="O315" i="30"/>
  <c r="U317" i="30"/>
  <c r="V317" i="30" s="1"/>
  <c r="T316" i="30"/>
  <c r="X316" i="30" s="1"/>
  <c r="S316" i="30"/>
  <c r="L317" i="30"/>
  <c r="K317" i="30" l="1"/>
  <c r="J317" i="30"/>
  <c r="O316" i="30"/>
  <c r="U318" i="30"/>
  <c r="V318" i="30" s="1"/>
  <c r="T317" i="30"/>
  <c r="X317" i="30" s="1"/>
  <c r="S317" i="30"/>
  <c r="L318" i="30"/>
  <c r="N167" i="30"/>
  <c r="Q167" i="30" s="1"/>
  <c r="M168" i="30" s="1"/>
  <c r="P168" i="30" s="1"/>
  <c r="J318" i="30" l="1"/>
  <c r="K318" i="30"/>
  <c r="O317" i="30"/>
  <c r="L319" i="30"/>
  <c r="U319" i="30"/>
  <c r="V319" i="30" s="1"/>
  <c r="T318" i="30"/>
  <c r="X318" i="30" s="1"/>
  <c r="S318" i="30"/>
  <c r="K319" i="30" l="1"/>
  <c r="J319" i="30"/>
  <c r="O318" i="30"/>
  <c r="N168" i="30"/>
  <c r="Q168" i="30" s="1"/>
  <c r="M169" i="30" s="1"/>
  <c r="P169" i="30" s="1"/>
  <c r="L320" i="30"/>
  <c r="U320" i="30"/>
  <c r="V320" i="30" s="1"/>
  <c r="T319" i="30"/>
  <c r="X319" i="30" s="1"/>
  <c r="S319" i="30"/>
  <c r="K320" i="30" l="1"/>
  <c r="J320" i="30"/>
  <c r="O319" i="30"/>
  <c r="U321" i="30"/>
  <c r="V321" i="30" s="1"/>
  <c r="T320" i="30"/>
  <c r="X320" i="30" s="1"/>
  <c r="S320" i="30"/>
  <c r="L321" i="30"/>
  <c r="J321" i="30" l="1"/>
  <c r="K321" i="30"/>
  <c r="O320" i="30"/>
  <c r="L322" i="30"/>
  <c r="U322" i="30"/>
  <c r="V322" i="30" s="1"/>
  <c r="T321" i="30"/>
  <c r="X321" i="30" s="1"/>
  <c r="S321" i="30"/>
  <c r="N169" i="30"/>
  <c r="Q169" i="30" s="1"/>
  <c r="M170" i="30" s="1"/>
  <c r="P170" i="30" s="1"/>
  <c r="O321" i="30" l="1"/>
  <c r="K322" i="30"/>
  <c r="J322" i="30"/>
  <c r="N170" i="30"/>
  <c r="U323" i="30"/>
  <c r="V323" i="30" s="1"/>
  <c r="T322" i="30"/>
  <c r="X322" i="30" s="1"/>
  <c r="S322" i="30"/>
  <c r="L323" i="30"/>
  <c r="O322" i="30" l="1"/>
  <c r="K323" i="30"/>
  <c r="J323" i="30"/>
  <c r="U324" i="30"/>
  <c r="V324" i="30" s="1"/>
  <c r="T323" i="30"/>
  <c r="X323" i="30" s="1"/>
  <c r="S323" i="30"/>
  <c r="L324" i="30"/>
  <c r="Q170" i="30"/>
  <c r="M171" i="30" s="1"/>
  <c r="P171" i="30" s="1"/>
  <c r="O323" i="30" l="1"/>
  <c r="K324" i="30"/>
  <c r="J324" i="30"/>
  <c r="L325" i="30"/>
  <c r="U325" i="30"/>
  <c r="V325" i="30" s="1"/>
  <c r="T324" i="30"/>
  <c r="X324" i="30" s="1"/>
  <c r="S324" i="30"/>
  <c r="O324" i="30" l="1"/>
  <c r="K325" i="30"/>
  <c r="J325" i="30"/>
  <c r="N171" i="30"/>
  <c r="Q171" i="30" s="1"/>
  <c r="M172" i="30" s="1"/>
  <c r="P172" i="30" s="1"/>
  <c r="U326" i="30"/>
  <c r="V326" i="30" s="1"/>
  <c r="T325" i="30"/>
  <c r="X325" i="30" s="1"/>
  <c r="S325" i="30"/>
  <c r="L326" i="30"/>
  <c r="O325" i="30" l="1"/>
  <c r="J326" i="30"/>
  <c r="K326" i="30"/>
  <c r="U327" i="30"/>
  <c r="V327" i="30" s="1"/>
  <c r="T326" i="30"/>
  <c r="X326" i="30" s="1"/>
  <c r="S326" i="30"/>
  <c r="L327" i="30"/>
  <c r="N172" i="30"/>
  <c r="Q172" i="30" s="1"/>
  <c r="M173" i="30" s="1"/>
  <c r="P173" i="30" s="1"/>
  <c r="O326" i="30" l="1"/>
  <c r="K327" i="30"/>
  <c r="J327" i="30"/>
  <c r="L328" i="30"/>
  <c r="U328" i="30"/>
  <c r="V328" i="30" s="1"/>
  <c r="T327" i="30"/>
  <c r="X327" i="30" s="1"/>
  <c r="S327" i="30"/>
  <c r="O327" i="30" l="1"/>
  <c r="K328" i="30"/>
  <c r="J328" i="30"/>
  <c r="N173" i="30"/>
  <c r="Q173" i="30" s="1"/>
  <c r="M174" i="30" s="1"/>
  <c r="P174" i="30" s="1"/>
  <c r="U329" i="30"/>
  <c r="V329" i="30" s="1"/>
  <c r="T328" i="30"/>
  <c r="X328" i="30" s="1"/>
  <c r="S328" i="30"/>
  <c r="L329" i="30"/>
  <c r="O328" i="30" l="1"/>
  <c r="J329" i="30"/>
  <c r="K329" i="30"/>
  <c r="N174" i="30"/>
  <c r="Q174" i="30" s="1"/>
  <c r="M175" i="30" s="1"/>
  <c r="P175" i="30" s="1"/>
  <c r="U330" i="30"/>
  <c r="V330" i="30" s="1"/>
  <c r="T329" i="30"/>
  <c r="X329" i="30" s="1"/>
  <c r="S329" i="30"/>
  <c r="L330" i="30"/>
  <c r="O329" i="30" l="1"/>
  <c r="K330" i="30"/>
  <c r="J330" i="30"/>
  <c r="L331" i="30"/>
  <c r="U331" i="30"/>
  <c r="V331" i="30" s="1"/>
  <c r="T330" i="30"/>
  <c r="X330" i="30" s="1"/>
  <c r="S330" i="30"/>
  <c r="O330" i="30" l="1"/>
  <c r="K331" i="30"/>
  <c r="J331" i="30"/>
  <c r="U332" i="30"/>
  <c r="V332" i="30" s="1"/>
  <c r="T331" i="30"/>
  <c r="X331" i="30" s="1"/>
  <c r="S331" i="30"/>
  <c r="L332" i="30"/>
  <c r="N175" i="30"/>
  <c r="Q175" i="30" s="1"/>
  <c r="M176" i="30" s="1"/>
  <c r="P176" i="30" s="1"/>
  <c r="O331" i="30" l="1"/>
  <c r="K332" i="30"/>
  <c r="J332" i="30"/>
  <c r="L333" i="30"/>
  <c r="U333" i="30"/>
  <c r="V333" i="30" s="1"/>
  <c r="T332" i="30"/>
  <c r="X332" i="30" s="1"/>
  <c r="S332" i="30"/>
  <c r="O332" i="30" l="1"/>
  <c r="K333" i="30"/>
  <c r="J333" i="30"/>
  <c r="L334" i="30"/>
  <c r="N176" i="30"/>
  <c r="Q176" i="30" s="1"/>
  <c r="M177" i="30" s="1"/>
  <c r="P177" i="30" s="1"/>
  <c r="U334" i="30"/>
  <c r="V334" i="30" s="1"/>
  <c r="T333" i="30"/>
  <c r="X333" i="30" s="1"/>
  <c r="S333" i="30"/>
  <c r="O333" i="30" l="1"/>
  <c r="J334" i="30"/>
  <c r="K334" i="30"/>
  <c r="U335" i="30"/>
  <c r="V335" i="30" s="1"/>
  <c r="T334" i="30"/>
  <c r="X334" i="30" s="1"/>
  <c r="S334" i="30"/>
  <c r="L335" i="30"/>
  <c r="O334" i="30" l="1"/>
  <c r="K335" i="30"/>
  <c r="J335" i="30"/>
  <c r="N177" i="30"/>
  <c r="Q177" i="30" s="1"/>
  <c r="M178" i="30" s="1"/>
  <c r="P178" i="30" s="1"/>
  <c r="U336" i="30"/>
  <c r="V336" i="30" s="1"/>
  <c r="T335" i="30"/>
  <c r="X335" i="30" s="1"/>
  <c r="S335" i="30"/>
  <c r="L336" i="30"/>
  <c r="O335" i="30" l="1"/>
  <c r="K336" i="30"/>
  <c r="J336" i="30"/>
  <c r="L337" i="30"/>
  <c r="U337" i="30"/>
  <c r="V337" i="30" s="1"/>
  <c r="T336" i="30"/>
  <c r="X336" i="30" s="1"/>
  <c r="S336" i="30"/>
  <c r="J337" i="30" l="1"/>
  <c r="K337" i="30"/>
  <c r="O336" i="30"/>
  <c r="L338" i="30"/>
  <c r="N178" i="30"/>
  <c r="Q178" i="30" s="1"/>
  <c r="M179" i="30" s="1"/>
  <c r="P179" i="30" s="1"/>
  <c r="U338" i="30"/>
  <c r="V338" i="30" s="1"/>
  <c r="T337" i="30"/>
  <c r="X337" i="30" s="1"/>
  <c r="S337" i="30"/>
  <c r="K338" i="30" l="1"/>
  <c r="J338" i="30"/>
  <c r="O337" i="30"/>
  <c r="U339" i="30"/>
  <c r="V339" i="30" s="1"/>
  <c r="T338" i="30"/>
  <c r="X338" i="30" s="1"/>
  <c r="S338" i="30"/>
  <c r="L339" i="30"/>
  <c r="N179" i="30"/>
  <c r="Q179" i="30" s="1"/>
  <c r="M180" i="30" s="1"/>
  <c r="P180" i="30" s="1"/>
  <c r="K339" i="30" l="1"/>
  <c r="J339" i="30"/>
  <c r="O338" i="30"/>
  <c r="L340" i="30"/>
  <c r="U340" i="30"/>
  <c r="V340" i="30" s="1"/>
  <c r="T339" i="30"/>
  <c r="X339" i="30" s="1"/>
  <c r="S339" i="30"/>
  <c r="K340" i="30" l="1"/>
  <c r="J340" i="30"/>
  <c r="O339" i="30"/>
  <c r="L341" i="30"/>
  <c r="N180" i="30"/>
  <c r="Q180" i="30" s="1"/>
  <c r="M181" i="30" s="1"/>
  <c r="P181" i="30" s="1"/>
  <c r="U341" i="30"/>
  <c r="V341" i="30" s="1"/>
  <c r="T340" i="30"/>
  <c r="X340" i="30" s="1"/>
  <c r="S340" i="30"/>
  <c r="K341" i="30" l="1"/>
  <c r="J341" i="30"/>
  <c r="O340" i="30"/>
  <c r="U342" i="30"/>
  <c r="V342" i="30" s="1"/>
  <c r="T341" i="30"/>
  <c r="X341" i="30" s="1"/>
  <c r="S341" i="30"/>
  <c r="L342" i="30"/>
  <c r="N181" i="30"/>
  <c r="Q181" i="30" s="1"/>
  <c r="M182" i="30" s="1"/>
  <c r="P182" i="30" s="1"/>
  <c r="J342" i="30" l="1"/>
  <c r="K342" i="30"/>
  <c r="O341" i="30"/>
  <c r="L343" i="30"/>
  <c r="N182" i="30"/>
  <c r="U343" i="30"/>
  <c r="V343" i="30" s="1"/>
  <c r="T342" i="30"/>
  <c r="X342" i="30" s="1"/>
  <c r="S342" i="30"/>
  <c r="K343" i="30" l="1"/>
  <c r="J343" i="30"/>
  <c r="O342" i="30"/>
  <c r="Q182" i="30"/>
  <c r="M183" i="30" s="1"/>
  <c r="P183" i="30" s="1"/>
  <c r="U344" i="30"/>
  <c r="V344" i="30" s="1"/>
  <c r="T343" i="30"/>
  <c r="X343" i="30" s="1"/>
  <c r="S343" i="30"/>
  <c r="L344" i="30"/>
  <c r="K344" i="30" l="1"/>
  <c r="J344" i="30"/>
  <c r="O343" i="30"/>
  <c r="L345" i="30"/>
  <c r="U345" i="30"/>
  <c r="V345" i="30" s="1"/>
  <c r="T344" i="30"/>
  <c r="X344" i="30" s="1"/>
  <c r="S344" i="30"/>
  <c r="J345" i="30" l="1"/>
  <c r="K345" i="30"/>
  <c r="O344" i="30"/>
  <c r="U346" i="30"/>
  <c r="V346" i="30" s="1"/>
  <c r="T345" i="30"/>
  <c r="X345" i="30" s="1"/>
  <c r="S345" i="30"/>
  <c r="N183" i="30"/>
  <c r="Q183" i="30" s="1"/>
  <c r="M184" i="30" s="1"/>
  <c r="P184" i="30" s="1"/>
  <c r="L346" i="30"/>
  <c r="O345" i="30" l="1"/>
  <c r="K346" i="30"/>
  <c r="J346" i="30"/>
  <c r="U347" i="30"/>
  <c r="V347" i="30" s="1"/>
  <c r="T346" i="30"/>
  <c r="X346" i="30" s="1"/>
  <c r="S346" i="30"/>
  <c r="L347" i="30"/>
  <c r="O346" i="30" l="1"/>
  <c r="K347" i="30"/>
  <c r="J347" i="30"/>
  <c r="L348" i="30"/>
  <c r="U348" i="30"/>
  <c r="V348" i="30" s="1"/>
  <c r="T347" i="30"/>
  <c r="X347" i="30" s="1"/>
  <c r="S347" i="30"/>
  <c r="N184" i="30"/>
  <c r="Q184" i="30" s="1"/>
  <c r="M185" i="30" s="1"/>
  <c r="P185" i="30" s="1"/>
  <c r="K348" i="30" l="1"/>
  <c r="J348" i="30"/>
  <c r="O347" i="30"/>
  <c r="U349" i="30"/>
  <c r="V349" i="30" s="1"/>
  <c r="T348" i="30"/>
  <c r="X348" i="30" s="1"/>
  <c r="S348" i="30"/>
  <c r="L349" i="30"/>
  <c r="K349" i="30" l="1"/>
  <c r="J349" i="30"/>
  <c r="O348" i="30"/>
  <c r="U350" i="30"/>
  <c r="V350" i="30" s="1"/>
  <c r="T349" i="30"/>
  <c r="X349" i="30" s="1"/>
  <c r="S349" i="30"/>
  <c r="N185" i="30"/>
  <c r="Q185" i="30" s="1"/>
  <c r="M186" i="30" s="1"/>
  <c r="P186" i="30" s="1"/>
  <c r="L350" i="30"/>
  <c r="J350" i="30" l="1"/>
  <c r="K350" i="30"/>
  <c r="O349" i="30"/>
  <c r="L351" i="30"/>
  <c r="U351" i="30"/>
  <c r="V351" i="30" s="1"/>
  <c r="T350" i="30"/>
  <c r="X350" i="30" s="1"/>
  <c r="S350" i="30"/>
  <c r="K351" i="30" l="1"/>
  <c r="J351" i="30"/>
  <c r="O350" i="30"/>
  <c r="N186" i="30"/>
  <c r="Q186" i="30" s="1"/>
  <c r="M187" i="30" s="1"/>
  <c r="P187" i="30" s="1"/>
  <c r="U352" i="30"/>
  <c r="V352" i="30" s="1"/>
  <c r="T351" i="30"/>
  <c r="X351" i="30" s="1"/>
  <c r="S351" i="30"/>
  <c r="L352" i="30"/>
  <c r="K352" i="30" l="1"/>
  <c r="J352" i="30"/>
  <c r="O351" i="30"/>
  <c r="N187" i="30"/>
  <c r="Q187" i="30" s="1"/>
  <c r="M188" i="30" s="1"/>
  <c r="P188" i="30" s="1"/>
  <c r="U353" i="30"/>
  <c r="V353" i="30" s="1"/>
  <c r="T352" i="30"/>
  <c r="X352" i="30" s="1"/>
  <c r="S352" i="30"/>
  <c r="L353" i="30"/>
  <c r="J353" i="30" l="1"/>
  <c r="K353" i="30"/>
  <c r="O352" i="30"/>
  <c r="L354" i="30"/>
  <c r="U354" i="30"/>
  <c r="V354" i="30" s="1"/>
  <c r="T353" i="30"/>
  <c r="X353" i="30" s="1"/>
  <c r="S353" i="30"/>
  <c r="K354" i="30" l="1"/>
  <c r="J354" i="30"/>
  <c r="O353" i="30"/>
  <c r="N188" i="30"/>
  <c r="Q188" i="30" s="1"/>
  <c r="M189" i="30" s="1"/>
  <c r="P189" i="30" s="1"/>
  <c r="U355" i="30"/>
  <c r="V355" i="30" s="1"/>
  <c r="T354" i="30"/>
  <c r="X354" i="30" s="1"/>
  <c r="S354" i="30"/>
  <c r="L355" i="30"/>
  <c r="K355" i="30" l="1"/>
  <c r="J355" i="30"/>
  <c r="O354" i="30"/>
  <c r="U356" i="30"/>
  <c r="V356" i="30" s="1"/>
  <c r="T355" i="30"/>
  <c r="X355" i="30" s="1"/>
  <c r="S355" i="30"/>
  <c r="L356" i="30"/>
  <c r="K356" i="30" l="1"/>
  <c r="J356" i="30"/>
  <c r="O355" i="30"/>
  <c r="U357" i="30"/>
  <c r="V357" i="30" s="1"/>
  <c r="T356" i="30"/>
  <c r="X356" i="30" s="1"/>
  <c r="S356" i="30"/>
  <c r="L357" i="30"/>
  <c r="N189" i="30"/>
  <c r="Q189" i="30" s="1"/>
  <c r="M190" i="30" s="1"/>
  <c r="P190" i="30" s="1"/>
  <c r="K357" i="30" l="1"/>
  <c r="J357" i="30"/>
  <c r="O356" i="30"/>
  <c r="L358" i="30"/>
  <c r="U358" i="30"/>
  <c r="V358" i="30" s="1"/>
  <c r="T357" i="30"/>
  <c r="X357" i="30" s="1"/>
  <c r="S357" i="30"/>
  <c r="J358" i="30" l="1"/>
  <c r="K358" i="30"/>
  <c r="O357" i="30"/>
  <c r="L359" i="30"/>
  <c r="U359" i="30"/>
  <c r="V359" i="30" s="1"/>
  <c r="T358" i="30"/>
  <c r="X358" i="30" s="1"/>
  <c r="S358" i="30"/>
  <c r="N190" i="30"/>
  <c r="Q190" i="30" s="1"/>
  <c r="M191" i="30" s="1"/>
  <c r="P191" i="30" s="1"/>
  <c r="K359" i="30" l="1"/>
  <c r="J359" i="30"/>
  <c r="O358" i="30"/>
  <c r="U360" i="30"/>
  <c r="V360" i="30" s="1"/>
  <c r="T359" i="30"/>
  <c r="X359" i="30" s="1"/>
  <c r="S359" i="30"/>
  <c r="L360" i="30"/>
  <c r="K360" i="30" l="1"/>
  <c r="J360" i="30"/>
  <c r="O359" i="30"/>
  <c r="U361" i="30"/>
  <c r="V361" i="30" s="1"/>
  <c r="T360" i="30"/>
  <c r="X360" i="30" s="1"/>
  <c r="S360" i="30"/>
  <c r="N191" i="30"/>
  <c r="Q191" i="30" s="1"/>
  <c r="M192" i="30" s="1"/>
  <c r="P192" i="30" s="1"/>
  <c r="L361" i="30"/>
  <c r="J361" i="30" l="1"/>
  <c r="K361" i="30"/>
  <c r="O360" i="30"/>
  <c r="L362" i="30"/>
  <c r="U362" i="30"/>
  <c r="V362" i="30" s="1"/>
  <c r="T361" i="30"/>
  <c r="X361" i="30" s="1"/>
  <c r="S361" i="30"/>
  <c r="K362" i="30" l="1"/>
  <c r="J362" i="30"/>
  <c r="O361" i="30"/>
  <c r="N192" i="30"/>
  <c r="Q192" i="30" s="1"/>
  <c r="M193" i="30" s="1"/>
  <c r="P193" i="30" s="1"/>
  <c r="U363" i="30"/>
  <c r="V363" i="30" s="1"/>
  <c r="T362" i="30"/>
  <c r="X362" i="30" s="1"/>
  <c r="S362" i="30"/>
  <c r="L363" i="30"/>
  <c r="K363" i="30" l="1"/>
  <c r="J363" i="30"/>
  <c r="O362" i="30"/>
  <c r="U364" i="30"/>
  <c r="V364" i="30" s="1"/>
  <c r="T363" i="30"/>
  <c r="X363" i="30" s="1"/>
  <c r="S363" i="30"/>
  <c r="N193" i="30"/>
  <c r="L364" i="30"/>
  <c r="K364" i="30" l="1"/>
  <c r="J364" i="30"/>
  <c r="O363" i="30"/>
  <c r="L365" i="30"/>
  <c r="Q193" i="30"/>
  <c r="M194" i="30" s="1"/>
  <c r="P194" i="30" s="1"/>
  <c r="U365" i="30"/>
  <c r="V365" i="30" s="1"/>
  <c r="T364" i="30"/>
  <c r="X364" i="30" s="1"/>
  <c r="S364" i="30"/>
  <c r="K365" i="30" l="1"/>
  <c r="J365" i="30"/>
  <c r="O364" i="30"/>
  <c r="U366" i="30"/>
  <c r="V366" i="30" s="1"/>
  <c r="T365" i="30"/>
  <c r="X365" i="30" s="1"/>
  <c r="S365" i="30"/>
  <c r="L366" i="30"/>
  <c r="K366" i="30" l="1"/>
  <c r="J366" i="30"/>
  <c r="O365" i="30"/>
  <c r="N194" i="30"/>
  <c r="Q194" i="30" s="1"/>
  <c r="M195" i="30" s="1"/>
  <c r="P195" i="30" s="1"/>
  <c r="L367" i="30"/>
  <c r="U367" i="30"/>
  <c r="V367" i="30" s="1"/>
  <c r="T366" i="30"/>
  <c r="X366" i="30" s="1"/>
  <c r="S366" i="30"/>
  <c r="K367" i="30" l="1"/>
  <c r="J367" i="30"/>
  <c r="O366" i="30"/>
  <c r="L368" i="30"/>
  <c r="U368" i="30"/>
  <c r="V368" i="30" s="1"/>
  <c r="T367" i="30"/>
  <c r="X367" i="30" s="1"/>
  <c r="S367" i="30"/>
  <c r="N195" i="30"/>
  <c r="J368" i="30" l="1"/>
  <c r="K368" i="30"/>
  <c r="O367" i="30"/>
  <c r="U369" i="30"/>
  <c r="V369" i="30" s="1"/>
  <c r="T368" i="30"/>
  <c r="X368" i="30" s="1"/>
  <c r="S368" i="30"/>
  <c r="L369" i="30"/>
  <c r="Q195" i="30"/>
  <c r="M196" i="30" s="1"/>
  <c r="P196" i="30" s="1"/>
  <c r="O368" i="30" l="1"/>
  <c r="K369" i="30"/>
  <c r="J369" i="30"/>
  <c r="L370" i="30"/>
  <c r="U370" i="30"/>
  <c r="V370" i="30" s="1"/>
  <c r="T369" i="30"/>
  <c r="X369" i="30" s="1"/>
  <c r="S369" i="30"/>
  <c r="O369" i="30" l="1"/>
  <c r="K370" i="30"/>
  <c r="J370" i="30"/>
  <c r="N196" i="30"/>
  <c r="Q196" i="30" s="1"/>
  <c r="M197" i="30" s="1"/>
  <c r="P197" i="30" s="1"/>
  <c r="L371" i="30"/>
  <c r="U371" i="30"/>
  <c r="V371" i="30" s="1"/>
  <c r="T370" i="30"/>
  <c r="X370" i="30" s="1"/>
  <c r="S370" i="30"/>
  <c r="K371" i="30" l="1"/>
  <c r="J371" i="30"/>
  <c r="O370" i="30"/>
  <c r="U372" i="30"/>
  <c r="V372" i="30" s="1"/>
  <c r="T371" i="30"/>
  <c r="X371" i="30" s="1"/>
  <c r="S371" i="30"/>
  <c r="L372" i="30"/>
  <c r="K372" i="30" l="1"/>
  <c r="J372" i="30"/>
  <c r="O371" i="30"/>
  <c r="U373" i="30"/>
  <c r="V373" i="30" s="1"/>
  <c r="T372" i="30"/>
  <c r="X372" i="30" s="1"/>
  <c r="S372" i="30"/>
  <c r="L373" i="30"/>
  <c r="N197" i="30"/>
  <c r="Q197" i="30" s="1"/>
  <c r="M198" i="30" s="1"/>
  <c r="P198" i="30" s="1"/>
  <c r="K373" i="30" l="1"/>
  <c r="J373" i="30"/>
  <c r="O372" i="30"/>
  <c r="L374" i="30"/>
  <c r="U374" i="30"/>
  <c r="V374" i="30" s="1"/>
  <c r="T373" i="30"/>
  <c r="X373" i="30" s="1"/>
  <c r="S373" i="30"/>
  <c r="N198" i="30"/>
  <c r="Q198" i="30" s="1"/>
  <c r="M199" i="30" s="1"/>
  <c r="P199" i="30" s="1"/>
  <c r="K374" i="30" l="1"/>
  <c r="J374" i="30"/>
  <c r="O373" i="30"/>
  <c r="U375" i="30"/>
  <c r="V375" i="30" s="1"/>
  <c r="T374" i="30"/>
  <c r="X374" i="30" s="1"/>
  <c r="S374" i="30"/>
  <c r="L375" i="30"/>
  <c r="K375" i="30" l="1"/>
  <c r="J375" i="30"/>
  <c r="O374" i="30"/>
  <c r="U376" i="30"/>
  <c r="V376" i="30" s="1"/>
  <c r="T375" i="30"/>
  <c r="X375" i="30" s="1"/>
  <c r="S375" i="30"/>
  <c r="N199" i="30"/>
  <c r="Q199" i="30" s="1"/>
  <c r="M200" i="30" s="1"/>
  <c r="P200" i="30" s="1"/>
  <c r="L376" i="30"/>
  <c r="J376" i="30" l="1"/>
  <c r="K376" i="30"/>
  <c r="O375" i="30"/>
  <c r="L377" i="30"/>
  <c r="U377" i="30"/>
  <c r="V377" i="30" s="1"/>
  <c r="T376" i="30"/>
  <c r="X376" i="30" s="1"/>
  <c r="S376" i="30"/>
  <c r="O376" i="30" l="1"/>
  <c r="K377" i="30"/>
  <c r="J377" i="30"/>
  <c r="L378" i="30"/>
  <c r="U378" i="30"/>
  <c r="V378" i="30" s="1"/>
  <c r="T377" i="30"/>
  <c r="X377" i="30" s="1"/>
  <c r="S377" i="30"/>
  <c r="N200" i="30"/>
  <c r="Q200" i="30" s="1"/>
  <c r="M201" i="30" s="1"/>
  <c r="P201" i="30" s="1"/>
  <c r="K378" i="30" l="1"/>
  <c r="J378" i="30"/>
  <c r="O377" i="30"/>
  <c r="U379" i="30"/>
  <c r="V379" i="30" s="1"/>
  <c r="T378" i="30"/>
  <c r="X378" i="30" s="1"/>
  <c r="S378" i="30"/>
  <c r="L379" i="30"/>
  <c r="K379" i="30" l="1"/>
  <c r="J379" i="30"/>
  <c r="O378" i="30"/>
  <c r="N201" i="30"/>
  <c r="Q201" i="30" s="1"/>
  <c r="M202" i="30" s="1"/>
  <c r="P202" i="30" s="1"/>
  <c r="U380" i="30"/>
  <c r="V380" i="30" s="1"/>
  <c r="T379" i="30"/>
  <c r="X379" i="30" s="1"/>
  <c r="S379" i="30"/>
  <c r="L380" i="30"/>
  <c r="K380" i="30" l="1"/>
  <c r="J380" i="30"/>
  <c r="O379" i="30"/>
  <c r="L381" i="30"/>
  <c r="U381" i="30"/>
  <c r="V381" i="30" s="1"/>
  <c r="T380" i="30"/>
  <c r="X380" i="30" s="1"/>
  <c r="S380" i="30"/>
  <c r="K381" i="30" l="1"/>
  <c r="J381" i="30"/>
  <c r="O380" i="30"/>
  <c r="N202" i="30"/>
  <c r="Q202" i="30" s="1"/>
  <c r="M203" i="30" s="1"/>
  <c r="P203" i="30" s="1"/>
  <c r="U382" i="30"/>
  <c r="V382" i="30" s="1"/>
  <c r="T381" i="30"/>
  <c r="X381" i="30" s="1"/>
  <c r="S381" i="30"/>
  <c r="L382" i="30"/>
  <c r="K382" i="30" l="1"/>
  <c r="J382" i="30"/>
  <c r="O381" i="30"/>
  <c r="U383" i="30"/>
  <c r="V383" i="30" s="1"/>
  <c r="T382" i="30"/>
  <c r="X382" i="30" s="1"/>
  <c r="S382" i="30"/>
  <c r="L383" i="30"/>
  <c r="K383" i="30" l="1"/>
  <c r="J383" i="30"/>
  <c r="O382" i="30"/>
  <c r="N203" i="30"/>
  <c r="Q203" i="30" s="1"/>
  <c r="M204" i="30" s="1"/>
  <c r="P204" i="30" s="1"/>
  <c r="L384" i="30"/>
  <c r="U384" i="30"/>
  <c r="V384" i="30" s="1"/>
  <c r="T383" i="30"/>
  <c r="X383" i="30" s="1"/>
  <c r="S383" i="30"/>
  <c r="J384" i="30" l="1"/>
  <c r="K384" i="30"/>
  <c r="O383" i="30"/>
  <c r="U385" i="30"/>
  <c r="V385" i="30" s="1"/>
  <c r="T384" i="30"/>
  <c r="X384" i="30" s="1"/>
  <c r="S384" i="30"/>
  <c r="L385" i="30"/>
  <c r="O384" i="30" l="1"/>
  <c r="K385" i="30"/>
  <c r="J385" i="30"/>
  <c r="U386" i="30"/>
  <c r="V386" i="30" s="1"/>
  <c r="T385" i="30"/>
  <c r="X385" i="30" s="1"/>
  <c r="S385" i="30"/>
  <c r="N204" i="30"/>
  <c r="Q204" i="30" s="1"/>
  <c r="M205" i="30" s="1"/>
  <c r="P205" i="30" s="1"/>
  <c r="L386" i="30"/>
  <c r="O385" i="30" l="1"/>
  <c r="K386" i="30"/>
  <c r="J386" i="30"/>
  <c r="L387" i="30"/>
  <c r="U387" i="30"/>
  <c r="V387" i="30" s="1"/>
  <c r="T386" i="30"/>
  <c r="X386" i="30" s="1"/>
  <c r="S386" i="30"/>
  <c r="O386" i="30" l="1"/>
  <c r="K387" i="30"/>
  <c r="J387" i="30"/>
  <c r="N205" i="30"/>
  <c r="Q205" i="30" s="1"/>
  <c r="M206" i="30" s="1"/>
  <c r="P206" i="30" s="1"/>
  <c r="U388" i="30"/>
  <c r="V388" i="30" s="1"/>
  <c r="T387" i="30"/>
  <c r="X387" i="30" s="1"/>
  <c r="S387" i="30"/>
  <c r="L388" i="30"/>
  <c r="O387" i="30" l="1"/>
  <c r="K388" i="30"/>
  <c r="J388" i="30"/>
  <c r="U389" i="30"/>
  <c r="V389" i="30" s="1"/>
  <c r="T388" i="30"/>
  <c r="X388" i="30" s="1"/>
  <c r="S388" i="30"/>
  <c r="L389" i="30"/>
  <c r="O388" i="30" l="1"/>
  <c r="K389" i="30"/>
  <c r="J389" i="30"/>
  <c r="L390" i="30"/>
  <c r="N206" i="30"/>
  <c r="Q206" i="30" s="1"/>
  <c r="M207" i="30" s="1"/>
  <c r="P207" i="30" s="1"/>
  <c r="U390" i="30"/>
  <c r="V390" i="30" s="1"/>
  <c r="T389" i="30"/>
  <c r="X389" i="30" s="1"/>
  <c r="S389" i="30"/>
  <c r="O389" i="30" l="1"/>
  <c r="K390" i="30"/>
  <c r="J390" i="30"/>
  <c r="L391" i="30"/>
  <c r="U391" i="30"/>
  <c r="V391" i="30" s="1"/>
  <c r="T390" i="30"/>
  <c r="X390" i="30" s="1"/>
  <c r="S390" i="30"/>
  <c r="O390" i="30" l="1"/>
  <c r="K391" i="30"/>
  <c r="J391" i="30"/>
  <c r="U392" i="30"/>
  <c r="V392" i="30" s="1"/>
  <c r="T391" i="30"/>
  <c r="X391" i="30" s="1"/>
  <c r="S391" i="30"/>
  <c r="L392" i="30"/>
  <c r="N207" i="30"/>
  <c r="Q207" i="30" s="1"/>
  <c r="M208" i="30" s="1"/>
  <c r="P208" i="30" s="1"/>
  <c r="O391" i="30" l="1"/>
  <c r="J392" i="30"/>
  <c r="K392" i="30"/>
  <c r="L393" i="30"/>
  <c r="U393" i="30"/>
  <c r="V393" i="30" s="1"/>
  <c r="T392" i="30"/>
  <c r="X392" i="30" s="1"/>
  <c r="S392" i="30"/>
  <c r="O392" i="30" l="1"/>
  <c r="K393" i="30"/>
  <c r="J393" i="30"/>
  <c r="L394" i="30"/>
  <c r="N208" i="30"/>
  <c r="Q208" i="30" s="1"/>
  <c r="M209" i="30" s="1"/>
  <c r="P209" i="30" s="1"/>
  <c r="U394" i="30"/>
  <c r="V394" i="30" s="1"/>
  <c r="T393" i="30"/>
  <c r="X393" i="30" s="1"/>
  <c r="S393" i="30"/>
  <c r="O393" i="30" l="1"/>
  <c r="K394" i="30"/>
  <c r="J394" i="30"/>
  <c r="L395" i="30"/>
  <c r="U395" i="30"/>
  <c r="V395" i="30" s="1"/>
  <c r="T394" i="30"/>
  <c r="X394" i="30" s="1"/>
  <c r="S394" i="30"/>
  <c r="N209" i="30"/>
  <c r="Q209" i="30" s="1"/>
  <c r="M210" i="30" s="1"/>
  <c r="P210" i="30" s="1"/>
  <c r="K395" i="30" l="1"/>
  <c r="J395" i="30"/>
  <c r="O394" i="30"/>
  <c r="U396" i="30"/>
  <c r="V396" i="30" s="1"/>
  <c r="T395" i="30"/>
  <c r="X395" i="30" s="1"/>
  <c r="S395" i="30"/>
  <c r="L396" i="30"/>
  <c r="K396" i="30" l="1"/>
  <c r="J396" i="30"/>
  <c r="O395" i="30"/>
  <c r="U397" i="30"/>
  <c r="V397" i="30" s="1"/>
  <c r="T396" i="30"/>
  <c r="X396" i="30" s="1"/>
  <c r="S396" i="30"/>
  <c r="N210" i="30"/>
  <c r="Q210" i="30" s="1"/>
  <c r="M211" i="30" s="1"/>
  <c r="P211" i="30" s="1"/>
  <c r="L397" i="30"/>
  <c r="K397" i="30" l="1"/>
  <c r="J397" i="30"/>
  <c r="O396" i="30"/>
  <c r="L398" i="30"/>
  <c r="U398" i="30"/>
  <c r="V398" i="30" s="1"/>
  <c r="T397" i="30"/>
  <c r="X397" i="30" s="1"/>
  <c r="S397" i="30"/>
  <c r="K398" i="30" l="1"/>
  <c r="J398" i="30"/>
  <c r="O397" i="30"/>
  <c r="N211" i="30"/>
  <c r="Q211" i="30" s="1"/>
  <c r="M212" i="30" s="1"/>
  <c r="P212" i="30" s="1"/>
  <c r="U399" i="30"/>
  <c r="V399" i="30" s="1"/>
  <c r="T398" i="30"/>
  <c r="X398" i="30" s="1"/>
  <c r="S398" i="30"/>
  <c r="L399" i="30"/>
  <c r="K399" i="30" l="1"/>
  <c r="J399" i="30"/>
  <c r="O398" i="30"/>
  <c r="U400" i="30"/>
  <c r="V400" i="30" s="1"/>
  <c r="T399" i="30"/>
  <c r="X399" i="30" s="1"/>
  <c r="S399" i="30"/>
  <c r="L400" i="30"/>
  <c r="J400" i="30" l="1"/>
  <c r="K400" i="30"/>
  <c r="O399" i="30"/>
  <c r="L401" i="30"/>
  <c r="N212" i="30"/>
  <c r="Q212" i="30" s="1"/>
  <c r="M213" i="30" s="1"/>
  <c r="P213" i="30" s="1"/>
  <c r="U401" i="30"/>
  <c r="V401" i="30" s="1"/>
  <c r="T400" i="30"/>
  <c r="X400" i="30" s="1"/>
  <c r="S400" i="30"/>
  <c r="K401" i="30" l="1"/>
  <c r="J401" i="30"/>
  <c r="O400" i="30"/>
  <c r="L402" i="30"/>
  <c r="U402" i="30"/>
  <c r="V402" i="30" s="1"/>
  <c r="T401" i="30"/>
  <c r="X401" i="30" s="1"/>
  <c r="S401" i="30"/>
  <c r="N213" i="30"/>
  <c r="Q213" i="30" s="1"/>
  <c r="M214" i="30" s="1"/>
  <c r="P214" i="30" s="1"/>
  <c r="K402" i="30" l="1"/>
  <c r="J402" i="30"/>
  <c r="O401" i="30"/>
  <c r="U403" i="30"/>
  <c r="V403" i="30" s="1"/>
  <c r="T402" i="30"/>
  <c r="X402" i="30" s="1"/>
  <c r="S402" i="30"/>
  <c r="L403" i="30"/>
  <c r="K403" i="30" l="1"/>
  <c r="J403" i="30"/>
  <c r="M403" i="30"/>
  <c r="P403" i="30" s="1"/>
  <c r="O402" i="30"/>
  <c r="N214" i="30"/>
  <c r="Q214" i="30" s="1"/>
  <c r="M215" i="30" s="1"/>
  <c r="P215" i="30" s="1"/>
  <c r="L404" i="30"/>
  <c r="U404" i="30"/>
  <c r="V404" i="30" s="1"/>
  <c r="T403" i="30"/>
  <c r="X403" i="30" s="1"/>
  <c r="S403" i="30"/>
  <c r="M404" i="30" l="1"/>
  <c r="P404" i="30" s="1"/>
  <c r="K404" i="30"/>
  <c r="J404" i="30"/>
  <c r="O403" i="30"/>
  <c r="U405" i="30"/>
  <c r="V405" i="30" s="1"/>
  <c r="T404" i="30"/>
  <c r="X404" i="30" s="1"/>
  <c r="S404" i="30"/>
  <c r="L405" i="30"/>
  <c r="M405" i="30" l="1"/>
  <c r="K405" i="30"/>
  <c r="J405" i="30"/>
  <c r="O404" i="30"/>
  <c r="N215" i="30"/>
  <c r="Q215" i="30" s="1"/>
  <c r="M216" i="30" s="1"/>
  <c r="P216" i="30" s="1"/>
  <c r="U406" i="30"/>
  <c r="V406" i="30" s="1"/>
  <c r="T405" i="30"/>
  <c r="X405" i="30" s="1"/>
  <c r="S405" i="30"/>
  <c r="L406" i="30"/>
  <c r="P405" i="30" l="1"/>
  <c r="M406" i="30"/>
  <c r="P406" i="30" s="1"/>
  <c r="K406" i="30"/>
  <c r="J406" i="30"/>
  <c r="O405" i="30"/>
  <c r="L407" i="30"/>
  <c r="U407" i="30"/>
  <c r="V407" i="30" s="1"/>
  <c r="T406" i="30"/>
  <c r="X406" i="30" s="1"/>
  <c r="S406" i="30"/>
  <c r="M407" i="30" l="1"/>
  <c r="P407" i="30" s="1"/>
  <c r="K407" i="30"/>
  <c r="J407" i="30"/>
  <c r="O406" i="30"/>
  <c r="U408" i="30"/>
  <c r="V408" i="30" s="1"/>
  <c r="T407" i="30"/>
  <c r="X407" i="30" s="1"/>
  <c r="S407" i="30"/>
  <c r="L408" i="30"/>
  <c r="N216" i="30"/>
  <c r="Q216" i="30" s="1"/>
  <c r="M217" i="30" s="1"/>
  <c r="P217" i="30" s="1"/>
  <c r="J408" i="30" l="1"/>
  <c r="M408" i="30"/>
  <c r="P408" i="30" s="1"/>
  <c r="K408" i="30"/>
  <c r="O407" i="30"/>
  <c r="L409" i="30"/>
  <c r="U409" i="30"/>
  <c r="V409" i="30" s="1"/>
  <c r="T408" i="30"/>
  <c r="X408" i="30" s="1"/>
  <c r="S408" i="30"/>
  <c r="M409" i="30" l="1"/>
  <c r="P409" i="30" s="1"/>
  <c r="K409" i="30"/>
  <c r="J409" i="30"/>
  <c r="O408" i="30"/>
  <c r="N217" i="30"/>
  <c r="Q217" i="30" s="1"/>
  <c r="M218" i="30" s="1"/>
  <c r="P218" i="30" s="1"/>
  <c r="L410" i="30"/>
  <c r="U410" i="30"/>
  <c r="V410" i="30" s="1"/>
  <c r="T409" i="30"/>
  <c r="X409" i="30" s="1"/>
  <c r="S409" i="30"/>
  <c r="M410" i="30" l="1"/>
  <c r="P410" i="30" s="1"/>
  <c r="K410" i="30"/>
  <c r="J410" i="30"/>
  <c r="O409" i="30"/>
  <c r="U411" i="30"/>
  <c r="V411" i="30" s="1"/>
  <c r="T410" i="30"/>
  <c r="X410" i="30" s="1"/>
  <c r="S410" i="30"/>
  <c r="L411" i="30"/>
  <c r="K411" i="30" l="1"/>
  <c r="J411" i="30"/>
  <c r="M411" i="30"/>
  <c r="P411" i="30" s="1"/>
  <c r="O410" i="30"/>
  <c r="U412" i="30"/>
  <c r="V412" i="30" s="1"/>
  <c r="T411" i="30"/>
  <c r="X411" i="30" s="1"/>
  <c r="S411" i="30"/>
  <c r="L412" i="30"/>
  <c r="N218" i="30"/>
  <c r="Q218" i="30" s="1"/>
  <c r="M219" i="30" s="1"/>
  <c r="P219" i="30" s="1"/>
  <c r="M412" i="30" l="1"/>
  <c r="P412" i="30" s="1"/>
  <c r="K412" i="30"/>
  <c r="J412" i="30"/>
  <c r="O411" i="30"/>
  <c r="N219" i="30"/>
  <c r="L413" i="30"/>
  <c r="U413" i="30"/>
  <c r="V413" i="30" s="1"/>
  <c r="T412" i="30"/>
  <c r="X412" i="30" s="1"/>
  <c r="S412" i="30"/>
  <c r="M413" i="30" l="1"/>
  <c r="P413" i="30" s="1"/>
  <c r="K413" i="30"/>
  <c r="J413" i="30"/>
  <c r="O412" i="30"/>
  <c r="L414" i="30"/>
  <c r="U414" i="30"/>
  <c r="V414" i="30" s="1"/>
  <c r="T413" i="30"/>
  <c r="X413" i="30" s="1"/>
  <c r="S413" i="30"/>
  <c r="Q219" i="30"/>
  <c r="M220" i="30" s="1"/>
  <c r="P220" i="30" s="1"/>
  <c r="M414" i="30" l="1"/>
  <c r="P414" i="30" s="1"/>
  <c r="K414" i="30"/>
  <c r="J414" i="30"/>
  <c r="O413" i="30"/>
  <c r="U415" i="30"/>
  <c r="V415" i="30" s="1"/>
  <c r="T414" i="30"/>
  <c r="X414" i="30" s="1"/>
  <c r="S414" i="30"/>
  <c r="L415" i="30"/>
  <c r="N220" i="30"/>
  <c r="M415" i="30" l="1"/>
  <c r="P415" i="30" s="1"/>
  <c r="K415" i="30"/>
  <c r="J415" i="30"/>
  <c r="O414" i="30"/>
  <c r="Q220" i="30"/>
  <c r="M221" i="30" s="1"/>
  <c r="P221" i="30" s="1"/>
  <c r="L416" i="30"/>
  <c r="U416" i="30"/>
  <c r="V416" i="30" s="1"/>
  <c r="T415" i="30"/>
  <c r="X415" i="30" s="1"/>
  <c r="S415" i="30"/>
  <c r="J416" i="30" l="1"/>
  <c r="M416" i="30"/>
  <c r="P416" i="30" s="1"/>
  <c r="K416" i="30"/>
  <c r="O415" i="30"/>
  <c r="U417" i="30"/>
  <c r="V417" i="30" s="1"/>
  <c r="T416" i="30"/>
  <c r="X416" i="30" s="1"/>
  <c r="S416" i="30"/>
  <c r="L417" i="30"/>
  <c r="O416" i="30" l="1"/>
  <c r="M417" i="30"/>
  <c r="P417" i="30" s="1"/>
  <c r="K417" i="30"/>
  <c r="J417" i="30"/>
  <c r="L418" i="30"/>
  <c r="N221" i="30"/>
  <c r="Q221" i="30" s="1"/>
  <c r="M222" i="30" s="1"/>
  <c r="P222" i="30" s="1"/>
  <c r="U418" i="30"/>
  <c r="V418" i="30" s="1"/>
  <c r="T417" i="30"/>
  <c r="X417" i="30" s="1"/>
  <c r="S417" i="30"/>
  <c r="M418" i="30" l="1"/>
  <c r="P418" i="30" s="1"/>
  <c r="K418" i="30"/>
  <c r="J418" i="30"/>
  <c r="O417" i="30"/>
  <c r="U419" i="30"/>
  <c r="V419" i="30" s="1"/>
  <c r="T418" i="30"/>
  <c r="X418" i="30" s="1"/>
  <c r="S418" i="30"/>
  <c r="L419" i="30"/>
  <c r="K419" i="30" l="1"/>
  <c r="J419" i="30"/>
  <c r="M419" i="30"/>
  <c r="P419" i="30" s="1"/>
  <c r="O418" i="30"/>
  <c r="N222" i="30"/>
  <c r="Q222" i="30" s="1"/>
  <c r="M223" i="30" s="1"/>
  <c r="P223" i="30" s="1"/>
  <c r="U420" i="30"/>
  <c r="V420" i="30" s="1"/>
  <c r="T419" i="30"/>
  <c r="X419" i="30" s="1"/>
  <c r="S419" i="30"/>
  <c r="L420" i="30"/>
  <c r="M420" i="30" l="1"/>
  <c r="P420" i="30" s="1"/>
  <c r="K420" i="30"/>
  <c r="J420" i="30"/>
  <c r="O419" i="30"/>
  <c r="L421" i="30"/>
  <c r="U421" i="30"/>
  <c r="V421" i="30" s="1"/>
  <c r="T420" i="30"/>
  <c r="X420" i="30" s="1"/>
  <c r="S420" i="30"/>
  <c r="M421" i="30" l="1"/>
  <c r="P421" i="30" s="1"/>
  <c r="K421" i="30"/>
  <c r="J421" i="30"/>
  <c r="O420" i="30"/>
  <c r="N223" i="30"/>
  <c r="Q223" i="30" s="1"/>
  <c r="M224" i="30" s="1"/>
  <c r="P224" i="30" s="1"/>
  <c r="U422" i="30"/>
  <c r="V422" i="30" s="1"/>
  <c r="T421" i="30"/>
  <c r="X421" i="30" s="1"/>
  <c r="S421" i="30"/>
  <c r="L422" i="30"/>
  <c r="M422" i="30" l="1"/>
  <c r="P422" i="30" s="1"/>
  <c r="K422" i="30"/>
  <c r="J422" i="30"/>
  <c r="O421" i="30"/>
  <c r="U423" i="30"/>
  <c r="V423" i="30" s="1"/>
  <c r="T422" i="30"/>
  <c r="X422" i="30" s="1"/>
  <c r="S422" i="30"/>
  <c r="L423" i="30"/>
  <c r="N224" i="30"/>
  <c r="Q224" i="30" s="1"/>
  <c r="M225" i="30" s="1"/>
  <c r="P225" i="30" s="1"/>
  <c r="M423" i="30" l="1"/>
  <c r="P423" i="30" s="1"/>
  <c r="K423" i="30"/>
  <c r="J423" i="30"/>
  <c r="O422" i="30"/>
  <c r="L424" i="30"/>
  <c r="U424" i="30"/>
  <c r="V424" i="30" s="1"/>
  <c r="T423" i="30"/>
  <c r="X423" i="30" s="1"/>
  <c r="S423" i="30"/>
  <c r="J424" i="30" l="1"/>
  <c r="M424" i="30"/>
  <c r="P424" i="30" s="1"/>
  <c r="K424" i="30"/>
  <c r="O423" i="30"/>
  <c r="N225" i="30"/>
  <c r="Q225" i="30" s="1"/>
  <c r="M226" i="30" s="1"/>
  <c r="P226" i="30" s="1"/>
  <c r="U425" i="30"/>
  <c r="V425" i="30" s="1"/>
  <c r="T424" i="30"/>
  <c r="X424" i="30" s="1"/>
  <c r="S424" i="30"/>
  <c r="L425" i="30"/>
  <c r="M425" i="30" l="1"/>
  <c r="P425" i="30" s="1"/>
  <c r="K425" i="30"/>
  <c r="J425" i="30"/>
  <c r="O424" i="30"/>
  <c r="U426" i="30"/>
  <c r="V426" i="30" s="1"/>
  <c r="T425" i="30"/>
  <c r="X425" i="30" s="1"/>
  <c r="S425" i="30"/>
  <c r="L426" i="30"/>
  <c r="M426" i="30" l="1"/>
  <c r="P426" i="30" s="1"/>
  <c r="K426" i="30"/>
  <c r="J426" i="30"/>
  <c r="O425" i="30"/>
  <c r="L427" i="30"/>
  <c r="N226" i="30"/>
  <c r="Q226" i="30" s="1"/>
  <c r="M227" i="30" s="1"/>
  <c r="P227" i="30" s="1"/>
  <c r="U427" i="30"/>
  <c r="V427" i="30" s="1"/>
  <c r="T426" i="30"/>
  <c r="X426" i="30" s="1"/>
  <c r="S426" i="30"/>
  <c r="K427" i="30" l="1"/>
  <c r="J427" i="30"/>
  <c r="M427" i="30"/>
  <c r="P427" i="30" s="1"/>
  <c r="O426" i="30"/>
  <c r="U428" i="30"/>
  <c r="V428" i="30" s="1"/>
  <c r="T427" i="30"/>
  <c r="X427" i="30" s="1"/>
  <c r="S427" i="30"/>
  <c r="L428" i="30"/>
  <c r="M428" i="30" l="1"/>
  <c r="P428" i="30" s="1"/>
  <c r="K428" i="30"/>
  <c r="J428" i="30"/>
  <c r="O427" i="30"/>
  <c r="N227" i="30"/>
  <c r="Q227" i="30" s="1"/>
  <c r="M228" i="30" s="1"/>
  <c r="P228" i="30" s="1"/>
  <c r="L429" i="30"/>
  <c r="U429" i="30"/>
  <c r="V429" i="30" s="1"/>
  <c r="T428" i="30"/>
  <c r="X428" i="30" s="1"/>
  <c r="S428" i="30"/>
  <c r="M429" i="30" l="1"/>
  <c r="P429" i="30" s="1"/>
  <c r="K429" i="30"/>
  <c r="J429" i="30"/>
  <c r="O428" i="30"/>
  <c r="U430" i="30"/>
  <c r="V430" i="30" s="1"/>
  <c r="T429" i="30"/>
  <c r="X429" i="30" s="1"/>
  <c r="S429" i="30"/>
  <c r="L430" i="30"/>
  <c r="M430" i="30" l="1"/>
  <c r="P430" i="30" s="1"/>
  <c r="K430" i="30"/>
  <c r="J430" i="30"/>
  <c r="O429" i="30"/>
  <c r="N228" i="30"/>
  <c r="Q228" i="30" s="1"/>
  <c r="M229" i="30" s="1"/>
  <c r="P229" i="30" s="1"/>
  <c r="L431" i="30"/>
  <c r="U431" i="30"/>
  <c r="V431" i="30" s="1"/>
  <c r="T430" i="30"/>
  <c r="X430" i="30" s="1"/>
  <c r="S430" i="30"/>
  <c r="M431" i="30" l="1"/>
  <c r="K431" i="30"/>
  <c r="J431" i="30"/>
  <c r="O430" i="30"/>
  <c r="U432" i="30"/>
  <c r="V432" i="30" s="1"/>
  <c r="T431" i="30"/>
  <c r="X431" i="30" s="1"/>
  <c r="S431" i="30"/>
  <c r="L432" i="30"/>
  <c r="P431" i="30" l="1"/>
  <c r="J432" i="30"/>
  <c r="M432" i="30"/>
  <c r="P432" i="30" s="1"/>
  <c r="K432" i="30"/>
  <c r="O431" i="30"/>
  <c r="L433" i="30"/>
  <c r="N229" i="30"/>
  <c r="Q229" i="30" s="1"/>
  <c r="M230" i="30" s="1"/>
  <c r="P230" i="30" s="1"/>
  <c r="U433" i="30"/>
  <c r="V433" i="30" s="1"/>
  <c r="T432" i="30"/>
  <c r="X432" i="30" s="1"/>
  <c r="S432" i="30"/>
  <c r="M433" i="30" l="1"/>
  <c r="P433" i="30" s="1"/>
  <c r="K433" i="30"/>
  <c r="J433" i="30"/>
  <c r="O432" i="30"/>
  <c r="U434" i="30"/>
  <c r="V434" i="30" s="1"/>
  <c r="T433" i="30"/>
  <c r="X433" i="30" s="1"/>
  <c r="S433" i="30"/>
  <c r="L434" i="30"/>
  <c r="M434" i="30" l="1"/>
  <c r="P434" i="30" s="1"/>
  <c r="K434" i="30"/>
  <c r="J434" i="30"/>
  <c r="O433" i="30"/>
  <c r="N230" i="30"/>
  <c r="Q230" i="30" s="1"/>
  <c r="M231" i="30" s="1"/>
  <c r="P231" i="30" s="1"/>
  <c r="L435" i="30"/>
  <c r="U435" i="30"/>
  <c r="V435" i="30" s="1"/>
  <c r="T434" i="30"/>
  <c r="X434" i="30" s="1"/>
  <c r="S434" i="30"/>
  <c r="K435" i="30" l="1"/>
  <c r="J435" i="30"/>
  <c r="M435" i="30"/>
  <c r="P435" i="30" s="1"/>
  <c r="O434" i="30"/>
  <c r="L436" i="30"/>
  <c r="U436" i="30"/>
  <c r="V436" i="30" s="1"/>
  <c r="T435" i="30"/>
  <c r="X435" i="30" s="1"/>
  <c r="S435" i="30"/>
  <c r="M436" i="30" l="1"/>
  <c r="K436" i="30"/>
  <c r="J436" i="30"/>
  <c r="O435" i="30"/>
  <c r="N231" i="30"/>
  <c r="Q231" i="30" s="1"/>
  <c r="M232" i="30" s="1"/>
  <c r="P232" i="30" s="1"/>
  <c r="U437" i="30"/>
  <c r="V437" i="30" s="1"/>
  <c r="T436" i="30"/>
  <c r="X436" i="30" s="1"/>
  <c r="S436" i="30"/>
  <c r="L437" i="30"/>
  <c r="P436" i="30" l="1"/>
  <c r="M437" i="30"/>
  <c r="P437" i="30" s="1"/>
  <c r="K437" i="30"/>
  <c r="J437" i="30"/>
  <c r="O436" i="30"/>
  <c r="U438" i="30"/>
  <c r="V438" i="30" s="1"/>
  <c r="T437" i="30"/>
  <c r="X437" i="30" s="1"/>
  <c r="S437" i="30"/>
  <c r="L438" i="30"/>
  <c r="M438" i="30" l="1"/>
  <c r="P438" i="30" s="1"/>
  <c r="K438" i="30"/>
  <c r="J438" i="30"/>
  <c r="O437" i="30"/>
  <c r="U439" i="30"/>
  <c r="V439" i="30" s="1"/>
  <c r="T438" i="30"/>
  <c r="X438" i="30" s="1"/>
  <c r="S438" i="30"/>
  <c r="L439" i="30"/>
  <c r="N232" i="30"/>
  <c r="Q232" i="30" s="1"/>
  <c r="M233" i="30" s="1"/>
  <c r="P233" i="30" s="1"/>
  <c r="M439" i="30" l="1"/>
  <c r="K439" i="30"/>
  <c r="J439" i="30"/>
  <c r="O438" i="30"/>
  <c r="L440" i="30"/>
  <c r="U440" i="30"/>
  <c r="V440" i="30" s="1"/>
  <c r="T439" i="30"/>
  <c r="X439" i="30" s="1"/>
  <c r="S439" i="30"/>
  <c r="P439" i="30" l="1"/>
  <c r="J440" i="30"/>
  <c r="M440" i="30"/>
  <c r="P440" i="30" s="1"/>
  <c r="K440" i="30"/>
  <c r="O439" i="30"/>
  <c r="L441" i="30"/>
  <c r="N233" i="30"/>
  <c r="Q233" i="30" s="1"/>
  <c r="M234" i="30" s="1"/>
  <c r="P234" i="30" s="1"/>
  <c r="U441" i="30"/>
  <c r="V441" i="30" s="1"/>
  <c r="T440" i="30"/>
  <c r="X440" i="30" s="1"/>
  <c r="S440" i="30"/>
  <c r="O440" i="30" l="1"/>
  <c r="M441" i="30"/>
  <c r="P441" i="30" s="1"/>
  <c r="K441" i="30"/>
  <c r="J441" i="30"/>
  <c r="L442" i="30"/>
  <c r="N234" i="30"/>
  <c r="U442" i="30"/>
  <c r="V442" i="30" s="1"/>
  <c r="T441" i="30"/>
  <c r="X441" i="30" s="1"/>
  <c r="S441" i="30"/>
  <c r="M442" i="30" l="1"/>
  <c r="P442" i="30" s="1"/>
  <c r="K442" i="30"/>
  <c r="J442" i="30"/>
  <c r="O441" i="30"/>
  <c r="U443" i="30"/>
  <c r="V443" i="30" s="1"/>
  <c r="T442" i="30"/>
  <c r="X442" i="30" s="1"/>
  <c r="S442" i="30"/>
  <c r="Q234" i="30"/>
  <c r="M235" i="30" s="1"/>
  <c r="P235" i="30" s="1"/>
  <c r="L443" i="30"/>
  <c r="K443" i="30" l="1"/>
  <c r="J443" i="30"/>
  <c r="M443" i="30"/>
  <c r="P443" i="30" s="1"/>
  <c r="O442" i="30"/>
  <c r="L444" i="30"/>
  <c r="U444" i="30"/>
  <c r="V444" i="30" s="1"/>
  <c r="T443" i="30"/>
  <c r="X443" i="30" s="1"/>
  <c r="S443" i="30"/>
  <c r="M444" i="30" l="1"/>
  <c r="P444" i="30" s="1"/>
  <c r="K444" i="30"/>
  <c r="J444" i="30"/>
  <c r="O443" i="30"/>
  <c r="N235" i="30"/>
  <c r="Q235" i="30" s="1"/>
  <c r="M236" i="30" s="1"/>
  <c r="P236" i="30" s="1"/>
  <c r="U445" i="30"/>
  <c r="V445" i="30" s="1"/>
  <c r="T444" i="30"/>
  <c r="X444" i="30" s="1"/>
  <c r="S444" i="30"/>
  <c r="L445" i="30"/>
  <c r="M445" i="30" l="1"/>
  <c r="K445" i="30"/>
  <c r="J445" i="30"/>
  <c r="O444" i="30"/>
  <c r="U446" i="30"/>
  <c r="V446" i="30" s="1"/>
  <c r="T445" i="30"/>
  <c r="X445" i="30" s="1"/>
  <c r="S445" i="30"/>
  <c r="L446" i="30"/>
  <c r="N236" i="30"/>
  <c r="Q236" i="30" s="1"/>
  <c r="M237" i="30" s="1"/>
  <c r="P237" i="30" s="1"/>
  <c r="P445" i="30" l="1"/>
  <c r="M446" i="30"/>
  <c r="P446" i="30" s="1"/>
  <c r="K446" i="30"/>
  <c r="J446" i="30"/>
  <c r="O445" i="30"/>
  <c r="L447" i="30"/>
  <c r="N237" i="30"/>
  <c r="U447" i="30"/>
  <c r="V447" i="30" s="1"/>
  <c r="T446" i="30"/>
  <c r="X446" i="30" s="1"/>
  <c r="S446" i="30"/>
  <c r="M447" i="30" l="1"/>
  <c r="K447" i="30"/>
  <c r="J447" i="30"/>
  <c r="O446" i="30"/>
  <c r="Q237" i="30"/>
  <c r="M238" i="30" s="1"/>
  <c r="P238" i="30" s="1"/>
  <c r="L448" i="30"/>
  <c r="U448" i="30"/>
  <c r="V448" i="30" s="1"/>
  <c r="T447" i="30"/>
  <c r="X447" i="30" s="1"/>
  <c r="S447" i="30"/>
  <c r="P447" i="30" l="1"/>
  <c r="J448" i="30"/>
  <c r="M448" i="30"/>
  <c r="P448" i="30" s="1"/>
  <c r="K448" i="30"/>
  <c r="O447" i="30"/>
  <c r="U449" i="30"/>
  <c r="V449" i="30" s="1"/>
  <c r="T448" i="30"/>
  <c r="X448" i="30" s="1"/>
  <c r="S448" i="30"/>
  <c r="L449" i="30"/>
  <c r="O448" i="30" l="1"/>
  <c r="M449" i="30"/>
  <c r="P449" i="30" s="1"/>
  <c r="K449" i="30"/>
  <c r="J449" i="30"/>
  <c r="U450" i="30"/>
  <c r="V450" i="30" s="1"/>
  <c r="T449" i="30"/>
  <c r="X449" i="30" s="1"/>
  <c r="S449" i="30"/>
  <c r="L450" i="30"/>
  <c r="N238" i="30"/>
  <c r="Q238" i="30" s="1"/>
  <c r="M239" i="30" s="1"/>
  <c r="P239" i="30" s="1"/>
  <c r="O449" i="30" l="1"/>
  <c r="M450" i="30"/>
  <c r="P450" i="30" s="1"/>
  <c r="K450" i="30"/>
  <c r="J450" i="30"/>
  <c r="L451" i="30"/>
  <c r="U451" i="30"/>
  <c r="V451" i="30" s="1"/>
  <c r="T450" i="30"/>
  <c r="X450" i="30" s="1"/>
  <c r="S450" i="30"/>
  <c r="K451" i="30" l="1"/>
  <c r="J451" i="30"/>
  <c r="M451" i="30"/>
  <c r="P451" i="30" s="1"/>
  <c r="O450" i="30"/>
  <c r="L452" i="30"/>
  <c r="N239" i="30"/>
  <c r="Q239" i="30" s="1"/>
  <c r="M240" i="30" s="1"/>
  <c r="P240" i="30" s="1"/>
  <c r="U452" i="30"/>
  <c r="V452" i="30" s="1"/>
  <c r="T451" i="30"/>
  <c r="X451" i="30" s="1"/>
  <c r="S451" i="30"/>
  <c r="M452" i="30" l="1"/>
  <c r="P452" i="30" s="1"/>
  <c r="K452" i="30"/>
  <c r="J452" i="30"/>
  <c r="O451" i="30"/>
  <c r="U453" i="30"/>
  <c r="V453" i="30" s="1"/>
  <c r="T452" i="30"/>
  <c r="X452" i="30" s="1"/>
  <c r="S452" i="30"/>
  <c r="L453" i="30"/>
  <c r="M453" i="30" l="1"/>
  <c r="P453" i="30" s="1"/>
  <c r="K453" i="30"/>
  <c r="J453" i="30"/>
  <c r="O452" i="30"/>
  <c r="N240" i="30"/>
  <c r="Q240" i="30" s="1"/>
  <c r="M241" i="30" s="1"/>
  <c r="P241" i="30" s="1"/>
  <c r="L454" i="30"/>
  <c r="U454" i="30"/>
  <c r="V454" i="30" s="1"/>
  <c r="T453" i="30"/>
  <c r="X453" i="30" s="1"/>
  <c r="S453" i="30"/>
  <c r="M454" i="30" l="1"/>
  <c r="K454" i="30"/>
  <c r="J454" i="30"/>
  <c r="O453" i="30"/>
  <c r="U455" i="30"/>
  <c r="V455" i="30" s="1"/>
  <c r="T454" i="30"/>
  <c r="X454" i="30" s="1"/>
  <c r="S454" i="30"/>
  <c r="L455" i="30"/>
  <c r="P454" i="30" l="1"/>
  <c r="M455" i="30"/>
  <c r="P455" i="30" s="1"/>
  <c r="K455" i="30"/>
  <c r="J455" i="30"/>
  <c r="O454" i="30"/>
  <c r="U456" i="30"/>
  <c r="V456" i="30" s="1"/>
  <c r="T455" i="30"/>
  <c r="X455" i="30" s="1"/>
  <c r="S455" i="30"/>
  <c r="L456" i="30"/>
  <c r="N241" i="30"/>
  <c r="Q241" i="30" s="1"/>
  <c r="M242" i="30" s="1"/>
  <c r="P242" i="30" s="1"/>
  <c r="J456" i="30" l="1"/>
  <c r="M456" i="30"/>
  <c r="P456" i="30" s="1"/>
  <c r="K456" i="30"/>
  <c r="O455" i="30"/>
  <c r="L457" i="30"/>
  <c r="U457" i="30"/>
  <c r="V457" i="30" s="1"/>
  <c r="T456" i="30"/>
  <c r="X456" i="30" s="1"/>
  <c r="S456" i="30"/>
  <c r="O456" i="30" l="1"/>
  <c r="M457" i="30"/>
  <c r="P457" i="30" s="1"/>
  <c r="K457" i="30"/>
  <c r="J457" i="30"/>
  <c r="N242" i="30"/>
  <c r="Q242" i="30" s="1"/>
  <c r="M243" i="30" s="1"/>
  <c r="P243" i="30" s="1"/>
  <c r="L458" i="30"/>
  <c r="U458" i="30"/>
  <c r="V458" i="30" s="1"/>
  <c r="T457" i="30"/>
  <c r="X457" i="30" s="1"/>
  <c r="S457" i="30"/>
  <c r="M458" i="30" l="1"/>
  <c r="P458" i="30" s="1"/>
  <c r="K458" i="30"/>
  <c r="J458" i="30"/>
  <c r="O457" i="30"/>
  <c r="U459" i="30"/>
  <c r="V459" i="30" s="1"/>
  <c r="T458" i="30"/>
  <c r="X458" i="30" s="1"/>
  <c r="S458" i="30"/>
  <c r="L459" i="30"/>
  <c r="K459" i="30" l="1"/>
  <c r="J459" i="30"/>
  <c r="M459" i="30"/>
  <c r="P459" i="30" s="1"/>
  <c r="O458" i="30"/>
  <c r="N243" i="30"/>
  <c r="Q243" i="30" s="1"/>
  <c r="M244" i="30" s="1"/>
  <c r="P244" i="30" s="1"/>
  <c r="L460" i="30"/>
  <c r="U460" i="30"/>
  <c r="V460" i="30" s="1"/>
  <c r="T459" i="30"/>
  <c r="X459" i="30" s="1"/>
  <c r="S459" i="30"/>
  <c r="M460" i="30" l="1"/>
  <c r="K460" i="30"/>
  <c r="J460" i="30"/>
  <c r="O459" i="30"/>
  <c r="L461" i="30"/>
  <c r="U461" i="30"/>
  <c r="V461" i="30" s="1"/>
  <c r="T460" i="30"/>
  <c r="X460" i="30" s="1"/>
  <c r="S460" i="30"/>
  <c r="P460" i="30" l="1"/>
  <c r="M461" i="30"/>
  <c r="P461" i="30" s="1"/>
  <c r="K461" i="30"/>
  <c r="J461" i="30"/>
  <c r="O460" i="30"/>
  <c r="U462" i="30"/>
  <c r="V462" i="30" s="1"/>
  <c r="T461" i="30"/>
  <c r="X461" i="30" s="1"/>
  <c r="S461" i="30"/>
  <c r="N244" i="30"/>
  <c r="Q244" i="30" s="1"/>
  <c r="M245" i="30" s="1"/>
  <c r="P245" i="30" s="1"/>
  <c r="L462" i="30"/>
  <c r="O461" i="30" l="1"/>
  <c r="M462" i="30"/>
  <c r="P462" i="30" s="1"/>
  <c r="K462" i="30"/>
  <c r="J462" i="30"/>
  <c r="U463" i="30"/>
  <c r="V463" i="30" s="1"/>
  <c r="T462" i="30"/>
  <c r="X462" i="30" s="1"/>
  <c r="S462" i="30"/>
  <c r="L463" i="30"/>
  <c r="O462" i="30" l="1"/>
  <c r="M463" i="30"/>
  <c r="P463" i="30" s="1"/>
  <c r="K463" i="30"/>
  <c r="J463" i="30"/>
  <c r="L464" i="30"/>
  <c r="N245" i="30"/>
  <c r="Q245" i="30" s="1"/>
  <c r="M246" i="30" s="1"/>
  <c r="P246" i="30" s="1"/>
  <c r="U464" i="30"/>
  <c r="V464" i="30" s="1"/>
  <c r="T463" i="30"/>
  <c r="X463" i="30" s="1"/>
  <c r="S463" i="30"/>
  <c r="J464" i="30" l="1"/>
  <c r="M464" i="30"/>
  <c r="P464" i="30" s="1"/>
  <c r="K464" i="30"/>
  <c r="O463" i="30"/>
  <c r="U465" i="30"/>
  <c r="V465" i="30" s="1"/>
  <c r="T464" i="30"/>
  <c r="X464" i="30" s="1"/>
  <c r="S464" i="30"/>
  <c r="L465" i="30"/>
  <c r="O464" i="30" l="1"/>
  <c r="M465" i="30"/>
  <c r="P465" i="30" s="1"/>
  <c r="K465" i="30"/>
  <c r="J465" i="30"/>
  <c r="N246" i="30"/>
  <c r="Q246" i="30" s="1"/>
  <c r="M247" i="30" s="1"/>
  <c r="P247" i="30" s="1"/>
  <c r="U466" i="30"/>
  <c r="V466" i="30" s="1"/>
  <c r="T465" i="30"/>
  <c r="X465" i="30" s="1"/>
  <c r="S465" i="30"/>
  <c r="L466" i="30"/>
  <c r="O465" i="30" l="1"/>
  <c r="M466" i="30"/>
  <c r="P466" i="30" s="1"/>
  <c r="K466" i="30"/>
  <c r="J466" i="30"/>
  <c r="L467" i="30"/>
  <c r="U467" i="30"/>
  <c r="V467" i="30" s="1"/>
  <c r="T466" i="30"/>
  <c r="X466" i="30" s="1"/>
  <c r="S466" i="30"/>
  <c r="K467" i="30" l="1"/>
  <c r="J467" i="30"/>
  <c r="M467" i="30"/>
  <c r="P467" i="30" s="1"/>
  <c r="O466" i="30"/>
  <c r="N247" i="30"/>
  <c r="Q247" i="30" s="1"/>
  <c r="M248" i="30" s="1"/>
  <c r="P248" i="30" s="1"/>
  <c r="U468" i="30"/>
  <c r="V468" i="30" s="1"/>
  <c r="T467" i="30"/>
  <c r="X467" i="30" s="1"/>
  <c r="S467" i="30"/>
  <c r="L468" i="30"/>
  <c r="M468" i="30" l="1"/>
  <c r="P468" i="30" s="1"/>
  <c r="K468" i="30"/>
  <c r="J468" i="30"/>
  <c r="O467" i="30"/>
  <c r="L469" i="30"/>
  <c r="U469" i="30"/>
  <c r="V469" i="30" s="1"/>
  <c r="T468" i="30"/>
  <c r="X468" i="30" s="1"/>
  <c r="S468" i="30"/>
  <c r="O468" i="30" l="1"/>
  <c r="M469" i="30"/>
  <c r="P469" i="30" s="1"/>
  <c r="K469" i="30"/>
  <c r="J469" i="30"/>
  <c r="L470" i="30"/>
  <c r="N248" i="30"/>
  <c r="Q248" i="30" s="1"/>
  <c r="M249" i="30" s="1"/>
  <c r="P249" i="30" s="1"/>
  <c r="U470" i="30"/>
  <c r="V470" i="30" s="1"/>
  <c r="T469" i="30"/>
  <c r="X469" i="30" s="1"/>
  <c r="S469" i="30"/>
  <c r="M470" i="30" l="1"/>
  <c r="P470" i="30" s="1"/>
  <c r="K470" i="30"/>
  <c r="J470" i="30"/>
  <c r="O469" i="30"/>
  <c r="U471" i="30"/>
  <c r="V471" i="30" s="1"/>
  <c r="T470" i="30"/>
  <c r="X470" i="30" s="1"/>
  <c r="S470" i="30"/>
  <c r="L471" i="30"/>
  <c r="M471" i="30" l="1"/>
  <c r="P471" i="30" s="1"/>
  <c r="K471" i="30"/>
  <c r="J471" i="30"/>
  <c r="O470" i="30"/>
  <c r="U472" i="30"/>
  <c r="V472" i="30" s="1"/>
  <c r="T471" i="30"/>
  <c r="X471" i="30" s="1"/>
  <c r="S471" i="30"/>
  <c r="L472" i="30"/>
  <c r="N249" i="30"/>
  <c r="Q249" i="30" s="1"/>
  <c r="M250" i="30" s="1"/>
  <c r="P250" i="30" s="1"/>
  <c r="O471" i="30" l="1"/>
  <c r="J472" i="30"/>
  <c r="M472" i="30"/>
  <c r="P472" i="30" s="1"/>
  <c r="K472" i="30"/>
  <c r="U473" i="30"/>
  <c r="V473" i="30" s="1"/>
  <c r="T472" i="30"/>
  <c r="X472" i="30" s="1"/>
  <c r="S472" i="30"/>
  <c r="L473" i="30"/>
  <c r="N250" i="30"/>
  <c r="Q250" i="30" s="1"/>
  <c r="M251" i="30" s="1"/>
  <c r="P251" i="30" s="1"/>
  <c r="O472" i="30" l="1"/>
  <c r="M473" i="30"/>
  <c r="P473" i="30" s="1"/>
  <c r="K473" i="30"/>
  <c r="J473" i="30"/>
  <c r="L474" i="30"/>
  <c r="N251" i="30"/>
  <c r="U474" i="30"/>
  <c r="V474" i="30" s="1"/>
  <c r="T473" i="30"/>
  <c r="X473" i="30" s="1"/>
  <c r="S473" i="30"/>
  <c r="M474" i="30" l="1"/>
  <c r="P474" i="30" s="1"/>
  <c r="K474" i="30"/>
  <c r="J474" i="30"/>
  <c r="O473" i="30"/>
  <c r="L475" i="30"/>
  <c r="Q251" i="30"/>
  <c r="M252" i="30" s="1"/>
  <c r="P252" i="30" s="1"/>
  <c r="U475" i="30"/>
  <c r="V475" i="30" s="1"/>
  <c r="T474" i="30"/>
  <c r="X474" i="30" s="1"/>
  <c r="S474" i="30"/>
  <c r="K475" i="30" l="1"/>
  <c r="J475" i="30"/>
  <c r="M475" i="30"/>
  <c r="P475" i="30" s="1"/>
  <c r="O474" i="30"/>
  <c r="U476" i="30"/>
  <c r="V476" i="30" s="1"/>
  <c r="T475" i="30"/>
  <c r="X475" i="30" s="1"/>
  <c r="S475" i="30"/>
  <c r="L476" i="30"/>
  <c r="M476" i="30" l="1"/>
  <c r="P476" i="30" s="1"/>
  <c r="K476" i="30"/>
  <c r="J476" i="30"/>
  <c r="O475" i="30"/>
  <c r="N252" i="30"/>
  <c r="Q252" i="30" s="1"/>
  <c r="M253" i="30" s="1"/>
  <c r="P253" i="30" s="1"/>
  <c r="L477" i="30"/>
  <c r="U477" i="30"/>
  <c r="V477" i="30" s="1"/>
  <c r="T476" i="30"/>
  <c r="X476" i="30" s="1"/>
  <c r="S476" i="30"/>
  <c r="M477" i="30" l="1"/>
  <c r="P477" i="30" s="1"/>
  <c r="K477" i="30"/>
  <c r="J477" i="30"/>
  <c r="O476" i="30"/>
  <c r="L478" i="30"/>
  <c r="U478" i="30"/>
  <c r="V478" i="30" s="1"/>
  <c r="T477" i="30"/>
  <c r="X477" i="30" s="1"/>
  <c r="S477" i="30"/>
  <c r="M478" i="30" l="1"/>
  <c r="P478" i="30" s="1"/>
  <c r="K478" i="30"/>
  <c r="J478" i="30"/>
  <c r="O477" i="30"/>
  <c r="U479" i="30"/>
  <c r="V479" i="30" s="1"/>
  <c r="T478" i="30"/>
  <c r="X478" i="30" s="1"/>
  <c r="S478" i="30"/>
  <c r="N253" i="30"/>
  <c r="Q253" i="30" s="1"/>
  <c r="M254" i="30" s="1"/>
  <c r="P254" i="30" s="1"/>
  <c r="L479" i="30"/>
  <c r="O478" i="30" l="1"/>
  <c r="M479" i="30"/>
  <c r="P479" i="30" s="1"/>
  <c r="K479" i="30"/>
  <c r="J479" i="30"/>
  <c r="U480" i="30"/>
  <c r="V480" i="30" s="1"/>
  <c r="T479" i="30"/>
  <c r="X479" i="30" s="1"/>
  <c r="S479" i="30"/>
  <c r="L480" i="30"/>
  <c r="O479" i="30" l="1"/>
  <c r="J480" i="30"/>
  <c r="M480" i="30"/>
  <c r="P480" i="30" s="1"/>
  <c r="K480" i="30"/>
  <c r="L481" i="30"/>
  <c r="U481" i="30"/>
  <c r="V481" i="30" s="1"/>
  <c r="T480" i="30"/>
  <c r="X480" i="30" s="1"/>
  <c r="S480" i="30"/>
  <c r="N254" i="30"/>
  <c r="Q254" i="30" s="1"/>
  <c r="M255" i="30" s="1"/>
  <c r="P255" i="30" s="1"/>
  <c r="M481" i="30" l="1"/>
  <c r="P481" i="30" s="1"/>
  <c r="K481" i="30"/>
  <c r="J481" i="30"/>
  <c r="O480" i="30"/>
  <c r="U482" i="30"/>
  <c r="V482" i="30" s="1"/>
  <c r="T481" i="30"/>
  <c r="X481" i="30" s="1"/>
  <c r="S481" i="30"/>
  <c r="L482" i="30"/>
  <c r="M482" i="30" l="1"/>
  <c r="P482" i="30" s="1"/>
  <c r="K482" i="30"/>
  <c r="J482" i="30"/>
  <c r="O481" i="30"/>
  <c r="N255" i="30"/>
  <c r="Q255" i="30" s="1"/>
  <c r="M256" i="30" s="1"/>
  <c r="P256" i="30" s="1"/>
  <c r="U483" i="30"/>
  <c r="V483" i="30" s="1"/>
  <c r="T482" i="30"/>
  <c r="X482" i="30" s="1"/>
  <c r="S482" i="30"/>
  <c r="L483" i="30"/>
  <c r="K483" i="30" l="1"/>
  <c r="J483" i="30"/>
  <c r="M483" i="30"/>
  <c r="P483" i="30" s="1"/>
  <c r="O482" i="30"/>
  <c r="L484" i="30"/>
  <c r="U484" i="30"/>
  <c r="V484" i="30" s="1"/>
  <c r="T483" i="30"/>
  <c r="X483" i="30" s="1"/>
  <c r="S483" i="30"/>
  <c r="M484" i="30" l="1"/>
  <c r="P484" i="30" s="1"/>
  <c r="K484" i="30"/>
  <c r="J484" i="30"/>
  <c r="O483" i="30"/>
  <c r="U485" i="30"/>
  <c r="V485" i="30" s="1"/>
  <c r="T484" i="30"/>
  <c r="X484" i="30" s="1"/>
  <c r="S484" i="30"/>
  <c r="L485" i="30"/>
  <c r="N256" i="30"/>
  <c r="Q256" i="30" s="1"/>
  <c r="M257" i="30" s="1"/>
  <c r="P257" i="30" s="1"/>
  <c r="M485" i="30" l="1"/>
  <c r="P485" i="30" s="1"/>
  <c r="K485" i="30"/>
  <c r="J485" i="30"/>
  <c r="O484" i="30"/>
  <c r="L486" i="30"/>
  <c r="U486" i="30"/>
  <c r="V486" i="30" s="1"/>
  <c r="T485" i="30"/>
  <c r="X485" i="30" s="1"/>
  <c r="S485" i="30"/>
  <c r="M486" i="30" l="1"/>
  <c r="P486" i="30" s="1"/>
  <c r="K486" i="30"/>
  <c r="J486" i="30"/>
  <c r="O485" i="30"/>
  <c r="L487" i="30"/>
  <c r="U487" i="30"/>
  <c r="V487" i="30" s="1"/>
  <c r="T486" i="30"/>
  <c r="X486" i="30" s="1"/>
  <c r="S486" i="30"/>
  <c r="N257" i="30"/>
  <c r="Q257" i="30" s="1"/>
  <c r="M258" i="30" s="1"/>
  <c r="P258" i="30" s="1"/>
  <c r="M487" i="30" l="1"/>
  <c r="P487" i="30" s="1"/>
  <c r="K487" i="30"/>
  <c r="J487" i="30"/>
  <c r="O486" i="30"/>
  <c r="U488" i="30"/>
  <c r="V488" i="30" s="1"/>
  <c r="T487" i="30"/>
  <c r="X487" i="30" s="1"/>
  <c r="S487" i="30"/>
  <c r="L488" i="30"/>
  <c r="J488" i="30" l="1"/>
  <c r="M488" i="30"/>
  <c r="P488" i="30" s="1"/>
  <c r="K488" i="30"/>
  <c r="O487" i="30"/>
  <c r="U489" i="30"/>
  <c r="V489" i="30" s="1"/>
  <c r="T488" i="30"/>
  <c r="X488" i="30" s="1"/>
  <c r="S488" i="30"/>
  <c r="N258" i="30"/>
  <c r="Q258" i="30" s="1"/>
  <c r="M259" i="30" s="1"/>
  <c r="P259" i="30" s="1"/>
  <c r="L489" i="30"/>
  <c r="M489" i="30" l="1"/>
  <c r="P489" i="30" s="1"/>
  <c r="K489" i="30"/>
  <c r="J489" i="30"/>
  <c r="O488" i="30"/>
  <c r="L490" i="30"/>
  <c r="N259" i="30"/>
  <c r="U490" i="30"/>
  <c r="V490" i="30" s="1"/>
  <c r="T489" i="30"/>
  <c r="X489" i="30" s="1"/>
  <c r="S489" i="30"/>
  <c r="O489" i="30" l="1"/>
  <c r="M490" i="30"/>
  <c r="P490" i="30" s="1"/>
  <c r="K490" i="30"/>
  <c r="J490" i="30"/>
  <c r="Q259" i="30"/>
  <c r="M260" i="30" s="1"/>
  <c r="P260" i="30" s="1"/>
  <c r="U491" i="30"/>
  <c r="V491" i="30" s="1"/>
  <c r="T490" i="30"/>
  <c r="X490" i="30" s="1"/>
  <c r="S490" i="30"/>
  <c r="L491" i="30"/>
  <c r="O490" i="30" l="1"/>
  <c r="K491" i="30"/>
  <c r="J491" i="30"/>
  <c r="M491" i="30"/>
  <c r="P491" i="30" s="1"/>
  <c r="L492" i="30"/>
  <c r="U492" i="30"/>
  <c r="V492" i="30" s="1"/>
  <c r="T491" i="30"/>
  <c r="X491" i="30" s="1"/>
  <c r="S491" i="30"/>
  <c r="M492" i="30" l="1"/>
  <c r="P492" i="30" s="1"/>
  <c r="K492" i="30"/>
  <c r="J492" i="30"/>
  <c r="O491" i="30"/>
  <c r="U493" i="30"/>
  <c r="V493" i="30" s="1"/>
  <c r="T492" i="30"/>
  <c r="X492" i="30" s="1"/>
  <c r="S492" i="30"/>
  <c r="N260" i="30"/>
  <c r="Q260" i="30" s="1"/>
  <c r="M261" i="30" s="1"/>
  <c r="P261" i="30" s="1"/>
  <c r="L493" i="30"/>
  <c r="M493" i="30" l="1"/>
  <c r="P493" i="30" s="1"/>
  <c r="K493" i="30"/>
  <c r="J493" i="30"/>
  <c r="O492" i="30"/>
  <c r="U494" i="30"/>
  <c r="V494" i="30" s="1"/>
  <c r="T493" i="30"/>
  <c r="X493" i="30" s="1"/>
  <c r="S493" i="30"/>
  <c r="L494" i="30"/>
  <c r="M494" i="30" l="1"/>
  <c r="P494" i="30" s="1"/>
  <c r="K494" i="30"/>
  <c r="J494" i="30"/>
  <c r="O493" i="30"/>
  <c r="L495" i="30"/>
  <c r="U495" i="30"/>
  <c r="V495" i="30" s="1"/>
  <c r="T494" i="30"/>
  <c r="X494" i="30" s="1"/>
  <c r="S494" i="30"/>
  <c r="N261" i="30"/>
  <c r="Q261" i="30" s="1"/>
  <c r="M262" i="30" s="1"/>
  <c r="P262" i="30" s="1"/>
  <c r="M495" i="30" l="1"/>
  <c r="P495" i="30" s="1"/>
  <c r="K495" i="30"/>
  <c r="J495" i="30"/>
  <c r="O494" i="30"/>
  <c r="U496" i="30"/>
  <c r="V496" i="30" s="1"/>
  <c r="T495" i="30"/>
  <c r="X495" i="30" s="1"/>
  <c r="S495" i="30"/>
  <c r="L496" i="30"/>
  <c r="J496" i="30" l="1"/>
  <c r="M496" i="30"/>
  <c r="P496" i="30" s="1"/>
  <c r="K496" i="30"/>
  <c r="O495" i="30"/>
  <c r="N262" i="30"/>
  <c r="Q262" i="30" s="1"/>
  <c r="M263" i="30" s="1"/>
  <c r="P263" i="30" s="1"/>
  <c r="L497" i="30"/>
  <c r="U497" i="30"/>
  <c r="V497" i="30" s="1"/>
  <c r="T496" i="30"/>
  <c r="X496" i="30" s="1"/>
  <c r="S496" i="30"/>
  <c r="M497" i="30" l="1"/>
  <c r="P497" i="30" s="1"/>
  <c r="K497" i="30"/>
  <c r="J497" i="30"/>
  <c r="O496" i="30"/>
  <c r="L498" i="30"/>
  <c r="U498" i="30"/>
  <c r="V498" i="30" s="1"/>
  <c r="T497" i="30"/>
  <c r="X497" i="30" s="1"/>
  <c r="S497" i="30"/>
  <c r="M498" i="30" l="1"/>
  <c r="P498" i="30" s="1"/>
  <c r="K498" i="30"/>
  <c r="J498" i="30"/>
  <c r="O497" i="30"/>
  <c r="U499" i="30"/>
  <c r="V499" i="30" s="1"/>
  <c r="T498" i="30"/>
  <c r="X498" i="30" s="1"/>
  <c r="S498" i="30"/>
  <c r="N263" i="30"/>
  <c r="Q263" i="30" s="1"/>
  <c r="M264" i="30" s="1"/>
  <c r="P264" i="30" s="1"/>
  <c r="L499" i="30"/>
  <c r="O498" i="30" l="1"/>
  <c r="K499" i="30"/>
  <c r="J499" i="30"/>
  <c r="M499" i="30"/>
  <c r="P499" i="30" s="1"/>
  <c r="U500" i="30"/>
  <c r="V500" i="30" s="1"/>
  <c r="T499" i="30"/>
  <c r="X499" i="30" s="1"/>
  <c r="S499" i="30"/>
  <c r="L500" i="30"/>
  <c r="O499" i="30" l="1"/>
  <c r="M500" i="30"/>
  <c r="P500" i="30" s="1"/>
  <c r="K500" i="30"/>
  <c r="J500" i="30"/>
  <c r="W22" i="11" a="1"/>
  <c r="W22" i="11" s="1"/>
  <c r="AB21" i="11" a="1"/>
  <c r="AB21" i="11" s="1"/>
  <c r="U22" i="11" a="1"/>
  <c r="U22" i="11" s="1"/>
  <c r="V21" i="11" a="1"/>
  <c r="V21" i="11" s="1"/>
  <c r="AA22" i="11" a="1"/>
  <c r="AA22" i="11" s="1"/>
  <c r="AB22" i="11" a="1"/>
  <c r="AB22" i="11" s="1"/>
  <c r="Y22" i="11" a="1"/>
  <c r="Y22" i="11" s="1"/>
  <c r="AA21" i="11" a="1"/>
  <c r="AA21" i="11" s="1"/>
  <c r="T21" i="11" a="1"/>
  <c r="T21" i="11" s="1"/>
  <c r="AC22" i="11" a="1"/>
  <c r="AC22" i="11" s="1"/>
  <c r="W21" i="11" a="1"/>
  <c r="W21" i="11" s="1"/>
  <c r="X21" i="11" a="1"/>
  <c r="X21" i="11" s="1"/>
  <c r="Z21" i="11" a="1"/>
  <c r="Z21" i="11" s="1"/>
  <c r="X22" i="11" a="1"/>
  <c r="X22" i="11" s="1"/>
  <c r="AC21" i="11" a="1"/>
  <c r="AC21" i="11" s="1"/>
  <c r="U21" i="11" a="1"/>
  <c r="U21" i="11" s="1"/>
  <c r="T22" i="11" a="1"/>
  <c r="T22" i="11" s="1"/>
  <c r="V22" i="11" a="1"/>
  <c r="V22" i="11" s="1"/>
  <c r="Z22" i="11" a="1"/>
  <c r="Z22" i="11" s="1"/>
  <c r="Y21" i="11" a="1"/>
  <c r="Y21" i="11" s="1"/>
  <c r="W25" i="11" a="1"/>
  <c r="W25" i="11" s="1"/>
  <c r="AA25" i="11" a="1"/>
  <c r="AA25" i="11" s="1"/>
  <c r="Z25" i="11" a="1"/>
  <c r="Z25" i="11" s="1"/>
  <c r="V25" i="11" a="1"/>
  <c r="V25" i="11" s="1"/>
  <c r="T25" i="11" a="1"/>
  <c r="T25" i="11" s="1"/>
  <c r="AC25" i="11" a="1"/>
  <c r="AC25" i="11" s="1"/>
  <c r="AB25" i="11" a="1"/>
  <c r="AB25" i="11" s="1"/>
  <c r="U25" i="11" a="1"/>
  <c r="U25" i="11" s="1"/>
  <c r="Y25" i="11" a="1"/>
  <c r="Y25" i="11" s="1"/>
  <c r="X25" i="11" a="1"/>
  <c r="X25" i="11" s="1"/>
  <c r="T500" i="30"/>
  <c r="X500" i="30" s="1"/>
  <c r="S500" i="30"/>
  <c r="N264" i="30"/>
  <c r="Q264" i="30" s="1"/>
  <c r="M265" i="30" s="1"/>
  <c r="P265" i="30" s="1"/>
  <c r="O500" i="30" l="1"/>
  <c r="N265" i="30" l="1"/>
  <c r="Q265" i="30" s="1"/>
  <c r="M266" i="30" s="1"/>
  <c r="P266" i="30" s="1"/>
  <c r="N266" i="30" l="1"/>
  <c r="Q266" i="30" s="1"/>
  <c r="M267" i="30" s="1"/>
  <c r="P267" i="30" s="1"/>
  <c r="N267" i="30" l="1"/>
  <c r="Q267" i="30" s="1"/>
  <c r="M268" i="30" s="1"/>
  <c r="P268" i="30" s="1"/>
  <c r="N268" i="30" l="1"/>
  <c r="Q268" i="30" l="1"/>
  <c r="M269" i="30" s="1"/>
  <c r="P269" i="30" s="1"/>
  <c r="N269" i="30" l="1"/>
  <c r="Q269" i="30" s="1"/>
  <c r="M270" i="30" s="1"/>
  <c r="P270" i="30" s="1"/>
  <c r="N270" i="30" l="1"/>
  <c r="Q270" i="30" s="1"/>
  <c r="M271" i="30" s="1"/>
  <c r="P271" i="30" s="1"/>
  <c r="N271" i="30" l="1"/>
  <c r="Q271" i="30" s="1"/>
  <c r="M272" i="30" s="1"/>
  <c r="P272" i="30" s="1"/>
  <c r="N272" i="30" l="1"/>
  <c r="Q272" i="30" s="1"/>
  <c r="M273" i="30" s="1"/>
  <c r="P273" i="30" s="1"/>
  <c r="N273" i="30" l="1"/>
  <c r="Q273" i="30" s="1"/>
  <c r="M274" i="30" s="1"/>
  <c r="P274" i="30" s="1"/>
  <c r="N274" i="30" l="1"/>
  <c r="Q274" i="30" s="1"/>
  <c r="M275" i="30" s="1"/>
  <c r="P275" i="30" s="1"/>
  <c r="N275" i="30" l="1"/>
  <c r="Q275" i="30" s="1"/>
  <c r="M276" i="30" s="1"/>
  <c r="P276" i="30" s="1"/>
  <c r="N276" i="30" l="1"/>
  <c r="Q276" i="30" s="1"/>
  <c r="M277" i="30" s="1"/>
  <c r="P277" i="30" s="1"/>
  <c r="N277" i="30" l="1"/>
  <c r="Q277" i="30" s="1"/>
  <c r="M278" i="30" s="1"/>
  <c r="P278" i="30" s="1"/>
  <c r="N278" i="30" l="1"/>
  <c r="Q278" i="30" s="1"/>
  <c r="M279" i="30" s="1"/>
  <c r="P279" i="30" s="1"/>
  <c r="N279" i="30" l="1"/>
  <c r="Q279" i="30" l="1"/>
  <c r="M280" i="30" s="1"/>
  <c r="P280" i="30" s="1"/>
  <c r="N280" i="30" l="1"/>
  <c r="Q280" i="30" s="1"/>
  <c r="M281" i="30" s="1"/>
  <c r="P281" i="30" s="1"/>
  <c r="N281" i="30" l="1"/>
  <c r="Q281" i="30" s="1"/>
  <c r="M282" i="30" s="1"/>
  <c r="P282" i="30" s="1"/>
  <c r="N282" i="30" l="1"/>
  <c r="Q282" i="30" s="1"/>
  <c r="M283" i="30" s="1"/>
  <c r="P283" i="30" s="1"/>
  <c r="N283" i="30" s="1"/>
  <c r="Q283" i="30" l="1"/>
  <c r="M284" i="30" s="1"/>
  <c r="P284" i="30" s="1"/>
  <c r="N284" i="30" l="1"/>
  <c r="Q284" i="30" s="1"/>
  <c r="M285" i="30" s="1"/>
  <c r="P285" i="30" s="1"/>
  <c r="N285" i="30" l="1"/>
  <c r="Q285" i="30" s="1"/>
  <c r="M286" i="30" s="1"/>
  <c r="P286" i="30" s="1"/>
  <c r="N286" i="30" l="1"/>
  <c r="Q286" i="30" s="1"/>
  <c r="M287" i="30" s="1"/>
  <c r="P287" i="30" s="1"/>
  <c r="N287" i="30" l="1"/>
  <c r="Q287" i="30" s="1"/>
  <c r="M288" i="30" s="1"/>
  <c r="P288" i="30" s="1"/>
  <c r="N288" i="30" l="1"/>
  <c r="Q288" i="30" s="1"/>
  <c r="M289" i="30" s="1"/>
  <c r="P289" i="30" s="1"/>
  <c r="N289" i="30" l="1"/>
  <c r="Q289" i="30" s="1"/>
  <c r="M290" i="30" s="1"/>
  <c r="P290" i="30" s="1"/>
  <c r="N290" i="30" l="1"/>
  <c r="Q290" i="30" s="1"/>
  <c r="M291" i="30" s="1"/>
  <c r="P291" i="30" s="1"/>
  <c r="N291" i="30" l="1"/>
  <c r="Q291" i="30" s="1"/>
  <c r="M292" i="30" s="1"/>
  <c r="P292" i="30" s="1"/>
  <c r="N292" i="30" l="1"/>
  <c r="Q292" i="30" s="1"/>
  <c r="M293" i="30" s="1"/>
  <c r="P293" i="30" s="1"/>
  <c r="N293" i="30" l="1"/>
  <c r="Q293" i="30" s="1"/>
  <c r="M294" i="30" s="1"/>
  <c r="P294" i="30" s="1"/>
  <c r="N294" i="30" l="1"/>
  <c r="Q294" i="30" s="1"/>
  <c r="M295" i="30" s="1"/>
  <c r="P295" i="30" s="1"/>
  <c r="N295" i="30" l="1"/>
  <c r="Q295" i="30" s="1"/>
  <c r="M296" i="30" s="1"/>
  <c r="P296" i="30" s="1"/>
  <c r="N296" i="30" l="1"/>
  <c r="Q296" i="30" s="1"/>
  <c r="M297" i="30" s="1"/>
  <c r="P297" i="30" s="1"/>
  <c r="N297" i="30" l="1"/>
  <c r="Q297" i="30" s="1"/>
  <c r="M298" i="30" s="1"/>
  <c r="P298" i="30" s="1"/>
  <c r="N298" i="30" l="1"/>
  <c r="Q298" i="30" s="1"/>
  <c r="M299" i="30" s="1"/>
  <c r="P299" i="30" s="1"/>
  <c r="N299" i="30" l="1"/>
  <c r="Q299" i="30" s="1"/>
  <c r="M300" i="30" s="1"/>
  <c r="P300" i="30" s="1"/>
  <c r="N300" i="30" l="1"/>
  <c r="Q300" i="30" s="1"/>
  <c r="M301" i="30" s="1"/>
  <c r="P301" i="30" s="1"/>
  <c r="N301" i="30" l="1"/>
  <c r="Q301" i="30" s="1"/>
  <c r="M302" i="30" s="1"/>
  <c r="P302" i="30" s="1"/>
  <c r="N302" i="30" l="1"/>
  <c r="Q302" i="30" s="1"/>
  <c r="M303" i="30" s="1"/>
  <c r="P303" i="30" s="1"/>
  <c r="N303" i="30" l="1"/>
  <c r="Q303" i="30" s="1"/>
  <c r="M304" i="30" s="1"/>
  <c r="P304" i="30" s="1"/>
  <c r="N304" i="30" l="1"/>
  <c r="Q304" i="30" s="1"/>
  <c r="M305" i="30" s="1"/>
  <c r="P305" i="30" s="1"/>
  <c r="N305" i="30" l="1"/>
  <c r="Q305" i="30" s="1"/>
  <c r="M306" i="30" s="1"/>
  <c r="P306" i="30" s="1"/>
  <c r="N306" i="30" l="1"/>
  <c r="Q306" i="30" s="1"/>
  <c r="M307" i="30" s="1"/>
  <c r="P307" i="30" s="1"/>
  <c r="N307" i="30" l="1"/>
  <c r="Q307" i="30" s="1"/>
  <c r="M308" i="30" s="1"/>
  <c r="P308" i="30" s="1"/>
  <c r="N308" i="30" l="1"/>
  <c r="Q308" i="30" s="1"/>
  <c r="M309" i="30" s="1"/>
  <c r="P309" i="30" s="1"/>
  <c r="N309" i="30" l="1"/>
  <c r="Q309" i="30" s="1"/>
  <c r="M310" i="30" s="1"/>
  <c r="P310" i="30" s="1"/>
  <c r="N310" i="30" l="1"/>
  <c r="Q310" i="30" s="1"/>
  <c r="M311" i="30" s="1"/>
  <c r="P311" i="30" s="1"/>
  <c r="N311" i="30" l="1"/>
  <c r="Q311" i="30" s="1"/>
  <c r="M312" i="30" s="1"/>
  <c r="P312" i="30" s="1"/>
  <c r="N312" i="30" l="1"/>
  <c r="Q312" i="30" s="1"/>
  <c r="M313" i="30" s="1"/>
  <c r="P313" i="30" s="1"/>
  <c r="N313" i="30" l="1"/>
  <c r="Q313" i="30" s="1"/>
  <c r="M314" i="30" s="1"/>
  <c r="P314" i="30" s="1"/>
  <c r="N314" i="30" l="1"/>
  <c r="Q314" i="30" s="1"/>
  <c r="M315" i="30" s="1"/>
  <c r="P315" i="30" s="1"/>
  <c r="N315" i="30" l="1"/>
  <c r="Q315" i="30" s="1"/>
  <c r="M316" i="30" s="1"/>
  <c r="P316" i="30" s="1"/>
  <c r="N316" i="30" l="1"/>
  <c r="Q316" i="30" s="1"/>
  <c r="M317" i="30" s="1"/>
  <c r="P317" i="30" s="1"/>
  <c r="N317" i="30" l="1"/>
  <c r="Q317" i="30" s="1"/>
  <c r="M318" i="30" s="1"/>
  <c r="P318" i="30" s="1"/>
  <c r="N318" i="30" l="1"/>
  <c r="Q318" i="30" s="1"/>
  <c r="M319" i="30" s="1"/>
  <c r="P319" i="30" s="1"/>
  <c r="N319" i="30" l="1"/>
  <c r="Q319" i="30" s="1"/>
  <c r="M320" i="30" s="1"/>
  <c r="P320" i="30" s="1"/>
  <c r="N320" i="30" l="1"/>
  <c r="Q320" i="30" s="1"/>
  <c r="M321" i="30" s="1"/>
  <c r="P321" i="30" s="1"/>
  <c r="N321" i="30" l="1"/>
  <c r="Q321" i="30" l="1"/>
  <c r="M322" i="30" s="1"/>
  <c r="P322" i="30" s="1"/>
  <c r="N322" i="30" l="1"/>
  <c r="Q322" i="30" s="1"/>
  <c r="M323" i="30" s="1"/>
  <c r="P323" i="30" s="1"/>
  <c r="N323" i="30" l="1"/>
  <c r="Q323" i="30" s="1"/>
  <c r="M324" i="30" s="1"/>
  <c r="P324" i="30" s="1"/>
  <c r="N324" i="30" l="1"/>
  <c r="Q324" i="30" s="1"/>
  <c r="M325" i="30" s="1"/>
  <c r="P325" i="30" s="1"/>
  <c r="N325" i="30" l="1"/>
  <c r="Q325" i="30" s="1"/>
  <c r="M326" i="30" s="1"/>
  <c r="P326" i="30" s="1"/>
  <c r="N326" i="30" l="1"/>
  <c r="Q326" i="30" s="1"/>
  <c r="M327" i="30" s="1"/>
  <c r="P327" i="30" s="1"/>
  <c r="N327" i="30" l="1"/>
  <c r="Q327" i="30" s="1"/>
  <c r="M328" i="30" s="1"/>
  <c r="P328" i="30" s="1"/>
  <c r="N328" i="30" l="1"/>
  <c r="Q328" i="30" s="1"/>
  <c r="M329" i="30" s="1"/>
  <c r="P329" i="30" s="1"/>
  <c r="N329" i="30" l="1"/>
  <c r="Q329" i="30" s="1"/>
  <c r="M330" i="30" s="1"/>
  <c r="P330" i="30" s="1"/>
  <c r="N330" i="30" l="1"/>
  <c r="Q330" i="30" s="1"/>
  <c r="M331" i="30" s="1"/>
  <c r="P331" i="30" s="1"/>
  <c r="N331" i="30" l="1"/>
  <c r="Q331" i="30" s="1"/>
  <c r="M332" i="30" s="1"/>
  <c r="P332" i="30" s="1"/>
  <c r="N332" i="30" l="1"/>
  <c r="Q332" i="30" s="1"/>
  <c r="M333" i="30" s="1"/>
  <c r="P333" i="30" s="1"/>
  <c r="N333" i="30" l="1"/>
  <c r="Q333" i="30" s="1"/>
  <c r="M334" i="30" s="1"/>
  <c r="P334" i="30" s="1"/>
  <c r="N334" i="30" l="1"/>
  <c r="Q334" i="30" s="1"/>
  <c r="M335" i="30" s="1"/>
  <c r="P335" i="30" s="1"/>
  <c r="N335" i="30" l="1"/>
  <c r="Q335" i="30" s="1"/>
  <c r="M336" i="30" s="1"/>
  <c r="P336" i="30" s="1"/>
  <c r="N336" i="30" l="1"/>
  <c r="Q336" i="30" s="1"/>
  <c r="M337" i="30" s="1"/>
  <c r="P337" i="30" s="1"/>
  <c r="N337" i="30" l="1"/>
  <c r="Q337" i="30" s="1"/>
  <c r="M338" i="30" s="1"/>
  <c r="P338" i="30" s="1"/>
  <c r="N338" i="30" l="1"/>
  <c r="Q338" i="30" s="1"/>
  <c r="M339" i="30" s="1"/>
  <c r="P339" i="30" s="1"/>
  <c r="N339" i="30" l="1"/>
  <c r="Q339" i="30" s="1"/>
  <c r="M340" i="30" s="1"/>
  <c r="P340" i="30" s="1"/>
  <c r="N340" i="30" l="1"/>
  <c r="Q340" i="30" s="1"/>
  <c r="M341" i="30" s="1"/>
  <c r="P341" i="30" s="1"/>
  <c r="N341" i="30" l="1"/>
  <c r="Q341" i="30" s="1"/>
  <c r="M342" i="30" s="1"/>
  <c r="P342" i="30" s="1"/>
  <c r="N342" i="30" l="1"/>
  <c r="Q342" i="30" s="1"/>
  <c r="M343" i="30" s="1"/>
  <c r="P343" i="30" s="1"/>
  <c r="B18" i="7"/>
  <c r="F32" i="11" s="1"/>
  <c r="B22" i="7"/>
  <c r="B12" i="7" a="1"/>
  <c r="B12" i="7" s="1"/>
  <c r="B17" i="7" l="1"/>
  <c r="F28" i="11" s="1"/>
  <c r="I6" i="7" a="1"/>
  <c r="I6" i="7" s="1"/>
  <c r="B7" i="30"/>
  <c r="G7" i="30" s="1" a="1"/>
  <c r="G7" i="30" s="1"/>
  <c r="M24" i="34" l="1" a="1"/>
  <c r="M24" i="34" s="1"/>
  <c r="F7" i="30"/>
  <c r="N343" i="30"/>
  <c r="Q343" i="30" s="1"/>
  <c r="M344" i="30" s="1"/>
  <c r="P344" i="30" s="1"/>
  <c r="B8" i="30"/>
  <c r="F8" i="30" l="1"/>
  <c r="E7" i="30"/>
  <c r="H7" i="30" s="1"/>
  <c r="D8" i="30" s="1"/>
  <c r="G8" i="30" s="1" a="1"/>
  <c r="G8" i="30" s="1"/>
  <c r="B9" i="30"/>
  <c r="F9" i="30" l="1"/>
  <c r="N344" i="30"/>
  <c r="Q344" i="30" s="1"/>
  <c r="M345" i="30" s="1"/>
  <c r="P345" i="30" s="1"/>
  <c r="B10" i="30"/>
  <c r="F10" i="30" l="1"/>
  <c r="E8" i="30"/>
  <c r="H8" i="30" s="1"/>
  <c r="D9" i="30" s="1"/>
  <c r="G9" i="30" s="1" a="1"/>
  <c r="G9" i="30" s="1"/>
  <c r="E9" i="30" s="1"/>
  <c r="B11" i="30"/>
  <c r="F11" i="30" l="1"/>
  <c r="H9" i="30"/>
  <c r="D10" i="30" s="1"/>
  <c r="G10" i="30" s="1" a="1"/>
  <c r="G10" i="30" s="1"/>
  <c r="E10" i="30" s="1"/>
  <c r="B12" i="30"/>
  <c r="N345" i="30"/>
  <c r="Q345" i="30" s="1"/>
  <c r="M346" i="30" s="1"/>
  <c r="P346" i="30" s="1"/>
  <c r="H10" i="30" l="1"/>
  <c r="D11" i="30" s="1"/>
  <c r="G11" i="30" s="1" a="1"/>
  <c r="G11" i="30" s="1"/>
  <c r="E11" i="30" s="1"/>
  <c r="H11" i="30" s="1"/>
  <c r="D12" i="30" s="1"/>
  <c r="G12" i="30" s="1" a="1"/>
  <c r="G12" i="30" s="1"/>
  <c r="F12" i="30"/>
  <c r="B13" i="30"/>
  <c r="F13" i="30" l="1"/>
  <c r="E12" i="30"/>
  <c r="H12" i="30" s="1"/>
  <c r="D13" i="30" s="1"/>
  <c r="G13" i="30" s="1" a="1"/>
  <c r="G13" i="30" s="1"/>
  <c r="B14" i="30"/>
  <c r="N346" i="30"/>
  <c r="Q346" i="30" s="1"/>
  <c r="M347" i="30" s="1"/>
  <c r="P347" i="30" s="1"/>
  <c r="F14" i="30" l="1"/>
  <c r="N347" i="30"/>
  <c r="E13" i="30"/>
  <c r="B15" i="30"/>
  <c r="F15" i="30" l="1"/>
  <c r="B16" i="30"/>
  <c r="H13" i="30"/>
  <c r="D14" i="30" s="1"/>
  <c r="G14" i="30" s="1" a="1"/>
  <c r="G14" i="30" s="1"/>
  <c r="Q347" i="30"/>
  <c r="M348" i="30" s="1"/>
  <c r="P348" i="30" s="1"/>
  <c r="F16" i="30" l="1"/>
  <c r="B17" i="30"/>
  <c r="F17" i="30" l="1"/>
  <c r="B18" i="30"/>
  <c r="E14" i="30"/>
  <c r="H14" i="30" s="1"/>
  <c r="D15" i="30" s="1"/>
  <c r="G15" i="30" s="1" a="1"/>
  <c r="G15" i="30" s="1"/>
  <c r="N348" i="30"/>
  <c r="Q348" i="30" s="1"/>
  <c r="M349" i="30" s="1"/>
  <c r="P349" i="30" s="1"/>
  <c r="F18" i="30" l="1"/>
  <c r="B19" i="30"/>
  <c r="F19" i="30" l="1"/>
  <c r="E15" i="30"/>
  <c r="H15" i="30" s="1"/>
  <c r="D16" i="30" s="1"/>
  <c r="G16" i="30" s="1" a="1"/>
  <c r="G16" i="30" s="1"/>
  <c r="B20" i="30"/>
  <c r="N349" i="30"/>
  <c r="Q349" i="30" s="1"/>
  <c r="M350" i="30" s="1"/>
  <c r="P350" i="30" s="1"/>
  <c r="F20" i="30" l="1"/>
  <c r="E16" i="30"/>
  <c r="B21" i="30"/>
  <c r="F21" i="30" l="1"/>
  <c r="N350" i="30"/>
  <c r="Q350" i="30" s="1"/>
  <c r="M351" i="30" s="1"/>
  <c r="P351" i="30" s="1"/>
  <c r="B22" i="30"/>
  <c r="H16" i="30"/>
  <c r="D17" i="30" s="1"/>
  <c r="G17" i="30" s="1" a="1"/>
  <c r="G17" i="30" s="1"/>
  <c r="F22" i="30" l="1"/>
  <c r="B23" i="30"/>
  <c r="F23" i="30" l="1"/>
  <c r="N351" i="30"/>
  <c r="Q351" i="30" s="1"/>
  <c r="M352" i="30" s="1"/>
  <c r="P352" i="30" s="1"/>
  <c r="B24" i="30"/>
  <c r="E17" i="30"/>
  <c r="H17" i="30" s="1"/>
  <c r="D18" i="30" s="1"/>
  <c r="G18" i="30" s="1" a="1"/>
  <c r="G18" i="30" s="1"/>
  <c r="F24" i="30" l="1"/>
  <c r="B25" i="30"/>
  <c r="F25" i="30" l="1"/>
  <c r="N352" i="30"/>
  <c r="Q352" i="30" s="1"/>
  <c r="M353" i="30" s="1"/>
  <c r="P353" i="30" s="1"/>
  <c r="E18" i="30"/>
  <c r="H18" i="30" s="1"/>
  <c r="D19" i="30" s="1"/>
  <c r="G19" i="30" s="1" a="1"/>
  <c r="G19" i="30" s="1"/>
  <c r="B26" i="30"/>
  <c r="F26" i="30" l="1"/>
  <c r="B27" i="30"/>
  <c r="F27" i="30" l="1"/>
  <c r="E19" i="30"/>
  <c r="H19" i="30" s="1"/>
  <c r="D20" i="30" s="1"/>
  <c r="G20" i="30" s="1" a="1"/>
  <c r="G20" i="30" s="1"/>
  <c r="N353" i="30"/>
  <c r="Q353" i="30" s="1"/>
  <c r="M354" i="30" s="1"/>
  <c r="P354" i="30" s="1"/>
  <c r="B28" i="30"/>
  <c r="F28" i="30" l="1"/>
  <c r="B29" i="30"/>
  <c r="F29" i="30" l="1"/>
  <c r="E20" i="30"/>
  <c r="H20" i="30" s="1"/>
  <c r="D21" i="30" s="1"/>
  <c r="G21" i="30" s="1" a="1"/>
  <c r="G21" i="30" s="1"/>
  <c r="N354" i="30"/>
  <c r="Q354" i="30" s="1"/>
  <c r="M355" i="30" s="1"/>
  <c r="P355" i="30" s="1"/>
  <c r="B30" i="30"/>
  <c r="F30" i="30" l="1"/>
  <c r="B31" i="30"/>
  <c r="F31" i="30" l="1"/>
  <c r="E21" i="30"/>
  <c r="H21" i="30" s="1"/>
  <c r="D22" i="30" s="1"/>
  <c r="G22" i="30" s="1" a="1"/>
  <c r="G22" i="30" s="1"/>
  <c r="N355" i="30"/>
  <c r="Q355" i="30" s="1"/>
  <c r="M356" i="30" s="1"/>
  <c r="P356" i="30" s="1"/>
  <c r="B32" i="30"/>
  <c r="F32" i="30" l="1"/>
  <c r="B33" i="30"/>
  <c r="E22" i="30"/>
  <c r="F33" i="30" l="1"/>
  <c r="B34" i="30"/>
  <c r="H22" i="30"/>
  <c r="D23" i="30" s="1"/>
  <c r="G23" i="30" s="1" a="1"/>
  <c r="G23" i="30" s="1"/>
  <c r="N356" i="30"/>
  <c r="Q356" i="30" s="1"/>
  <c r="M357" i="30" s="1"/>
  <c r="P357" i="30" s="1"/>
  <c r="F34" i="30" l="1"/>
  <c r="B35" i="30"/>
  <c r="F35" i="30" l="1"/>
  <c r="E23" i="30"/>
  <c r="H23" i="30" s="1"/>
  <c r="D24" i="30" s="1"/>
  <c r="G24" i="30" s="1" a="1"/>
  <c r="G24" i="30" s="1"/>
  <c r="B36" i="30"/>
  <c r="N357" i="30"/>
  <c r="Q357" i="30" s="1"/>
  <c r="M358" i="30" s="1"/>
  <c r="P358" i="30" s="1"/>
  <c r="F36" i="30" l="1"/>
  <c r="B37" i="30"/>
  <c r="F37" i="30" l="1"/>
  <c r="E24" i="30"/>
  <c r="H24" i="30" s="1"/>
  <c r="D25" i="30" s="1"/>
  <c r="G25" i="30" s="1" a="1"/>
  <c r="G25" i="30" s="1"/>
  <c r="B38" i="30"/>
  <c r="N358" i="30"/>
  <c r="Q358" i="30" s="1"/>
  <c r="M359" i="30" s="1"/>
  <c r="P359" i="30" s="1"/>
  <c r="F38" i="30" l="1"/>
  <c r="E25" i="30"/>
  <c r="B39" i="30"/>
  <c r="F39" i="30" l="1"/>
  <c r="N359" i="30"/>
  <c r="Q359" i="30" s="1"/>
  <c r="M360" i="30" s="1"/>
  <c r="P360" i="30" s="1"/>
  <c r="B40" i="30"/>
  <c r="H25" i="30"/>
  <c r="D26" i="30" s="1"/>
  <c r="G26" i="30" s="1" a="1"/>
  <c r="G26" i="30" s="1"/>
  <c r="F40" i="30" l="1"/>
  <c r="B41" i="30"/>
  <c r="F41" i="30" l="1"/>
  <c r="N360" i="30"/>
  <c r="Q360" i="30" s="1"/>
  <c r="M361" i="30" s="1"/>
  <c r="P361" i="30" s="1"/>
  <c r="E26" i="30"/>
  <c r="H26" i="30" s="1"/>
  <c r="D27" i="30" s="1"/>
  <c r="G27" i="30" s="1" a="1"/>
  <c r="G27" i="30" s="1"/>
  <c r="B42" i="30"/>
  <c r="F42" i="30" l="1"/>
  <c r="B43" i="30"/>
  <c r="F43" i="30" l="1"/>
  <c r="B44" i="30"/>
  <c r="N361" i="30"/>
  <c r="Q361" i="30" s="1"/>
  <c r="M362" i="30" s="1"/>
  <c r="P362" i="30" s="1"/>
  <c r="E27" i="30"/>
  <c r="H27" i="30" s="1"/>
  <c r="D28" i="30" s="1"/>
  <c r="G28" i="30" s="1" a="1"/>
  <c r="G28" i="30" s="1"/>
  <c r="F44" i="30" l="1"/>
  <c r="B45" i="30"/>
  <c r="F45" i="30" l="1"/>
  <c r="N362" i="30"/>
  <c r="Q362" i="30" s="1"/>
  <c r="M363" i="30" s="1"/>
  <c r="P363" i="30" s="1"/>
  <c r="B46" i="30"/>
  <c r="E28" i="30"/>
  <c r="H28" i="30" s="1"/>
  <c r="D29" i="30" s="1"/>
  <c r="G29" i="30" s="1" a="1"/>
  <c r="G29" i="30" s="1"/>
  <c r="F46" i="30" l="1"/>
  <c r="B47" i="30"/>
  <c r="F47" i="30" l="1"/>
  <c r="E29" i="30"/>
  <c r="H29" i="30" s="1"/>
  <c r="D30" i="30" s="1"/>
  <c r="G30" i="30" s="1" a="1"/>
  <c r="G30" i="30" s="1"/>
  <c r="B48" i="30"/>
  <c r="N363" i="30"/>
  <c r="Q363" i="30" s="1"/>
  <c r="M364" i="30" s="1"/>
  <c r="P364" i="30" s="1"/>
  <c r="F48" i="30" l="1"/>
  <c r="B49" i="30"/>
  <c r="E30" i="30"/>
  <c r="F49" i="30" l="1"/>
  <c r="H30" i="30"/>
  <c r="D31" i="30" s="1"/>
  <c r="G31" i="30" s="1" a="1"/>
  <c r="G31" i="30" s="1"/>
  <c r="B50" i="30"/>
  <c r="N364" i="30"/>
  <c r="Q364" i="30" s="1"/>
  <c r="M365" i="30" s="1"/>
  <c r="P365" i="30" s="1"/>
  <c r="F50" i="30" l="1"/>
  <c r="B51" i="30"/>
  <c r="F51" i="30" l="1"/>
  <c r="E31" i="30"/>
  <c r="H31" i="30" s="1"/>
  <c r="D32" i="30" s="1"/>
  <c r="G32" i="30" s="1" a="1"/>
  <c r="G32" i="30" s="1"/>
  <c r="B52" i="30"/>
  <c r="N365" i="30"/>
  <c r="Q365" i="30" s="1"/>
  <c r="M366" i="30" s="1"/>
  <c r="P366" i="30" s="1"/>
  <c r="F52" i="30" l="1"/>
  <c r="N366" i="30"/>
  <c r="Q366" i="30" s="1"/>
  <c r="M367" i="30" s="1"/>
  <c r="P367" i="30" s="1"/>
  <c r="B53" i="30"/>
  <c r="F53" i="30" l="1"/>
  <c r="E32" i="30"/>
  <c r="H32" i="30" s="1"/>
  <c r="D33" i="30" s="1"/>
  <c r="G33" i="30" s="1" a="1"/>
  <c r="G33" i="30" s="1"/>
  <c r="B54" i="30"/>
  <c r="N367" i="30"/>
  <c r="F54" i="30" l="1"/>
  <c r="Q367" i="30"/>
  <c r="M368" i="30" s="1"/>
  <c r="P368" i="30" s="1"/>
  <c r="B55" i="30"/>
  <c r="F55" i="30" l="1"/>
  <c r="E33" i="30"/>
  <c r="H33" i="30" s="1"/>
  <c r="D34" i="30" s="1"/>
  <c r="G34" i="30" s="1" a="1"/>
  <c r="G34" i="30" s="1"/>
  <c r="B56" i="30"/>
  <c r="F56" i="30" l="1"/>
  <c r="N368" i="30"/>
  <c r="Q368" i="30" s="1"/>
  <c r="M369" i="30" s="1"/>
  <c r="P369" i="30" s="1"/>
  <c r="B57" i="30"/>
  <c r="F57" i="30" l="1"/>
  <c r="E34" i="30"/>
  <c r="H34" i="30" s="1"/>
  <c r="D35" i="30" s="1"/>
  <c r="G35" i="30" s="1" a="1"/>
  <c r="G35" i="30" s="1"/>
  <c r="B58" i="30"/>
  <c r="F58" i="30" l="1"/>
  <c r="N369" i="30"/>
  <c r="Q369" i="30" s="1"/>
  <c r="M370" i="30" s="1"/>
  <c r="P370" i="30" s="1"/>
  <c r="B59" i="30"/>
  <c r="F59" i="30" l="1"/>
  <c r="E35" i="30"/>
  <c r="H35" i="30" s="1"/>
  <c r="D36" i="30" s="1"/>
  <c r="G36" i="30" s="1" a="1"/>
  <c r="G36" i="30" s="1"/>
  <c r="B60" i="30"/>
  <c r="F60" i="30" l="1"/>
  <c r="N370" i="30"/>
  <c r="Q370" i="30" s="1"/>
  <c r="M371" i="30" s="1"/>
  <c r="P371" i="30" s="1"/>
  <c r="B61" i="30"/>
  <c r="F61" i="30" l="1"/>
  <c r="E36" i="30"/>
  <c r="H36" i="30" s="1"/>
  <c r="D37" i="30" s="1"/>
  <c r="G37" i="30" s="1" a="1"/>
  <c r="G37" i="30" s="1"/>
  <c r="B62" i="30"/>
  <c r="F62" i="30" l="1"/>
  <c r="B63" i="30"/>
  <c r="N371" i="30"/>
  <c r="Q371" i="30" s="1"/>
  <c r="M372" i="30" s="1"/>
  <c r="P372" i="30" s="1"/>
  <c r="F63" i="30" l="1"/>
  <c r="E37" i="30"/>
  <c r="H37" i="30" s="1"/>
  <c r="D38" i="30" s="1"/>
  <c r="G38" i="30" s="1" a="1"/>
  <c r="G38" i="30" s="1"/>
  <c r="B64" i="30"/>
  <c r="N372" i="30"/>
  <c r="Q372" i="30" s="1"/>
  <c r="M373" i="30" s="1"/>
  <c r="P373" i="30" s="1"/>
  <c r="F64" i="30" l="1"/>
  <c r="B65" i="30"/>
  <c r="F65" i="30" l="1"/>
  <c r="E38" i="30"/>
  <c r="H38" i="30" s="1"/>
  <c r="D39" i="30" s="1"/>
  <c r="G39" i="30" s="1" a="1"/>
  <c r="G39" i="30" s="1"/>
  <c r="E39" i="30" s="1"/>
  <c r="B66" i="30"/>
  <c r="N373" i="30"/>
  <c r="Q373" i="30" s="1"/>
  <c r="M374" i="30" s="1"/>
  <c r="P374" i="30" s="1"/>
  <c r="F66" i="30" l="1"/>
  <c r="B67" i="30"/>
  <c r="H39" i="30"/>
  <c r="D40" i="30" s="1"/>
  <c r="G40" i="30" s="1" a="1"/>
  <c r="G40" i="30" s="1"/>
  <c r="F67" i="30" l="1"/>
  <c r="N374" i="30"/>
  <c r="Q374" i="30" s="1"/>
  <c r="M375" i="30" s="1"/>
  <c r="P375" i="30" s="1"/>
  <c r="B68" i="30"/>
  <c r="F68" i="30" l="1"/>
  <c r="B69" i="30"/>
  <c r="E40" i="30"/>
  <c r="H40" i="30" s="1"/>
  <c r="D41" i="30" s="1"/>
  <c r="G41" i="30" s="1" a="1"/>
  <c r="G41" i="30" s="1"/>
  <c r="F69" i="30" l="1"/>
  <c r="E41" i="30"/>
  <c r="N375" i="30"/>
  <c r="Q375" i="30" s="1"/>
  <c r="M376" i="30" s="1"/>
  <c r="P376" i="30" s="1"/>
  <c r="B70" i="30"/>
  <c r="F70" i="30" l="1"/>
  <c r="B71" i="30"/>
  <c r="H41" i="30"/>
  <c r="D42" i="30" s="1"/>
  <c r="G42" i="30" s="1" a="1"/>
  <c r="G42" i="30" s="1"/>
  <c r="F71" i="30" l="1"/>
  <c r="N376" i="30"/>
  <c r="Q376" i="30" s="1"/>
  <c r="M377" i="30" s="1"/>
  <c r="P377" i="30" s="1"/>
  <c r="B72" i="30"/>
  <c r="F72" i="30" l="1"/>
  <c r="E42" i="30"/>
  <c r="H42" i="30" s="1"/>
  <c r="D43" i="30" s="1"/>
  <c r="G43" i="30" s="1" a="1"/>
  <c r="G43" i="30" s="1"/>
  <c r="B73" i="30"/>
  <c r="N377" i="30"/>
  <c r="Q377" i="30" s="1"/>
  <c r="M378" i="30" s="1"/>
  <c r="P378" i="30" s="1"/>
  <c r="F73" i="30" l="1"/>
  <c r="B74" i="30"/>
  <c r="F74" i="30" l="1"/>
  <c r="E43" i="30"/>
  <c r="H43" i="30" s="1"/>
  <c r="D44" i="30" s="1"/>
  <c r="G44" i="30" s="1" a="1"/>
  <c r="G44" i="30" s="1"/>
  <c r="B75" i="30"/>
  <c r="N378" i="30"/>
  <c r="Q378" i="30" s="1"/>
  <c r="M379" i="30" s="1"/>
  <c r="P379" i="30" s="1"/>
  <c r="F75" i="30" l="1"/>
  <c r="N379" i="30"/>
  <c r="B76" i="30"/>
  <c r="F76" i="30" l="1"/>
  <c r="E44" i="30"/>
  <c r="H44" i="30" s="1"/>
  <c r="D45" i="30" s="1"/>
  <c r="G45" i="30" s="1" a="1"/>
  <c r="G45" i="30" s="1"/>
  <c r="B77" i="30"/>
  <c r="Q379" i="30"/>
  <c r="M380" i="30" s="1"/>
  <c r="P380" i="30" s="1"/>
  <c r="F77" i="30" l="1"/>
  <c r="N380" i="30"/>
  <c r="B78" i="30"/>
  <c r="F78" i="30" l="1"/>
  <c r="B79" i="30"/>
  <c r="E45" i="30"/>
  <c r="H45" i="30" s="1"/>
  <c r="D46" i="30" s="1"/>
  <c r="G46" i="30" s="1" a="1"/>
  <c r="G46" i="30" s="1"/>
  <c r="Q380" i="30"/>
  <c r="M381" i="30" s="1"/>
  <c r="P381" i="30" s="1"/>
  <c r="F79" i="30" l="1"/>
  <c r="B80" i="30"/>
  <c r="F80" i="30" l="1"/>
  <c r="E46" i="30"/>
  <c r="H46" i="30" s="1"/>
  <c r="D47" i="30" s="1"/>
  <c r="G47" i="30" s="1" a="1"/>
  <c r="G47" i="30" s="1"/>
  <c r="B81" i="30"/>
  <c r="N381" i="30"/>
  <c r="Q381" i="30" s="1"/>
  <c r="M382" i="30" s="1"/>
  <c r="P382" i="30" s="1"/>
  <c r="F81" i="30" l="1"/>
  <c r="E47" i="30"/>
  <c r="B82" i="30"/>
  <c r="F82" i="30" l="1"/>
  <c r="B83" i="30"/>
  <c r="N382" i="30"/>
  <c r="Q382" i="30" s="1"/>
  <c r="M383" i="30" s="1"/>
  <c r="P383" i="30" s="1"/>
  <c r="H47" i="30"/>
  <c r="D48" i="30" s="1"/>
  <c r="G48" i="30" s="1" a="1"/>
  <c r="G48" i="30" s="1"/>
  <c r="F83" i="30" l="1"/>
  <c r="B84" i="30"/>
  <c r="F84" i="30" l="1"/>
  <c r="N383" i="30"/>
  <c r="Q383" i="30" s="1"/>
  <c r="M384" i="30" s="1"/>
  <c r="P384" i="30" s="1"/>
  <c r="B85" i="30"/>
  <c r="E48" i="30"/>
  <c r="H48" i="30" s="1"/>
  <c r="D49" i="30" s="1"/>
  <c r="G49" i="30" s="1" a="1"/>
  <c r="G49" i="30" s="1"/>
  <c r="F85" i="30" l="1"/>
  <c r="B86" i="30"/>
  <c r="F86" i="30" l="1"/>
  <c r="N384" i="30"/>
  <c r="Q384" i="30" s="1"/>
  <c r="M385" i="30" s="1"/>
  <c r="P385" i="30" s="1"/>
  <c r="B87" i="30"/>
  <c r="E49" i="30"/>
  <c r="H49" i="30" s="1"/>
  <c r="D50" i="30" s="1"/>
  <c r="G50" i="30" s="1" a="1"/>
  <c r="G50" i="30" s="1"/>
  <c r="F87" i="30" l="1"/>
  <c r="E50" i="30"/>
  <c r="B88" i="30"/>
  <c r="N385" i="30"/>
  <c r="Q385" i="30" s="1"/>
  <c r="M386" i="30" s="1"/>
  <c r="P386" i="30" s="1"/>
  <c r="F88" i="30" l="1"/>
  <c r="H50" i="30"/>
  <c r="D51" i="30" s="1"/>
  <c r="G51" i="30" s="1" a="1"/>
  <c r="G51" i="30" s="1"/>
  <c r="N386" i="30"/>
  <c r="B89" i="30"/>
  <c r="F89" i="30" l="1"/>
  <c r="E51" i="30"/>
  <c r="B90" i="30"/>
  <c r="Q386" i="30"/>
  <c r="M387" i="30" s="1"/>
  <c r="P387" i="30" s="1"/>
  <c r="F90" i="30" l="1"/>
  <c r="H51" i="30"/>
  <c r="D52" i="30" s="1"/>
  <c r="G52" i="30" s="1" a="1"/>
  <c r="G52" i="30" s="1"/>
  <c r="B91" i="30"/>
  <c r="F91" i="30" l="1"/>
  <c r="E52" i="30"/>
  <c r="B92" i="30"/>
  <c r="N387" i="30"/>
  <c r="Q387" i="30" s="1"/>
  <c r="M388" i="30" s="1"/>
  <c r="P388" i="30" s="1"/>
  <c r="F92" i="30" l="1"/>
  <c r="H52" i="30"/>
  <c r="D53" i="30" s="1"/>
  <c r="G53" i="30" s="1" a="1"/>
  <c r="G53" i="30" s="1"/>
  <c r="B93" i="30"/>
  <c r="F93" i="30" l="1"/>
  <c r="E53" i="30"/>
  <c r="B94" i="30"/>
  <c r="N388" i="30"/>
  <c r="Q388" i="30" s="1"/>
  <c r="M389" i="30" s="1"/>
  <c r="P389" i="30" s="1"/>
  <c r="F94" i="30" l="1"/>
  <c r="H53" i="30"/>
  <c r="D54" i="30" s="1"/>
  <c r="G54" i="30" s="1" a="1"/>
  <c r="G54" i="30" s="1"/>
  <c r="B95" i="30"/>
  <c r="F95" i="30" l="1"/>
  <c r="E54" i="30"/>
  <c r="B96" i="30"/>
  <c r="N389" i="30"/>
  <c r="Q389" i="30" s="1"/>
  <c r="M390" i="30" s="1"/>
  <c r="P390" i="30" s="1"/>
  <c r="F96" i="30" l="1"/>
  <c r="H54" i="30"/>
  <c r="D55" i="30" s="1"/>
  <c r="G55" i="30" s="1" a="1"/>
  <c r="G55" i="30" s="1"/>
  <c r="B97" i="30"/>
  <c r="F97" i="30" l="1"/>
  <c r="N390" i="30"/>
  <c r="Q390" i="30" s="1"/>
  <c r="M391" i="30" s="1"/>
  <c r="P391" i="30" s="1"/>
  <c r="B98" i="30"/>
  <c r="F98" i="30" l="1"/>
  <c r="E55" i="30"/>
  <c r="H55" i="30" s="1"/>
  <c r="D56" i="30" s="1"/>
  <c r="G56" i="30" s="1" a="1"/>
  <c r="G56" i="30" s="1"/>
  <c r="E56" i="30" s="1"/>
  <c r="B99" i="30"/>
  <c r="H56" i="30" l="1"/>
  <c r="D57" i="30" s="1"/>
  <c r="G57" i="30" s="1" a="1"/>
  <c r="G57" i="30" s="1"/>
  <c r="F99" i="30"/>
  <c r="N391" i="30"/>
  <c r="Q391" i="30" s="1"/>
  <c r="M392" i="30" s="1"/>
  <c r="P392" i="30" s="1"/>
  <c r="B100" i="30"/>
  <c r="F100" i="30" l="1"/>
  <c r="B101" i="30"/>
  <c r="F101" i="30" l="1"/>
  <c r="N392" i="30"/>
  <c r="Q392" i="30" s="1"/>
  <c r="M393" i="30" s="1"/>
  <c r="P393" i="30" s="1"/>
  <c r="E57" i="30"/>
  <c r="H57" i="30" s="1"/>
  <c r="D58" i="30" s="1"/>
  <c r="G58" i="30" s="1" a="1"/>
  <c r="G58" i="30" s="1"/>
  <c r="B102" i="30"/>
  <c r="F102" i="30" l="1"/>
  <c r="E58" i="30"/>
  <c r="B103" i="30"/>
  <c r="F103" i="30" l="1"/>
  <c r="H58" i="30"/>
  <c r="D59" i="30" s="1"/>
  <c r="G59" i="30" s="1" a="1"/>
  <c r="G59" i="30" s="1"/>
  <c r="B104" i="30"/>
  <c r="N393" i="30"/>
  <c r="Q393" i="30" s="1"/>
  <c r="M394" i="30" s="1"/>
  <c r="P394" i="30" s="1"/>
  <c r="F104" i="30" l="1"/>
  <c r="E59" i="30"/>
  <c r="B105" i="30"/>
  <c r="F105" i="30" l="1"/>
  <c r="H59" i="30"/>
  <c r="D60" i="30" s="1"/>
  <c r="G60" i="30" s="1" a="1"/>
  <c r="G60" i="30" s="1"/>
  <c r="B106" i="30"/>
  <c r="N394" i="30"/>
  <c r="Q394" i="30" s="1"/>
  <c r="M395" i="30" s="1"/>
  <c r="P395" i="30" s="1"/>
  <c r="F106" i="30" l="1"/>
  <c r="E60" i="30"/>
  <c r="N395" i="30"/>
  <c r="B107" i="30"/>
  <c r="F107" i="30" l="1"/>
  <c r="H60" i="30"/>
  <c r="D61" i="30" s="1"/>
  <c r="G61" i="30" s="1" a="1"/>
  <c r="G61" i="30" s="1"/>
  <c r="B108" i="30"/>
  <c r="Q395" i="30"/>
  <c r="M396" i="30" s="1"/>
  <c r="P396" i="30" s="1"/>
  <c r="F108" i="30" l="1"/>
  <c r="E61" i="30"/>
  <c r="B109" i="30"/>
  <c r="F109" i="30" l="1"/>
  <c r="H61" i="30"/>
  <c r="D62" i="30" s="1"/>
  <c r="G62" i="30" s="1" a="1"/>
  <c r="G62" i="30" s="1"/>
  <c r="B110" i="30"/>
  <c r="N396" i="30"/>
  <c r="Q396" i="30" s="1"/>
  <c r="M397" i="30" s="1"/>
  <c r="P397" i="30" s="1"/>
  <c r="F110" i="30" l="1"/>
  <c r="E62" i="30"/>
  <c r="B111" i="30"/>
  <c r="F111" i="30" l="1"/>
  <c r="H62" i="30"/>
  <c r="D63" i="30" s="1"/>
  <c r="G63" i="30" s="1" a="1"/>
  <c r="G63" i="30" s="1"/>
  <c r="B112" i="30"/>
  <c r="N397" i="30"/>
  <c r="Q397" i="30" s="1"/>
  <c r="M398" i="30" s="1"/>
  <c r="P398" i="30" s="1"/>
  <c r="F112" i="30" l="1"/>
  <c r="E63" i="30"/>
  <c r="N398" i="30"/>
  <c r="B113" i="30"/>
  <c r="F113" i="30" l="1"/>
  <c r="H63" i="30"/>
  <c r="D64" i="30" s="1"/>
  <c r="G64" i="30" s="1" a="1"/>
  <c r="G64" i="30" s="1"/>
  <c r="B114" i="30"/>
  <c r="Q398" i="30"/>
  <c r="M399" i="30" s="1"/>
  <c r="P399" i="30" s="1"/>
  <c r="F114" i="30" l="1"/>
  <c r="E64" i="30"/>
  <c r="B115" i="30"/>
  <c r="F115" i="30" l="1"/>
  <c r="H64" i="30"/>
  <c r="D65" i="30" s="1"/>
  <c r="G65" i="30" s="1" a="1"/>
  <c r="G65" i="30" s="1"/>
  <c r="B116" i="30"/>
  <c r="N399" i="30"/>
  <c r="Q399" i="30" s="1"/>
  <c r="M400" i="30" s="1"/>
  <c r="P400" i="30" s="1"/>
  <c r="F116" i="30" l="1"/>
  <c r="E65" i="30"/>
  <c r="N400" i="30"/>
  <c r="B117" i="30"/>
  <c r="F117" i="30" l="1"/>
  <c r="H65" i="30"/>
  <c r="D66" i="30" s="1"/>
  <c r="G66" i="30" s="1" a="1"/>
  <c r="G66" i="30" s="1"/>
  <c r="B118" i="30"/>
  <c r="Q400" i="30"/>
  <c r="M401" i="30" s="1"/>
  <c r="P401" i="30" s="1"/>
  <c r="F118" i="30" l="1"/>
  <c r="N401" i="30"/>
  <c r="B119" i="30"/>
  <c r="F119" i="30" l="1"/>
  <c r="E66" i="30"/>
  <c r="H66" i="30" s="1"/>
  <c r="D67" i="30" s="1"/>
  <c r="G67" i="30" s="1" a="1"/>
  <c r="G67" i="30" s="1"/>
  <c r="B120" i="30"/>
  <c r="Q401" i="30"/>
  <c r="M402" i="30" s="1"/>
  <c r="P402" i="30" s="1"/>
  <c r="F120" i="30" l="1"/>
  <c r="B121" i="30"/>
  <c r="F121" i="30" l="1"/>
  <c r="T18" i="11" a="1"/>
  <c r="T18" i="11" s="1"/>
  <c r="U18" i="11" a="1"/>
  <c r="U18" i="11" s="1"/>
  <c r="V18" i="11" a="1"/>
  <c r="V18" i="11" s="1"/>
  <c r="N402" i="30"/>
  <c r="Q402" i="30" s="1"/>
  <c r="E67" i="30"/>
  <c r="H67" i="30" s="1"/>
  <c r="D68" i="30" s="1"/>
  <c r="G68" i="30" s="1" a="1"/>
  <c r="G68" i="30" s="1"/>
  <c r="B122" i="30"/>
  <c r="F122" i="30" l="1"/>
  <c r="B123" i="30"/>
  <c r="F123" i="30" l="1"/>
  <c r="E68" i="30"/>
  <c r="H68" i="30" s="1"/>
  <c r="D69" i="30" s="1"/>
  <c r="G69" i="30" s="1" a="1"/>
  <c r="G69" i="30" s="1"/>
  <c r="B124" i="30"/>
  <c r="N403" i="30"/>
  <c r="Q403" i="30" s="1"/>
  <c r="F124" i="30" l="1"/>
  <c r="E69" i="30"/>
  <c r="N404" i="30"/>
  <c r="B125" i="30"/>
  <c r="W18" i="11" l="1" a="1"/>
  <c r="W18" i="11" s="1"/>
  <c r="F125" i="30"/>
  <c r="H69" i="30"/>
  <c r="D70" i="30" s="1"/>
  <c r="G70" i="30" s="1" a="1"/>
  <c r="G70" i="30" s="1"/>
  <c r="B126" i="30"/>
  <c r="Q404" i="30"/>
  <c r="F126" i="30" l="1"/>
  <c r="E70" i="30"/>
  <c r="N405" i="30"/>
  <c r="B127" i="30"/>
  <c r="F127" i="30" l="1"/>
  <c r="H70" i="30"/>
  <c r="D71" i="30" s="1"/>
  <c r="G71" i="30" s="1" a="1"/>
  <c r="G71" i="30" s="1"/>
  <c r="B128" i="30"/>
  <c r="Q405" i="30"/>
  <c r="F128" i="30" l="1"/>
  <c r="E71" i="30"/>
  <c r="B129" i="30"/>
  <c r="F129" i="30" l="1"/>
  <c r="H71" i="30"/>
  <c r="D72" i="30" s="1"/>
  <c r="G72" i="30" s="1" a="1"/>
  <c r="G72" i="30" s="1"/>
  <c r="N406" i="30"/>
  <c r="Q406" i="30" s="1"/>
  <c r="B130" i="30"/>
  <c r="F130" i="30" l="1"/>
  <c r="E72" i="30"/>
  <c r="B131" i="30"/>
  <c r="F131" i="30" l="1"/>
  <c r="H72" i="30"/>
  <c r="D73" i="30" s="1"/>
  <c r="G73" i="30" s="1" a="1"/>
  <c r="G73" i="30" s="1"/>
  <c r="N407" i="30"/>
  <c r="Q407" i="30" s="1"/>
  <c r="B132" i="30"/>
  <c r="F132" i="30" l="1"/>
  <c r="E73" i="30"/>
  <c r="B133" i="30"/>
  <c r="F133" i="30" l="1"/>
  <c r="H73" i="30"/>
  <c r="D74" i="30" s="1"/>
  <c r="G74" i="30" s="1" a="1"/>
  <c r="G74" i="30" s="1"/>
  <c r="N408" i="30"/>
  <c r="Q408" i="30" s="1"/>
  <c r="B134" i="30"/>
  <c r="F134" i="30" l="1"/>
  <c r="E74" i="30"/>
  <c r="B135" i="30"/>
  <c r="F135" i="30" l="1"/>
  <c r="H74" i="30"/>
  <c r="D75" i="30" s="1"/>
  <c r="G75" i="30" s="1" a="1"/>
  <c r="G75" i="30" s="1"/>
  <c r="B136" i="30"/>
  <c r="N409" i="30"/>
  <c r="Q409" i="30" s="1"/>
  <c r="F136" i="30" l="1"/>
  <c r="E75" i="30"/>
  <c r="N410" i="30"/>
  <c r="B137" i="30"/>
  <c r="F137" i="30" l="1"/>
  <c r="H75" i="30"/>
  <c r="D76" i="30" s="1"/>
  <c r="G76" i="30" s="1" a="1"/>
  <c r="G76" i="30" s="1"/>
  <c r="B138" i="30"/>
  <c r="Q410" i="30"/>
  <c r="F138" i="30" l="1"/>
  <c r="E76" i="30"/>
  <c r="N411" i="30"/>
  <c r="B139" i="30"/>
  <c r="F139" i="30" l="1"/>
  <c r="H76" i="30"/>
  <c r="D77" i="30" s="1"/>
  <c r="G77" i="30" s="1" a="1"/>
  <c r="G77" i="30" s="1"/>
  <c r="B140" i="30"/>
  <c r="Q411" i="30"/>
  <c r="F140" i="30" l="1"/>
  <c r="E77" i="30"/>
  <c r="N412" i="30"/>
  <c r="B141" i="30"/>
  <c r="F141" i="30" l="1"/>
  <c r="H77" i="30"/>
  <c r="D78" i="30" s="1"/>
  <c r="G78" i="30" s="1" a="1"/>
  <c r="G78" i="30" s="1"/>
  <c r="B142" i="30"/>
  <c r="Q412" i="30"/>
  <c r="F142" i="30" l="1"/>
  <c r="B143" i="30"/>
  <c r="F143" i="30" l="1"/>
  <c r="E78" i="30"/>
  <c r="H78" i="30" s="1"/>
  <c r="D79" i="30" s="1"/>
  <c r="G79" i="30" s="1" a="1"/>
  <c r="G79" i="30" s="1"/>
  <c r="B144" i="30"/>
  <c r="N413" i="30"/>
  <c r="Q413" i="30" s="1"/>
  <c r="F144" i="30" l="1"/>
  <c r="B145" i="30"/>
  <c r="F145" i="30" l="1"/>
  <c r="N414" i="30"/>
  <c r="Q414" i="30" s="1"/>
  <c r="E79" i="30"/>
  <c r="H79" i="30" s="1"/>
  <c r="D80" i="30" s="1"/>
  <c r="G80" i="30" s="1" a="1"/>
  <c r="G80" i="30" s="1"/>
  <c r="B146" i="30"/>
  <c r="F146" i="30" l="1"/>
  <c r="E80" i="30"/>
  <c r="B147" i="30"/>
  <c r="F147" i="30" l="1"/>
  <c r="H80" i="30"/>
  <c r="D81" i="30" s="1"/>
  <c r="G81" i="30" s="1" a="1"/>
  <c r="G81" i="30" s="1"/>
  <c r="N415" i="30"/>
  <c r="Q415" i="30" s="1"/>
  <c r="B148" i="30"/>
  <c r="F148" i="30" l="1"/>
  <c r="E81" i="30"/>
  <c r="N416" i="30"/>
  <c r="B149" i="30"/>
  <c r="F149" i="30" l="1"/>
  <c r="H81" i="30"/>
  <c r="D82" i="30" s="1"/>
  <c r="G82" i="30" s="1" a="1"/>
  <c r="G82" i="30" s="1"/>
  <c r="B150" i="30"/>
  <c r="Q416" i="30"/>
  <c r="F150" i="30" l="1"/>
  <c r="E82" i="30"/>
  <c r="B151" i="30"/>
  <c r="F151" i="30" l="1"/>
  <c r="N417" i="30"/>
  <c r="Q417" i="30" s="1"/>
  <c r="H82" i="30"/>
  <c r="D83" i="30" s="1"/>
  <c r="G83" i="30" s="1" a="1"/>
  <c r="G83" i="30" s="1"/>
  <c r="B152" i="30"/>
  <c r="F152" i="30" l="1"/>
  <c r="E83" i="30"/>
  <c r="B153" i="30"/>
  <c r="F153" i="30" l="1"/>
  <c r="H83" i="30"/>
  <c r="D84" i="30" s="1"/>
  <c r="G84" i="30" s="1" a="1"/>
  <c r="G84" i="30" s="1"/>
  <c r="B154" i="30"/>
  <c r="N418" i="30"/>
  <c r="Q418" i="30" s="1"/>
  <c r="F154" i="30" l="1"/>
  <c r="E84" i="30"/>
  <c r="N419" i="30"/>
  <c r="B155" i="30"/>
  <c r="F155" i="30" l="1"/>
  <c r="H84" i="30"/>
  <c r="D85" i="30" s="1"/>
  <c r="G85" i="30" s="1" a="1"/>
  <c r="G85" i="30" s="1"/>
  <c r="B156" i="30"/>
  <c r="Q419" i="30"/>
  <c r="F156" i="30" l="1"/>
  <c r="E85" i="30"/>
  <c r="B157" i="30"/>
  <c r="F157" i="30" l="1"/>
  <c r="H85" i="30"/>
  <c r="D86" i="30" s="1"/>
  <c r="G86" i="30" s="1" a="1"/>
  <c r="G86" i="30" s="1"/>
  <c r="B158" i="30"/>
  <c r="N420" i="30"/>
  <c r="Q420" i="30" s="1"/>
  <c r="F158" i="30" l="1"/>
  <c r="E86" i="30"/>
  <c r="B159" i="30"/>
  <c r="F159" i="30" l="1"/>
  <c r="N421" i="30"/>
  <c r="Q421" i="30" s="1"/>
  <c r="H86" i="30"/>
  <c r="D87" i="30" s="1"/>
  <c r="G87" i="30" s="1" a="1"/>
  <c r="G87" i="30" s="1"/>
  <c r="B160" i="30"/>
  <c r="F160" i="30" l="1"/>
  <c r="E87" i="30"/>
  <c r="B161" i="30"/>
  <c r="F161" i="30" l="1"/>
  <c r="H87" i="30"/>
  <c r="D88" i="30" s="1"/>
  <c r="G88" i="30" s="1" a="1"/>
  <c r="G88" i="30" s="1"/>
  <c r="B162" i="30"/>
  <c r="N422" i="30"/>
  <c r="Q422" i="30" s="1"/>
  <c r="F162" i="30" l="1"/>
  <c r="E88" i="30"/>
  <c r="B163" i="30"/>
  <c r="N423" i="30"/>
  <c r="Q423" i="30" s="1"/>
  <c r="F163" i="30" l="1"/>
  <c r="H88" i="30"/>
  <c r="D89" i="30" s="1"/>
  <c r="G89" i="30" s="1" a="1"/>
  <c r="G89" i="30" s="1"/>
  <c r="B164" i="30"/>
  <c r="F164" i="30" l="1"/>
  <c r="E89" i="30"/>
  <c r="B165" i="30"/>
  <c r="N424" i="30"/>
  <c r="Q424" i="30" s="1"/>
  <c r="F165" i="30" l="1"/>
  <c r="H89" i="30"/>
  <c r="D90" i="30" s="1"/>
  <c r="G90" i="30" s="1" a="1"/>
  <c r="G90" i="30" s="1"/>
  <c r="N425" i="30"/>
  <c r="B166" i="30"/>
  <c r="F166" i="30" l="1"/>
  <c r="B167" i="30"/>
  <c r="Q425" i="30"/>
  <c r="F167" i="30" l="1"/>
  <c r="E90" i="30"/>
  <c r="H90" i="30" s="1"/>
  <c r="D91" i="30" s="1"/>
  <c r="G91" i="30" s="1" a="1"/>
  <c r="G91" i="30" s="1"/>
  <c r="E91" i="30" s="1"/>
  <c r="B168" i="30"/>
  <c r="F168" i="30" l="1"/>
  <c r="H91" i="30"/>
  <c r="D92" i="30" s="1"/>
  <c r="G92" i="30" s="1" a="1"/>
  <c r="G92" i="30" s="1"/>
  <c r="N426" i="30"/>
  <c r="Q426" i="30" s="1"/>
  <c r="B169" i="30"/>
  <c r="F169" i="30" l="1"/>
  <c r="B170" i="30"/>
  <c r="F170" i="30" l="1"/>
  <c r="E92" i="30"/>
  <c r="H92" i="30" s="1"/>
  <c r="D93" i="30" s="1"/>
  <c r="G93" i="30" s="1" a="1"/>
  <c r="G93" i="30" s="1"/>
  <c r="E93" i="30" s="1"/>
  <c r="B171" i="30"/>
  <c r="N427" i="30"/>
  <c r="Q427" i="30" s="1"/>
  <c r="F171" i="30" l="1"/>
  <c r="H93" i="30"/>
  <c r="D94" i="30" s="1"/>
  <c r="G94" i="30" s="1" a="1"/>
  <c r="G94" i="30" s="1"/>
  <c r="B172" i="30"/>
  <c r="F172" i="30" l="1"/>
  <c r="N428" i="30"/>
  <c r="Q428" i="30" s="1"/>
  <c r="E94" i="30"/>
  <c r="B173" i="30"/>
  <c r="F173" i="30" l="1"/>
  <c r="H94" i="30"/>
  <c r="D95" i="30" s="1"/>
  <c r="G95" i="30" s="1" a="1"/>
  <c r="G95" i="30" s="1"/>
  <c r="B174" i="30"/>
  <c r="F174" i="30" l="1"/>
  <c r="B175" i="30"/>
  <c r="N429" i="30"/>
  <c r="Q429" i="30" s="1"/>
  <c r="F175" i="30" l="1"/>
  <c r="E95" i="30"/>
  <c r="H95" i="30" s="1"/>
  <c r="D96" i="30" s="1"/>
  <c r="G96" i="30" s="1" a="1"/>
  <c r="G96" i="30" s="1"/>
  <c r="E96" i="30" s="1"/>
  <c r="N430" i="30"/>
  <c r="B176" i="30"/>
  <c r="F176" i="30" l="1"/>
  <c r="H96" i="30"/>
  <c r="D97" i="30" s="1"/>
  <c r="G97" i="30" s="1" a="1"/>
  <c r="G97" i="30" s="1"/>
  <c r="B177" i="30"/>
  <c r="Q430" i="30"/>
  <c r="F177" i="30" l="1"/>
  <c r="E97" i="30"/>
  <c r="N431" i="30"/>
  <c r="B178" i="30"/>
  <c r="F178" i="30" l="1"/>
  <c r="H97" i="30"/>
  <c r="D98" i="30" s="1"/>
  <c r="G98" i="30" s="1" a="1"/>
  <c r="G98" i="30" s="1"/>
  <c r="E98" i="30" s="1"/>
  <c r="B179" i="30"/>
  <c r="Q431" i="30"/>
  <c r="F179" i="30" l="1"/>
  <c r="H98" i="30"/>
  <c r="D99" i="30" s="1"/>
  <c r="G99" i="30" s="1" a="1"/>
  <c r="G99" i="30" s="1"/>
  <c r="E99" i="30" s="1"/>
  <c r="B180" i="30"/>
  <c r="F180" i="30" l="1"/>
  <c r="H99" i="30"/>
  <c r="D100" i="30" s="1"/>
  <c r="G100" i="30" s="1" a="1"/>
  <c r="G100" i="30" s="1"/>
  <c r="E100" i="30" s="1"/>
  <c r="B181" i="30"/>
  <c r="N432" i="30"/>
  <c r="Q432" i="30" s="1"/>
  <c r="F181" i="30" l="1"/>
  <c r="H100" i="30"/>
  <c r="D101" i="30" s="1"/>
  <c r="G101" i="30" s="1" a="1"/>
  <c r="G101" i="30" s="1"/>
  <c r="E101" i="30" s="1"/>
  <c r="B182" i="30"/>
  <c r="N433" i="30"/>
  <c r="F182" i="30" l="1"/>
  <c r="H101" i="30"/>
  <c r="D102" i="30" s="1"/>
  <c r="G102" i="30" s="1" a="1"/>
  <c r="G102" i="30" s="1"/>
  <c r="E102" i="30" s="1"/>
  <c r="Q433" i="30"/>
  <c r="B183" i="30"/>
  <c r="F183" i="30" l="1"/>
  <c r="H102" i="30"/>
  <c r="D103" i="30" s="1"/>
  <c r="G103" i="30" s="1" a="1"/>
  <c r="G103" i="30" s="1"/>
  <c r="E103" i="30" s="1"/>
  <c r="B184" i="30"/>
  <c r="N434" i="30"/>
  <c r="F184" i="30" l="1"/>
  <c r="H103" i="30"/>
  <c r="D104" i="30" s="1"/>
  <c r="G104" i="30" s="1" a="1"/>
  <c r="G104" i="30" s="1"/>
  <c r="E104" i="30" s="1"/>
  <c r="Q434" i="30"/>
  <c r="B185" i="30"/>
  <c r="F185" i="30" l="1"/>
  <c r="H104" i="30"/>
  <c r="D105" i="30" s="1"/>
  <c r="G105" i="30" s="1" a="1"/>
  <c r="G105" i="30" s="1"/>
  <c r="E105" i="30" s="1"/>
  <c r="B186" i="30"/>
  <c r="F186" i="30" l="1"/>
  <c r="H105" i="30"/>
  <c r="D106" i="30" s="1"/>
  <c r="G106" i="30" s="1" a="1"/>
  <c r="G106" i="30" s="1"/>
  <c r="E106" i="30" s="1"/>
  <c r="N435" i="30"/>
  <c r="Q435" i="30" s="1"/>
  <c r="B187" i="30"/>
  <c r="F187" i="30" l="1"/>
  <c r="H106" i="30"/>
  <c r="D107" i="30" s="1"/>
  <c r="G107" i="30" s="1" a="1"/>
  <c r="G107" i="30" s="1"/>
  <c r="E107" i="30" s="1"/>
  <c r="B188" i="30"/>
  <c r="F188" i="30" l="1"/>
  <c r="H107" i="30"/>
  <c r="D108" i="30" s="1"/>
  <c r="G108" i="30" s="1" a="1"/>
  <c r="G108" i="30" s="1"/>
  <c r="E108" i="30" s="1"/>
  <c r="N436" i="30"/>
  <c r="Q436" i="30" s="1"/>
  <c r="B189" i="30"/>
  <c r="F189" i="30" l="1"/>
  <c r="H108" i="30"/>
  <c r="D109" i="30" s="1"/>
  <c r="G109" i="30" s="1" a="1"/>
  <c r="G109" i="30" s="1"/>
  <c r="E109" i="30" s="1"/>
  <c r="B190" i="30"/>
  <c r="F190" i="30" l="1"/>
  <c r="H109" i="30"/>
  <c r="D110" i="30" s="1"/>
  <c r="G110" i="30" s="1" a="1"/>
  <c r="G110" i="30" s="1"/>
  <c r="E110" i="30" s="1"/>
  <c r="B191" i="30"/>
  <c r="N437" i="30"/>
  <c r="Q437" i="30" s="1"/>
  <c r="F191" i="30" l="1"/>
  <c r="H110" i="30"/>
  <c r="D111" i="30" s="1"/>
  <c r="G111" i="30" s="1" a="1"/>
  <c r="G111" i="30" s="1"/>
  <c r="E111" i="30" s="1"/>
  <c r="B192" i="30"/>
  <c r="N438" i="30"/>
  <c r="Q438" i="30" s="1"/>
  <c r="F192" i="30" l="1"/>
  <c r="H111" i="30"/>
  <c r="D112" i="30" s="1"/>
  <c r="G112" i="30" s="1" a="1"/>
  <c r="G112" i="30" s="1"/>
  <c r="E112" i="30" s="1"/>
  <c r="B193" i="30"/>
  <c r="F193" i="30" l="1"/>
  <c r="H112" i="30"/>
  <c r="D113" i="30" s="1"/>
  <c r="G113" i="30" s="1" a="1"/>
  <c r="G113" i="30" s="1"/>
  <c r="E113" i="30" s="1"/>
  <c r="B194" i="30"/>
  <c r="N439" i="30"/>
  <c r="Q439" i="30" s="1"/>
  <c r="F194" i="30" l="1"/>
  <c r="H113" i="30"/>
  <c r="D114" i="30" s="1"/>
  <c r="G114" i="30" s="1" a="1"/>
  <c r="G114" i="30" s="1"/>
  <c r="E114" i="30" s="1"/>
  <c r="B195" i="30"/>
  <c r="F195" i="30" l="1"/>
  <c r="H114" i="30"/>
  <c r="D115" i="30" s="1"/>
  <c r="G115" i="30" s="1" a="1"/>
  <c r="G115" i="30" s="1"/>
  <c r="E115" i="30" s="1"/>
  <c r="B196" i="30"/>
  <c r="N440" i="30"/>
  <c r="Q440" i="30" s="1"/>
  <c r="F196" i="30" l="1"/>
  <c r="H115" i="30"/>
  <c r="D116" i="30" s="1"/>
  <c r="G116" i="30" s="1" a="1"/>
  <c r="G116" i="30" s="1"/>
  <c r="E116" i="30" s="1"/>
  <c r="B197" i="30"/>
  <c r="F197" i="30" l="1"/>
  <c r="H116" i="30"/>
  <c r="D117" i="30" s="1"/>
  <c r="G117" i="30" s="1" a="1"/>
  <c r="G117" i="30" s="1"/>
  <c r="E117" i="30" s="1"/>
  <c r="B198" i="30"/>
  <c r="N441" i="30"/>
  <c r="Q441" i="30" s="1"/>
  <c r="F198" i="30" l="1"/>
  <c r="H117" i="30"/>
  <c r="D118" i="30" s="1"/>
  <c r="G118" i="30" s="1" a="1"/>
  <c r="G118" i="30" s="1"/>
  <c r="E118" i="30" s="1"/>
  <c r="N442" i="30"/>
  <c r="B199" i="30"/>
  <c r="F199" i="30" l="1"/>
  <c r="H118" i="30"/>
  <c r="D119" i="30" s="1"/>
  <c r="G119" i="30" s="1" a="1"/>
  <c r="G119" i="30" s="1"/>
  <c r="E119" i="30" s="1"/>
  <c r="B200" i="30"/>
  <c r="Q442" i="30"/>
  <c r="F200" i="30" l="1"/>
  <c r="H119" i="30"/>
  <c r="D120" i="30" s="1"/>
  <c r="G120" i="30" s="1" a="1"/>
  <c r="G120" i="30" s="1"/>
  <c r="E120" i="30" s="1"/>
  <c r="B201" i="30"/>
  <c r="F201" i="30" l="1"/>
  <c r="H120" i="30"/>
  <c r="D121" i="30" s="1"/>
  <c r="G121" i="30" s="1" a="1"/>
  <c r="G121" i="30" s="1"/>
  <c r="E121" i="30" s="1"/>
  <c r="B202" i="30"/>
  <c r="N443" i="30"/>
  <c r="Q443" i="30" s="1"/>
  <c r="H121" i="30" l="1"/>
  <c r="D122" i="30" s="1"/>
  <c r="G122" i="30" s="1" a="1"/>
  <c r="G122" i="30" s="1"/>
  <c r="E122" i="30" s="1"/>
  <c r="F202" i="30"/>
  <c r="B203" i="30"/>
  <c r="H122" i="30" l="1"/>
  <c r="D123" i="30" s="1"/>
  <c r="G123" i="30" s="1" a="1"/>
  <c r="G123" i="30" s="1"/>
  <c r="E123" i="30" s="1"/>
  <c r="F203" i="30"/>
  <c r="N444" i="30"/>
  <c r="Q444" i="30" s="1"/>
  <c r="B204" i="30"/>
  <c r="H123" i="30" l="1"/>
  <c r="D124" i="30" s="1"/>
  <c r="G124" i="30" s="1" a="1"/>
  <c r="G124" i="30" s="1"/>
  <c r="E124" i="30" s="1"/>
  <c r="F204" i="30"/>
  <c r="B205" i="30"/>
  <c r="H124" i="30" l="1"/>
  <c r="F205" i="30"/>
  <c r="B206" i="30"/>
  <c r="N445" i="30"/>
  <c r="Q445" i="30" s="1"/>
  <c r="D125" i="30" l="1"/>
  <c r="G125" i="30" s="1" a="1"/>
  <c r="G125" i="30" s="1"/>
  <c r="E125" i="30" s="1"/>
  <c r="F206" i="30"/>
  <c r="B207" i="30"/>
  <c r="H125" i="30" l="1"/>
  <c r="F207" i="30"/>
  <c r="N446" i="30"/>
  <c r="Q446" i="30" s="1"/>
  <c r="B208" i="30"/>
  <c r="D126" i="30" l="1"/>
  <c r="G126" i="30" s="1" a="1"/>
  <c r="G126" i="30" s="1"/>
  <c r="E126" i="30" s="1"/>
  <c r="F208" i="30"/>
  <c r="B209" i="30"/>
  <c r="H126" i="30" l="1"/>
  <c r="D127" i="30" s="1"/>
  <c r="F209" i="30"/>
  <c r="N447" i="30"/>
  <c r="Q447" i="30" s="1"/>
  <c r="B210" i="30"/>
  <c r="G127" i="30" l="1" a="1"/>
  <c r="G127" i="30" s="1"/>
  <c r="E127" i="30" s="1"/>
  <c r="H127" i="30"/>
  <c r="D128" i="30" s="1"/>
  <c r="F210" i="30"/>
  <c r="B211" i="30"/>
  <c r="G128" i="30" l="1" a="1"/>
  <c r="G128" i="30" s="1"/>
  <c r="E128" i="30" s="1"/>
  <c r="H128" i="30"/>
  <c r="D129" i="30" s="1"/>
  <c r="F211" i="30"/>
  <c r="N448" i="30"/>
  <c r="Q448" i="30" s="1"/>
  <c r="B212" i="30"/>
  <c r="G129" i="30" l="1" a="1"/>
  <c r="G129" i="30" s="1"/>
  <c r="E129" i="30" s="1"/>
  <c r="H129" i="30"/>
  <c r="D130" i="30" s="1"/>
  <c r="F212" i="30"/>
  <c r="B213" i="30"/>
  <c r="N449" i="30"/>
  <c r="G130" i="30" l="1" a="1"/>
  <c r="G130" i="30" s="1"/>
  <c r="E130" i="30" s="1"/>
  <c r="H130" i="30"/>
  <c r="D131" i="30" s="1"/>
  <c r="F213" i="30"/>
  <c r="Q449" i="30"/>
  <c r="B214" i="30"/>
  <c r="G131" i="30" l="1" a="1"/>
  <c r="G131" i="30" s="1"/>
  <c r="E131" i="30" s="1"/>
  <c r="H131" i="30"/>
  <c r="D132" i="30" s="1"/>
  <c r="F214" i="30"/>
  <c r="B215" i="30"/>
  <c r="G132" i="30" l="1" a="1"/>
  <c r="G132" i="30" s="1"/>
  <c r="E132" i="30" s="1"/>
  <c r="H132" i="30"/>
  <c r="D133" i="30" s="1"/>
  <c r="F215" i="30"/>
  <c r="N450" i="30"/>
  <c r="Q450" i="30" s="1"/>
  <c r="B216" i="30"/>
  <c r="G133" i="30" l="1" a="1"/>
  <c r="G133" i="30" s="1"/>
  <c r="E133" i="30" s="1"/>
  <c r="H133" i="30"/>
  <c r="D134" i="30" s="1"/>
  <c r="F216" i="30"/>
  <c r="B217" i="30"/>
  <c r="G134" i="30" l="1" a="1"/>
  <c r="G134" i="30" s="1"/>
  <c r="E134" i="30" s="1"/>
  <c r="H134" i="30"/>
  <c r="D135" i="30" s="1"/>
  <c r="F217" i="30"/>
  <c r="N451" i="30"/>
  <c r="Q451" i="30" s="1"/>
  <c r="B218" i="30"/>
  <c r="G135" i="30" l="1" a="1"/>
  <c r="G135" i="30" s="1"/>
  <c r="E135" i="30" s="1"/>
  <c r="H135" i="30"/>
  <c r="D136" i="30" s="1"/>
  <c r="F218" i="30"/>
  <c r="B219" i="30"/>
  <c r="G136" i="30" l="1" a="1"/>
  <c r="G136" i="30" s="1"/>
  <c r="E136" i="30" s="1"/>
  <c r="H136" i="30"/>
  <c r="D137" i="30" s="1"/>
  <c r="F219" i="30"/>
  <c r="N452" i="30"/>
  <c r="Q452" i="30" s="1"/>
  <c r="B220" i="30"/>
  <c r="G137" i="30" l="1" a="1"/>
  <c r="G137" i="30" s="1"/>
  <c r="E137" i="30" s="1"/>
  <c r="H137" i="30"/>
  <c r="D138" i="30" s="1"/>
  <c r="F220" i="30"/>
  <c r="B221" i="30"/>
  <c r="G138" i="30" l="1" a="1"/>
  <c r="G138" i="30" s="1"/>
  <c r="E138" i="30" s="1"/>
  <c r="H138" i="30"/>
  <c r="D139" i="30" s="1"/>
  <c r="F221" i="30"/>
  <c r="N453" i="30"/>
  <c r="Q453" i="30" s="1"/>
  <c r="B222" i="30"/>
  <c r="G139" i="30" l="1" a="1"/>
  <c r="G139" i="30" s="1"/>
  <c r="E139" i="30" s="1"/>
  <c r="H139" i="30"/>
  <c r="D140" i="30" s="1"/>
  <c r="F222" i="30"/>
  <c r="B223" i="30"/>
  <c r="G140" i="30" l="1" a="1"/>
  <c r="G140" i="30" s="1"/>
  <c r="E140" i="30" s="1"/>
  <c r="H140" i="30"/>
  <c r="D141" i="30" s="1"/>
  <c r="F223" i="30"/>
  <c r="N454" i="30"/>
  <c r="Q454" i="30" s="1"/>
  <c r="B224" i="30"/>
  <c r="G141" i="30" l="1" a="1"/>
  <c r="G141" i="30" s="1"/>
  <c r="E141" i="30" s="1"/>
  <c r="H141" i="30"/>
  <c r="D142" i="30" s="1"/>
  <c r="F224" i="30"/>
  <c r="B225" i="30"/>
  <c r="N455" i="30"/>
  <c r="G142" i="30" l="1" a="1"/>
  <c r="G142" i="30" s="1"/>
  <c r="E142" i="30" s="1"/>
  <c r="H142" i="30"/>
  <c r="D143" i="30" s="1"/>
  <c r="F225" i="30"/>
  <c r="Q455" i="30"/>
  <c r="B226" i="30"/>
  <c r="G143" i="30" l="1" a="1"/>
  <c r="G143" i="30" s="1"/>
  <c r="E143" i="30" s="1"/>
  <c r="H143" i="30"/>
  <c r="D144" i="30" s="1"/>
  <c r="F226" i="30"/>
  <c r="B227" i="30"/>
  <c r="G144" i="30" l="1" a="1"/>
  <c r="G144" i="30" s="1"/>
  <c r="E144" i="30" s="1"/>
  <c r="H144" i="30"/>
  <c r="D145" i="30" s="1"/>
  <c r="F227" i="30"/>
  <c r="N456" i="30"/>
  <c r="Q456" i="30" s="1"/>
  <c r="B228" i="30"/>
  <c r="G145" i="30" l="1" a="1"/>
  <c r="G145" i="30" s="1"/>
  <c r="E145" i="30" s="1"/>
  <c r="H145" i="30"/>
  <c r="D146" i="30" s="1"/>
  <c r="F228" i="30"/>
  <c r="B229" i="30"/>
  <c r="G146" i="30" l="1" a="1"/>
  <c r="G146" i="30" s="1"/>
  <c r="E146" i="30" s="1"/>
  <c r="H146" i="30"/>
  <c r="D147" i="30" s="1"/>
  <c r="F229" i="30"/>
  <c r="N457" i="30"/>
  <c r="Q457" i="30" s="1"/>
  <c r="B230" i="30"/>
  <c r="G147" i="30" l="1" a="1"/>
  <c r="G147" i="30" s="1"/>
  <c r="E147" i="30" s="1"/>
  <c r="H147" i="30"/>
  <c r="D148" i="30" s="1"/>
  <c r="F230" i="30"/>
  <c r="B231" i="30"/>
  <c r="G148" i="30" l="1" a="1"/>
  <c r="G148" i="30" s="1"/>
  <c r="E148" i="30" s="1"/>
  <c r="H148" i="30"/>
  <c r="D149" i="30" s="1"/>
  <c r="F231" i="30"/>
  <c r="N458" i="30"/>
  <c r="Q458" i="30" s="1"/>
  <c r="B232" i="30"/>
  <c r="G149" i="30" l="1" a="1"/>
  <c r="G149" i="30" s="1"/>
  <c r="E149" i="30" s="1"/>
  <c r="H149" i="30"/>
  <c r="D150" i="30" s="1"/>
  <c r="F232" i="30"/>
  <c r="B233" i="30"/>
  <c r="G150" i="30" l="1" a="1"/>
  <c r="G150" i="30" s="1"/>
  <c r="E150" i="30" s="1"/>
  <c r="H150" i="30"/>
  <c r="D151" i="30" s="1"/>
  <c r="F233" i="30"/>
  <c r="N459" i="30"/>
  <c r="Q459" i="30" s="1"/>
  <c r="B234" i="30"/>
  <c r="G151" i="30" l="1" a="1"/>
  <c r="G151" i="30" s="1"/>
  <c r="E151" i="30" s="1"/>
  <c r="H151" i="30"/>
  <c r="D152" i="30" s="1"/>
  <c r="F234" i="30"/>
  <c r="B235" i="30"/>
  <c r="G152" i="30" l="1" a="1"/>
  <c r="G152" i="30" s="1"/>
  <c r="E152" i="30" s="1"/>
  <c r="H152" i="30"/>
  <c r="D153" i="30" s="1"/>
  <c r="F235" i="30"/>
  <c r="N460" i="30"/>
  <c r="Q460" i="30" s="1"/>
  <c r="B236" i="30"/>
  <c r="G153" i="30" l="1" a="1"/>
  <c r="G153" i="30" s="1"/>
  <c r="E153" i="30" s="1"/>
  <c r="H153" i="30"/>
  <c r="D154" i="30" s="1"/>
  <c r="F236" i="30"/>
  <c r="B237" i="30"/>
  <c r="G154" i="30" l="1" a="1"/>
  <c r="G154" i="30" s="1"/>
  <c r="E154" i="30" s="1"/>
  <c r="H154" i="30"/>
  <c r="D155" i="30" s="1"/>
  <c r="F237" i="30"/>
  <c r="N462" i="30"/>
  <c r="N461" i="30"/>
  <c r="Q461" i="30" s="1"/>
  <c r="B238" i="30"/>
  <c r="G155" i="30" l="1" a="1"/>
  <c r="G155" i="30" s="1"/>
  <c r="E155" i="30" s="1"/>
  <c r="H155" i="30"/>
  <c r="D156" i="30" s="1"/>
  <c r="F238" i="30"/>
  <c r="B239" i="30"/>
  <c r="Q462" i="30"/>
  <c r="G156" i="30" l="1" a="1"/>
  <c r="G156" i="30" s="1"/>
  <c r="E156" i="30" s="1"/>
  <c r="H156" i="30"/>
  <c r="D157" i="30" s="1"/>
  <c r="F239" i="30"/>
  <c r="N463" i="30"/>
  <c r="B240" i="30"/>
  <c r="G157" i="30" l="1" a="1"/>
  <c r="G157" i="30" s="1"/>
  <c r="E157" i="30" s="1"/>
  <c r="H157" i="30"/>
  <c r="D158" i="30" s="1"/>
  <c r="F240" i="30"/>
  <c r="Q463" i="30"/>
  <c r="B241" i="30"/>
  <c r="G158" i="30" l="1" a="1"/>
  <c r="G158" i="30" s="1"/>
  <c r="E158" i="30" s="1"/>
  <c r="H158" i="30"/>
  <c r="D159" i="30" s="1"/>
  <c r="F241" i="30"/>
  <c r="B242" i="30"/>
  <c r="G159" i="30" l="1" a="1"/>
  <c r="G159" i="30" s="1"/>
  <c r="E159" i="30" s="1"/>
  <c r="H159" i="30"/>
  <c r="D160" i="30" s="1"/>
  <c r="F242" i="30"/>
  <c r="N464" i="30"/>
  <c r="Q464" i="30" s="1"/>
  <c r="B243" i="30"/>
  <c r="G160" i="30" l="1" a="1"/>
  <c r="G160" i="30" s="1"/>
  <c r="E160" i="30" s="1"/>
  <c r="H160" i="30"/>
  <c r="D161" i="30" s="1"/>
  <c r="F243" i="30"/>
  <c r="B244" i="30"/>
  <c r="G161" i="30" l="1" a="1"/>
  <c r="G161" i="30" s="1"/>
  <c r="E161" i="30" s="1"/>
  <c r="H161" i="30"/>
  <c r="D162" i="30" s="1"/>
  <c r="F244" i="30"/>
  <c r="N465" i="30"/>
  <c r="Q465" i="30" s="1"/>
  <c r="B245" i="30"/>
  <c r="G162" i="30" l="1" a="1"/>
  <c r="G162" i="30" s="1"/>
  <c r="E162" i="30" s="1"/>
  <c r="H162" i="30"/>
  <c r="D163" i="30" s="1"/>
  <c r="F245" i="30"/>
  <c r="B246" i="30"/>
  <c r="N466" i="30"/>
  <c r="G163" i="30" l="1" a="1"/>
  <c r="G163" i="30" s="1"/>
  <c r="E163" i="30" s="1"/>
  <c r="H163" i="30"/>
  <c r="D164" i="30" s="1"/>
  <c r="F246" i="30"/>
  <c r="Q466" i="30"/>
  <c r="B247" i="30"/>
  <c r="G164" i="30" l="1" a="1"/>
  <c r="G164" i="30" s="1"/>
  <c r="E164" i="30" s="1"/>
  <c r="H164" i="30"/>
  <c r="D165" i="30" s="1"/>
  <c r="F247" i="30"/>
  <c r="B248" i="30"/>
  <c r="G165" i="30" l="1" a="1"/>
  <c r="G165" i="30" s="1"/>
  <c r="E165" i="30" s="1"/>
  <c r="H165" i="30"/>
  <c r="D166" i="30" s="1"/>
  <c r="F248" i="30"/>
  <c r="N467" i="30"/>
  <c r="Q467" i="30" s="1"/>
  <c r="B249" i="30"/>
  <c r="G166" i="30" l="1" a="1"/>
  <c r="G166" i="30" s="1"/>
  <c r="E166" i="30" s="1"/>
  <c r="H166" i="30"/>
  <c r="D167" i="30" s="1"/>
  <c r="F249" i="30"/>
  <c r="B250" i="30"/>
  <c r="G167" i="30" l="1" a="1"/>
  <c r="G167" i="30" s="1"/>
  <c r="E167" i="30" s="1"/>
  <c r="H167" i="30"/>
  <c r="D168" i="30" s="1"/>
  <c r="F250" i="30"/>
  <c r="N468" i="30"/>
  <c r="Q468" i="30" s="1"/>
  <c r="B251" i="30"/>
  <c r="G168" i="30" l="1" a="1"/>
  <c r="G168" i="30" s="1"/>
  <c r="E168" i="30" s="1"/>
  <c r="H168" i="30"/>
  <c r="D169" i="30" s="1"/>
  <c r="F251" i="30"/>
  <c r="B252" i="30"/>
  <c r="N469" i="30"/>
  <c r="G169" i="30" l="1" a="1"/>
  <c r="G169" i="30" s="1"/>
  <c r="E169" i="30" s="1"/>
  <c r="H169" i="30"/>
  <c r="D170" i="30" s="1"/>
  <c r="F252" i="30"/>
  <c r="Q469" i="30"/>
  <c r="B253" i="30"/>
  <c r="G170" i="30" l="1" a="1"/>
  <c r="G170" i="30" s="1"/>
  <c r="E170" i="30" s="1"/>
  <c r="H170" i="30"/>
  <c r="D171" i="30" s="1"/>
  <c r="F253" i="30"/>
  <c r="B254" i="30"/>
  <c r="N470" i="30"/>
  <c r="Q470" i="30" s="1"/>
  <c r="G171" i="30" l="1" a="1"/>
  <c r="G171" i="30" s="1"/>
  <c r="E171" i="30" s="1"/>
  <c r="H171" i="30"/>
  <c r="D172" i="30" s="1"/>
  <c r="F254" i="30"/>
  <c r="B255" i="30"/>
  <c r="G172" i="30" l="1" a="1"/>
  <c r="G172" i="30" s="1"/>
  <c r="E172" i="30" s="1"/>
  <c r="H172" i="30"/>
  <c r="D173" i="30" s="1"/>
  <c r="F255" i="30"/>
  <c r="B256" i="30"/>
  <c r="N471" i="30"/>
  <c r="Q471" i="30" s="1"/>
  <c r="G173" i="30" l="1" a="1"/>
  <c r="G173" i="30" s="1"/>
  <c r="E173" i="30" s="1"/>
  <c r="H173" i="30"/>
  <c r="D174" i="30" s="1"/>
  <c r="F256" i="30"/>
  <c r="B257" i="30"/>
  <c r="G174" i="30" l="1" a="1"/>
  <c r="G174" i="30" s="1"/>
  <c r="E174" i="30" s="1"/>
  <c r="H174" i="30"/>
  <c r="D175" i="30" s="1"/>
  <c r="F257" i="30"/>
  <c r="B258" i="30"/>
  <c r="N472" i="30"/>
  <c r="Q472" i="30" s="1"/>
  <c r="G175" i="30" l="1" a="1"/>
  <c r="G175" i="30" s="1"/>
  <c r="E175" i="30" s="1"/>
  <c r="H175" i="30"/>
  <c r="D176" i="30" s="1"/>
  <c r="F258" i="30"/>
  <c r="N473" i="30"/>
  <c r="B259" i="30"/>
  <c r="G176" i="30" l="1" a="1"/>
  <c r="G176" i="30" s="1"/>
  <c r="E176" i="30" s="1"/>
  <c r="H176" i="30"/>
  <c r="D177" i="30" s="1"/>
  <c r="F259" i="30"/>
  <c r="B260" i="30"/>
  <c r="Q473" i="30"/>
  <c r="G177" i="30" l="1" a="1"/>
  <c r="G177" i="30" s="1"/>
  <c r="E177" i="30" s="1"/>
  <c r="H177" i="30"/>
  <c r="F260" i="30"/>
  <c r="B261" i="30"/>
  <c r="D178" i="30" l="1"/>
  <c r="G178" i="30" s="1" a="1"/>
  <c r="G178" i="30" s="1"/>
  <c r="E178" i="30" s="1"/>
  <c r="F261" i="30"/>
  <c r="B262" i="30"/>
  <c r="N474" i="30"/>
  <c r="Q474" i="30" s="1"/>
  <c r="H178" i="30" l="1"/>
  <c r="F262" i="30"/>
  <c r="B263" i="30"/>
  <c r="N475" i="30"/>
  <c r="Q475" i="30" s="1"/>
  <c r="D179" i="30" l="1"/>
  <c r="G179" i="30" s="1" a="1"/>
  <c r="G179" i="30" s="1"/>
  <c r="E179" i="30" s="1"/>
  <c r="F263" i="30"/>
  <c r="B264" i="30"/>
  <c r="H179" i="30" l="1"/>
  <c r="F264" i="30"/>
  <c r="B265" i="30"/>
  <c r="N476" i="30"/>
  <c r="Q476" i="30" s="1"/>
  <c r="D180" i="30" l="1"/>
  <c r="G180" i="30" s="1" a="1"/>
  <c r="G180" i="30" s="1"/>
  <c r="E180" i="30" s="1"/>
  <c r="F265" i="30"/>
  <c r="N477" i="30"/>
  <c r="B266" i="30"/>
  <c r="H180" i="30" l="1"/>
  <c r="F266" i="30"/>
  <c r="B267" i="30"/>
  <c r="Q477" i="30"/>
  <c r="D181" i="30" l="1"/>
  <c r="G181" i="30" s="1" a="1"/>
  <c r="G181" i="30" s="1"/>
  <c r="E181" i="30" s="1"/>
  <c r="F267" i="30"/>
  <c r="B268" i="30"/>
  <c r="H181" i="30" l="1"/>
  <c r="F268" i="30"/>
  <c r="B269" i="30"/>
  <c r="N478" i="30"/>
  <c r="Q478" i="30" s="1"/>
  <c r="D182" i="30" l="1"/>
  <c r="G182" i="30" s="1" a="1"/>
  <c r="G182" i="30" s="1"/>
  <c r="E182" i="30" s="1"/>
  <c r="F269" i="30"/>
  <c r="N479" i="30"/>
  <c r="B270" i="30"/>
  <c r="H182" i="30" l="1"/>
  <c r="F270" i="30"/>
  <c r="B271" i="30"/>
  <c r="Q479" i="30"/>
  <c r="D183" i="30" l="1"/>
  <c r="G183" i="30" s="1" a="1"/>
  <c r="G183" i="30" s="1"/>
  <c r="E183" i="30" s="1"/>
  <c r="F271" i="30"/>
  <c r="B272" i="30"/>
  <c r="H183" i="30" l="1"/>
  <c r="F272" i="30"/>
  <c r="B273" i="30"/>
  <c r="N480" i="30"/>
  <c r="Q480" i="30" s="1"/>
  <c r="D184" i="30" l="1"/>
  <c r="G184" i="30" s="1" a="1"/>
  <c r="G184" i="30" s="1"/>
  <c r="E184" i="30" s="1"/>
  <c r="F273" i="30"/>
  <c r="B274" i="30"/>
  <c r="N481" i="30"/>
  <c r="Q481" i="30" s="1"/>
  <c r="H184" i="30" l="1"/>
  <c r="F274" i="30"/>
  <c r="B275" i="30"/>
  <c r="D185" i="30" l="1"/>
  <c r="G185" i="30" s="1" a="1"/>
  <c r="G185" i="30" s="1"/>
  <c r="E185" i="30" s="1"/>
  <c r="F275" i="30"/>
  <c r="N482" i="30"/>
  <c r="Q482" i="30" s="1"/>
  <c r="B276" i="30"/>
  <c r="H185" i="30" l="1"/>
  <c r="F276" i="30"/>
  <c r="B277" i="30"/>
  <c r="D186" i="30" l="1"/>
  <c r="G186" i="30" s="1" a="1"/>
  <c r="G186" i="30" s="1"/>
  <c r="E186" i="30" s="1"/>
  <c r="F277" i="30"/>
  <c r="N483" i="30"/>
  <c r="Q483" i="30" s="1"/>
  <c r="B278" i="30"/>
  <c r="H186" i="30" l="1"/>
  <c r="F278" i="30"/>
  <c r="B279" i="30"/>
  <c r="D187" i="30" l="1"/>
  <c r="G187" i="30" s="1" a="1"/>
  <c r="G187" i="30" s="1"/>
  <c r="E187" i="30" s="1"/>
  <c r="F279" i="30"/>
  <c r="B280" i="30"/>
  <c r="N484" i="30"/>
  <c r="Q484" i="30" s="1"/>
  <c r="H187" i="30" l="1"/>
  <c r="F280" i="30"/>
  <c r="B281" i="30"/>
  <c r="D188" i="30" l="1"/>
  <c r="G188" i="30" s="1" a="1"/>
  <c r="G188" i="30" s="1"/>
  <c r="E188" i="30" s="1"/>
  <c r="F281" i="30"/>
  <c r="B282" i="30"/>
  <c r="N485" i="30"/>
  <c r="Q485" i="30" s="1"/>
  <c r="H188" i="30" l="1"/>
  <c r="F282" i="30"/>
  <c r="N486" i="30"/>
  <c r="B283" i="30"/>
  <c r="D189" i="30" l="1"/>
  <c r="G189" i="30" s="1" a="1"/>
  <c r="G189" i="30" s="1"/>
  <c r="E189" i="30" s="1"/>
  <c r="F283" i="30"/>
  <c r="B284" i="30"/>
  <c r="Q486" i="30"/>
  <c r="H189" i="30" l="1"/>
  <c r="F284" i="30"/>
  <c r="N487" i="30"/>
  <c r="B285" i="30"/>
  <c r="D190" i="30" l="1"/>
  <c r="G190" i="30" s="1" a="1"/>
  <c r="G190" i="30" s="1"/>
  <c r="E190" i="30" s="1"/>
  <c r="F285" i="30"/>
  <c r="B286" i="30"/>
  <c r="Q487" i="30"/>
  <c r="H190" i="30" l="1"/>
  <c r="F286" i="30"/>
  <c r="B287" i="30"/>
  <c r="D191" i="30" l="1"/>
  <c r="G191" i="30" s="1" a="1"/>
  <c r="G191" i="30" s="1"/>
  <c r="E191" i="30" s="1"/>
  <c r="F287" i="30"/>
  <c r="N488" i="30"/>
  <c r="Q488" i="30" s="1"/>
  <c r="B288" i="30"/>
  <c r="H191" i="30" l="1"/>
  <c r="F288" i="30"/>
  <c r="B289" i="30"/>
  <c r="D192" i="30" l="1"/>
  <c r="G192" i="30" s="1" a="1"/>
  <c r="G192" i="30" s="1"/>
  <c r="E192" i="30" s="1"/>
  <c r="F289" i="30"/>
  <c r="N489" i="30"/>
  <c r="Q489" i="30" s="1"/>
  <c r="B290" i="30"/>
  <c r="H192" i="30" l="1"/>
  <c r="D193" i="30" s="1"/>
  <c r="G193" i="30" s="1" a="1"/>
  <c r="G193" i="30" s="1"/>
  <c r="E193" i="30" s="1"/>
  <c r="H193" i="30" s="1"/>
  <c r="D194" i="30" s="1"/>
  <c r="G194" i="30" s="1" a="1"/>
  <c r="G194" i="30" s="1"/>
  <c r="E194" i="30" s="1"/>
  <c r="H194" i="30" s="1"/>
  <c r="D195" i="30" s="1"/>
  <c r="G195" i="30" s="1" a="1"/>
  <c r="G195" i="30" s="1"/>
  <c r="E195" i="30" s="1"/>
  <c r="H195" i="30" s="1"/>
  <c r="D196" i="30" s="1"/>
  <c r="G196" i="30" s="1" a="1"/>
  <c r="G196" i="30" s="1"/>
  <c r="E196" i="30" s="1"/>
  <c r="H196" i="30" s="1"/>
  <c r="D197" i="30" s="1"/>
  <c r="F290" i="30"/>
  <c r="B291" i="30"/>
  <c r="G197" i="30" l="1" a="1"/>
  <c r="G197" i="30" s="1"/>
  <c r="E197" i="30" s="1"/>
  <c r="H197" i="30"/>
  <c r="D198" i="30" s="1"/>
  <c r="G198" i="30" s="1" a="1"/>
  <c r="G198" i="30" s="1"/>
  <c r="E198" i="30" s="1"/>
  <c r="H198" i="30" s="1"/>
  <c r="D199" i="30" s="1"/>
  <c r="F291" i="30"/>
  <c r="B292" i="30"/>
  <c r="N490" i="30"/>
  <c r="Q490" i="30" s="1"/>
  <c r="G199" i="30" l="1" a="1"/>
  <c r="G199" i="30" s="1"/>
  <c r="E199" i="30" s="1"/>
  <c r="H199" i="30"/>
  <c r="D200" i="30" s="1"/>
  <c r="F292" i="30"/>
  <c r="B293" i="30"/>
  <c r="G200" i="30" l="1" a="1"/>
  <c r="G200" i="30" s="1"/>
  <c r="E200" i="30" s="1"/>
  <c r="H200" i="30"/>
  <c r="D201" i="30" s="1"/>
  <c r="G201" i="30" s="1" a="1"/>
  <c r="G201" i="30" s="1"/>
  <c r="E201" i="30" s="1"/>
  <c r="H201" i="30" s="1"/>
  <c r="D202" i="30" s="1"/>
  <c r="G202" i="30" s="1" a="1"/>
  <c r="G202" i="30" s="1"/>
  <c r="E202" i="30" s="1"/>
  <c r="H202" i="30" s="1"/>
  <c r="D203" i="30" s="1"/>
  <c r="G203" i="30" s="1" a="1"/>
  <c r="G203" i="30" s="1"/>
  <c r="E203" i="30" s="1"/>
  <c r="H203" i="30" s="1"/>
  <c r="D204" i="30" s="1"/>
  <c r="G204" i="30" s="1" a="1"/>
  <c r="G204" i="30" s="1"/>
  <c r="E204" i="30" s="1"/>
  <c r="H204" i="30" s="1"/>
  <c r="D205" i="30" s="1"/>
  <c r="G205" i="30" s="1" a="1"/>
  <c r="G205" i="30" s="1"/>
  <c r="E205" i="30" s="1"/>
  <c r="H205" i="30" s="1"/>
  <c r="D206" i="30" s="1"/>
  <c r="G206" i="30" s="1" a="1"/>
  <c r="G206" i="30" s="1"/>
  <c r="E206" i="30" s="1"/>
  <c r="H206" i="30" s="1"/>
  <c r="D207" i="30" s="1"/>
  <c r="G207" i="30" s="1" a="1"/>
  <c r="G207" i="30" s="1"/>
  <c r="E207" i="30" s="1"/>
  <c r="H207" i="30" s="1"/>
  <c r="D208" i="30" s="1"/>
  <c r="G208" i="30" s="1" a="1"/>
  <c r="G208" i="30" s="1"/>
  <c r="E208" i="30" s="1"/>
  <c r="H208" i="30" s="1"/>
  <c r="D209" i="30" s="1"/>
  <c r="G209" i="30" s="1" a="1"/>
  <c r="G209" i="30" s="1"/>
  <c r="E209" i="30" s="1"/>
  <c r="H209" i="30" s="1"/>
  <c r="D210" i="30" s="1"/>
  <c r="G210" i="30" s="1" a="1"/>
  <c r="G210" i="30" s="1"/>
  <c r="E210" i="30" s="1"/>
  <c r="H210" i="30" s="1"/>
  <c r="D211" i="30" s="1"/>
  <c r="G211" i="30" s="1" a="1"/>
  <c r="G211" i="30" s="1"/>
  <c r="E211" i="30" s="1"/>
  <c r="H211" i="30" s="1"/>
  <c r="D212" i="30" s="1"/>
  <c r="G212" i="30" s="1" a="1"/>
  <c r="G212" i="30" s="1"/>
  <c r="E212" i="30" s="1"/>
  <c r="H212" i="30" s="1"/>
  <c r="D213" i="30" s="1"/>
  <c r="G213" i="30" s="1" a="1"/>
  <c r="G213" i="30" s="1"/>
  <c r="E213" i="30" s="1"/>
  <c r="H213" i="30" s="1"/>
  <c r="D214" i="30" s="1"/>
  <c r="G214" i="30" s="1" a="1"/>
  <c r="G214" i="30" s="1"/>
  <c r="E214" i="30" s="1"/>
  <c r="H214" i="30" s="1"/>
  <c r="D215" i="30" s="1"/>
  <c r="G215" i="30" s="1" a="1"/>
  <c r="G215" i="30" s="1"/>
  <c r="E215" i="30" s="1"/>
  <c r="H215" i="30" s="1"/>
  <c r="D216" i="30" s="1"/>
  <c r="G216" i="30" s="1" a="1"/>
  <c r="G216" i="30" s="1"/>
  <c r="E216" i="30" s="1"/>
  <c r="H216" i="30" s="1"/>
  <c r="D217" i="30" s="1"/>
  <c r="G217" i="30" s="1" a="1"/>
  <c r="G217" i="30" s="1"/>
  <c r="E217" i="30" s="1"/>
  <c r="H217" i="30" s="1"/>
  <c r="D218" i="30" s="1"/>
  <c r="F293" i="30"/>
  <c r="B294" i="30"/>
  <c r="N491" i="30"/>
  <c r="Q491" i="30" s="1"/>
  <c r="G218" i="30" l="1" a="1"/>
  <c r="G218" i="30" s="1"/>
  <c r="E218" i="30" s="1"/>
  <c r="H218" i="30"/>
  <c r="D219" i="30" s="1"/>
  <c r="G219" i="30" s="1" a="1"/>
  <c r="G219" i="30" s="1"/>
  <c r="E219" i="30" s="1"/>
  <c r="H219" i="30" s="1"/>
  <c r="D220" i="30" s="1"/>
  <c r="G220" i="30" s="1" a="1"/>
  <c r="G220" i="30" s="1"/>
  <c r="E220" i="30" s="1"/>
  <c r="H220" i="30" s="1"/>
  <c r="D221" i="30" s="1"/>
  <c r="G221" i="30" s="1" a="1"/>
  <c r="G221" i="30" s="1"/>
  <c r="E221" i="30" s="1"/>
  <c r="H221" i="30" s="1"/>
  <c r="D222" i="30" s="1"/>
  <c r="G222" i="30" s="1" a="1"/>
  <c r="G222" i="30" s="1"/>
  <c r="E222" i="30" s="1"/>
  <c r="H222" i="30" s="1"/>
  <c r="D223" i="30" s="1"/>
  <c r="G223" i="30" s="1" a="1"/>
  <c r="G223" i="30" s="1"/>
  <c r="E223" i="30" s="1"/>
  <c r="H223" i="30" s="1"/>
  <c r="D224" i="30" s="1"/>
  <c r="F294" i="30"/>
  <c r="N492" i="30"/>
  <c r="B295" i="30"/>
  <c r="G224" i="30" l="1" a="1"/>
  <c r="G224" i="30" s="1"/>
  <c r="E224" i="30" s="1"/>
  <c r="H224" i="30"/>
  <c r="D225" i="30" s="1"/>
  <c r="G225" i="30" s="1" a="1"/>
  <c r="G225" i="30" s="1"/>
  <c r="E225" i="30" s="1"/>
  <c r="H225" i="30" s="1"/>
  <c r="D226" i="30" s="1"/>
  <c r="G226" i="30" s="1" a="1"/>
  <c r="G226" i="30" s="1"/>
  <c r="E226" i="30" s="1"/>
  <c r="H226" i="30" s="1"/>
  <c r="D227" i="30" s="1"/>
  <c r="G227" i="30" s="1" a="1"/>
  <c r="G227" i="30" s="1"/>
  <c r="E227" i="30" s="1"/>
  <c r="H227" i="30" s="1"/>
  <c r="D228" i="30" s="1"/>
  <c r="G228" i="30" s="1" a="1"/>
  <c r="G228" i="30" s="1"/>
  <c r="E228" i="30" s="1"/>
  <c r="H228" i="30" s="1"/>
  <c r="D229" i="30" s="1"/>
  <c r="G229" i="30" s="1" a="1"/>
  <c r="G229" i="30" s="1"/>
  <c r="E229" i="30" s="1"/>
  <c r="H229" i="30" s="1"/>
  <c r="D230" i="30" s="1"/>
  <c r="G230" i="30" s="1" a="1"/>
  <c r="G230" i="30" s="1"/>
  <c r="E230" i="30" s="1"/>
  <c r="H230" i="30" s="1"/>
  <c r="D231" i="30" s="1"/>
  <c r="G231" i="30" s="1" a="1"/>
  <c r="G231" i="30" s="1"/>
  <c r="E231" i="30" s="1"/>
  <c r="H231" i="30" s="1"/>
  <c r="D232" i="30" s="1"/>
  <c r="F295" i="30"/>
  <c r="B296" i="30"/>
  <c r="Q492" i="30"/>
  <c r="G232" i="30" l="1" a="1"/>
  <c r="G232" i="30" s="1"/>
  <c r="E232" i="30" s="1"/>
  <c r="H232" i="30"/>
  <c r="D233" i="30" s="1"/>
  <c r="G233" i="30" s="1" a="1"/>
  <c r="G233" i="30" s="1"/>
  <c r="E233" i="30" s="1"/>
  <c r="H233" i="30" s="1"/>
  <c r="D234" i="30" s="1"/>
  <c r="G234" i="30" s="1" a="1"/>
  <c r="G234" i="30" s="1"/>
  <c r="E234" i="30" s="1"/>
  <c r="H234" i="30" s="1"/>
  <c r="D235" i="30" s="1"/>
  <c r="G235" i="30" s="1" a="1"/>
  <c r="G235" i="30" s="1"/>
  <c r="E235" i="30" s="1"/>
  <c r="H235" i="30" s="1"/>
  <c r="D236" i="30" s="1"/>
  <c r="G236" i="30" s="1" a="1"/>
  <c r="G236" i="30" s="1"/>
  <c r="E236" i="30" s="1"/>
  <c r="H236" i="30" s="1"/>
  <c r="D237" i="30" s="1"/>
  <c r="G237" i="30" s="1" a="1"/>
  <c r="G237" i="30" s="1"/>
  <c r="E237" i="30" s="1"/>
  <c r="H237" i="30" s="1"/>
  <c r="D238" i="30" s="1"/>
  <c r="G238" i="30" s="1" a="1"/>
  <c r="G238" i="30" s="1"/>
  <c r="E238" i="30" s="1"/>
  <c r="H238" i="30" s="1"/>
  <c r="D239" i="30" s="1"/>
  <c r="G239" i="30" s="1" a="1"/>
  <c r="G239" i="30" s="1"/>
  <c r="E239" i="30" s="1"/>
  <c r="H239" i="30" s="1"/>
  <c r="D240" i="30" s="1"/>
  <c r="G240" i="30" s="1" a="1"/>
  <c r="G240" i="30" s="1"/>
  <c r="E240" i="30" s="1"/>
  <c r="H240" i="30" s="1"/>
  <c r="D241" i="30" s="1"/>
  <c r="G241" i="30" s="1" a="1"/>
  <c r="G241" i="30" s="1"/>
  <c r="E241" i="30" s="1"/>
  <c r="H241" i="30" s="1"/>
  <c r="D242" i="30" s="1"/>
  <c r="G242" i="30" s="1" a="1"/>
  <c r="G242" i="30" s="1"/>
  <c r="E242" i="30" s="1"/>
  <c r="H242" i="30" s="1"/>
  <c r="D243" i="30" s="1"/>
  <c r="G243" i="30" s="1" a="1"/>
  <c r="G243" i="30" s="1"/>
  <c r="E243" i="30" s="1"/>
  <c r="H243" i="30" s="1"/>
  <c r="D244" i="30" s="1"/>
  <c r="G244" i="30" s="1" a="1"/>
  <c r="G244" i="30" s="1"/>
  <c r="E244" i="30" s="1"/>
  <c r="H244" i="30" s="1"/>
  <c r="D245" i="30" s="1"/>
  <c r="G245" i="30" s="1" a="1"/>
  <c r="G245" i="30" s="1"/>
  <c r="E245" i="30" s="1"/>
  <c r="H245" i="30" s="1"/>
  <c r="D246" i="30" s="1"/>
  <c r="G246" i="30" s="1" a="1"/>
  <c r="G246" i="30" s="1"/>
  <c r="E246" i="30" s="1"/>
  <c r="H246" i="30" s="1"/>
  <c r="D247" i="30" s="1"/>
  <c r="G247" i="30" s="1" a="1"/>
  <c r="G247" i="30" s="1"/>
  <c r="E247" i="30" s="1"/>
  <c r="H247" i="30" s="1"/>
  <c r="D248" i="30" s="1"/>
  <c r="G248" i="30" s="1" a="1"/>
  <c r="G248" i="30" s="1"/>
  <c r="E248" i="30" s="1"/>
  <c r="H248" i="30" s="1"/>
  <c r="D249" i="30" s="1"/>
  <c r="G249" i="30" s="1" a="1"/>
  <c r="G249" i="30" s="1"/>
  <c r="E249" i="30" s="1"/>
  <c r="H249" i="30" s="1"/>
  <c r="D250" i="30" s="1"/>
  <c r="G250" i="30" s="1" a="1"/>
  <c r="G250" i="30" s="1"/>
  <c r="E250" i="30" s="1"/>
  <c r="H250" i="30" s="1"/>
  <c r="D251" i="30" s="1"/>
  <c r="G251" i="30" s="1" a="1"/>
  <c r="G251" i="30" s="1"/>
  <c r="E251" i="30" s="1"/>
  <c r="H251" i="30" s="1"/>
  <c r="D252" i="30" s="1"/>
  <c r="G252" i="30" s="1" a="1"/>
  <c r="G252" i="30" s="1"/>
  <c r="E252" i="30" s="1"/>
  <c r="H252" i="30" s="1"/>
  <c r="D253" i="30" s="1"/>
  <c r="G253" i="30" s="1" a="1"/>
  <c r="G253" i="30" s="1"/>
  <c r="E253" i="30" s="1"/>
  <c r="H253" i="30" s="1"/>
  <c r="D254" i="30" s="1"/>
  <c r="G254" i="30" s="1" a="1"/>
  <c r="G254" i="30" s="1"/>
  <c r="E254" i="30" s="1"/>
  <c r="H254" i="30" s="1"/>
  <c r="D255" i="30" s="1"/>
  <c r="G255" i="30" s="1" a="1"/>
  <c r="G255" i="30" s="1"/>
  <c r="E255" i="30" s="1"/>
  <c r="H255" i="30" s="1"/>
  <c r="D256" i="30" s="1"/>
  <c r="G256" i="30" s="1" a="1"/>
  <c r="G256" i="30" s="1"/>
  <c r="E256" i="30" s="1"/>
  <c r="H256" i="30" s="1"/>
  <c r="D257" i="30" s="1"/>
  <c r="G257" i="30" s="1" a="1"/>
  <c r="G257" i="30" s="1"/>
  <c r="E257" i="30" s="1"/>
  <c r="H257" i="30" s="1"/>
  <c r="D258" i="30" s="1"/>
  <c r="G258" i="30" s="1" a="1"/>
  <c r="G258" i="30" s="1"/>
  <c r="E258" i="30" s="1"/>
  <c r="H258" i="30" s="1"/>
  <c r="D259" i="30" s="1"/>
  <c r="G259" i="30" s="1" a="1"/>
  <c r="G259" i="30" s="1"/>
  <c r="E259" i="30" s="1"/>
  <c r="H259" i="30" s="1"/>
  <c r="D260" i="30" s="1"/>
  <c r="G260" i="30" s="1" a="1"/>
  <c r="G260" i="30" s="1"/>
  <c r="E260" i="30" s="1"/>
  <c r="H260" i="30" s="1"/>
  <c r="D261" i="30" s="1"/>
  <c r="G261" i="30" s="1" a="1"/>
  <c r="G261" i="30" s="1"/>
  <c r="E261" i="30" s="1"/>
  <c r="H261" i="30" s="1"/>
  <c r="D262" i="30" s="1"/>
  <c r="F296" i="30"/>
  <c r="B297" i="30"/>
  <c r="G262" i="30" l="1" a="1"/>
  <c r="G262" i="30" s="1"/>
  <c r="E262" i="30" s="1"/>
  <c r="H262" i="30"/>
  <c r="D263" i="30" s="1"/>
  <c r="G263" i="30" s="1" a="1"/>
  <c r="G263" i="30" s="1"/>
  <c r="E263" i="30" s="1"/>
  <c r="H263" i="30" s="1"/>
  <c r="D264" i="30" s="1"/>
  <c r="F297" i="30"/>
  <c r="N493" i="30"/>
  <c r="Q493" i="30" s="1"/>
  <c r="B298" i="30"/>
  <c r="G264" i="30" l="1" a="1"/>
  <c r="G264" i="30" s="1"/>
  <c r="E264" i="30" s="1"/>
  <c r="H264" i="30"/>
  <c r="D265" i="30" s="1"/>
  <c r="G265" i="30" s="1" a="1"/>
  <c r="G265" i="30" s="1"/>
  <c r="E265" i="30" s="1"/>
  <c r="H265" i="30" s="1"/>
  <c r="D266" i="30" s="1"/>
  <c r="F298" i="30"/>
  <c r="B299" i="30"/>
  <c r="G266" i="30" l="1" a="1"/>
  <c r="G266" i="30" s="1"/>
  <c r="E266" i="30" s="1"/>
  <c r="H266" i="30"/>
  <c r="D267" i="30" s="1"/>
  <c r="G267" i="30" s="1" a="1"/>
  <c r="G267" i="30" s="1"/>
  <c r="E267" i="30" s="1"/>
  <c r="H267" i="30" s="1"/>
  <c r="D268" i="30" s="1"/>
  <c r="F299" i="30"/>
  <c r="N494" i="30"/>
  <c r="Q494" i="30" s="1"/>
  <c r="B300" i="30"/>
  <c r="G268" i="30" l="1" a="1"/>
  <c r="G268" i="30" s="1"/>
  <c r="E268" i="30" s="1"/>
  <c r="H268" i="30"/>
  <c r="D269" i="30" s="1"/>
  <c r="G269" i="30" s="1" a="1"/>
  <c r="G269" i="30" s="1"/>
  <c r="E269" i="30" s="1"/>
  <c r="H269" i="30" s="1"/>
  <c r="D270" i="30" s="1"/>
  <c r="F300" i="30"/>
  <c r="N495" i="30"/>
  <c r="B301" i="30"/>
  <c r="G270" i="30" l="1" a="1"/>
  <c r="G270" i="30" s="1"/>
  <c r="E270" i="30" s="1"/>
  <c r="H270" i="30"/>
  <c r="D271" i="30" s="1"/>
  <c r="G271" i="30" s="1" a="1"/>
  <c r="G271" i="30" s="1"/>
  <c r="E271" i="30" s="1"/>
  <c r="H271" i="30" s="1"/>
  <c r="D272" i="30" s="1"/>
  <c r="G272" i="30" s="1" a="1"/>
  <c r="G272" i="30" s="1"/>
  <c r="E272" i="30" s="1"/>
  <c r="H272" i="30" s="1"/>
  <c r="D273" i="30" s="1"/>
  <c r="G273" i="30" s="1" a="1"/>
  <c r="G273" i="30" s="1"/>
  <c r="E273" i="30" s="1"/>
  <c r="H273" i="30" s="1"/>
  <c r="D274" i="30" s="1"/>
  <c r="G274" i="30" s="1" a="1"/>
  <c r="G274" i="30" s="1"/>
  <c r="E274" i="30" s="1"/>
  <c r="H274" i="30" s="1"/>
  <c r="D275" i="30" s="1"/>
  <c r="G275" i="30" s="1" a="1"/>
  <c r="G275" i="30" s="1"/>
  <c r="E275" i="30" s="1"/>
  <c r="H275" i="30" s="1"/>
  <c r="D276" i="30" s="1"/>
  <c r="G276" i="30" s="1" a="1"/>
  <c r="G276" i="30" s="1"/>
  <c r="E276" i="30" s="1"/>
  <c r="H276" i="30" s="1"/>
  <c r="D277" i="30" s="1"/>
  <c r="G277" i="30" s="1" a="1"/>
  <c r="G277" i="30" s="1"/>
  <c r="E277" i="30" s="1"/>
  <c r="H277" i="30" s="1"/>
  <c r="D278" i="30" s="1"/>
  <c r="F301" i="30"/>
  <c r="B302" i="30"/>
  <c r="Q495" i="30"/>
  <c r="G278" i="30" l="1" a="1"/>
  <c r="G278" i="30" s="1"/>
  <c r="E278" i="30" s="1"/>
  <c r="H278" i="30"/>
  <c r="D279" i="30" s="1"/>
  <c r="G279" i="30" s="1" a="1"/>
  <c r="G279" i="30" s="1"/>
  <c r="E279" i="30" s="1"/>
  <c r="H279" i="30" s="1"/>
  <c r="D280" i="30" s="1"/>
  <c r="F302" i="30"/>
  <c r="B303" i="30"/>
  <c r="G280" i="30" l="1" a="1"/>
  <c r="G280" i="30" s="1"/>
  <c r="E280" i="30" s="1"/>
  <c r="H280" i="30"/>
  <c r="D281" i="30" s="1"/>
  <c r="G281" i="30" s="1" a="1"/>
  <c r="G281" i="30" s="1"/>
  <c r="E281" i="30" s="1"/>
  <c r="H281" i="30" s="1"/>
  <c r="D282" i="30" s="1"/>
  <c r="F303" i="30"/>
  <c r="B304" i="30"/>
  <c r="N496" i="30"/>
  <c r="Q496" i="30" s="1"/>
  <c r="G282" i="30" l="1" a="1"/>
  <c r="G282" i="30" s="1"/>
  <c r="E282" i="30" s="1"/>
  <c r="H282" i="30"/>
  <c r="D283" i="30" s="1"/>
  <c r="G283" i="30" s="1" a="1"/>
  <c r="G283" i="30" s="1"/>
  <c r="E283" i="30" s="1"/>
  <c r="H283" i="30" s="1"/>
  <c r="D284" i="30" s="1"/>
  <c r="G284" i="30" s="1" a="1"/>
  <c r="G284" i="30" s="1"/>
  <c r="E284" i="30" s="1"/>
  <c r="H284" i="30" s="1"/>
  <c r="D285" i="30" s="1"/>
  <c r="G285" i="30" s="1" a="1"/>
  <c r="G285" i="30" s="1"/>
  <c r="E285" i="30" s="1"/>
  <c r="H285" i="30" s="1"/>
  <c r="D286" i="30" s="1"/>
  <c r="G286" i="30" s="1" a="1"/>
  <c r="G286" i="30" s="1"/>
  <c r="E286" i="30" s="1"/>
  <c r="H286" i="30" s="1"/>
  <c r="D287" i="30" s="1"/>
  <c r="G287" i="30" s="1" a="1"/>
  <c r="G287" i="30" s="1"/>
  <c r="E287" i="30" s="1"/>
  <c r="H287" i="30" s="1"/>
  <c r="D288" i="30" s="1"/>
  <c r="G288" i="30" s="1" a="1"/>
  <c r="G288" i="30" s="1"/>
  <c r="E288" i="30" s="1"/>
  <c r="H288" i="30" s="1"/>
  <c r="D289" i="30" s="1"/>
  <c r="G289" i="30" s="1" a="1"/>
  <c r="G289" i="30" s="1"/>
  <c r="E289" i="30" s="1"/>
  <c r="H289" i="30" s="1"/>
  <c r="D290" i="30" s="1"/>
  <c r="F304" i="30"/>
  <c r="N497" i="30"/>
  <c r="Q497" i="30" s="1"/>
  <c r="B305" i="30"/>
  <c r="G290" i="30" l="1" a="1"/>
  <c r="G290" i="30" s="1"/>
  <c r="E290" i="30" s="1"/>
  <c r="H290" i="30"/>
  <c r="D291" i="30" s="1"/>
  <c r="G291" i="30" s="1" a="1"/>
  <c r="G291" i="30" s="1"/>
  <c r="E291" i="30" s="1"/>
  <c r="H291" i="30" s="1"/>
  <c r="D292" i="30" s="1"/>
  <c r="G292" i="30" s="1" a="1"/>
  <c r="G292" i="30" s="1"/>
  <c r="E292" i="30" s="1"/>
  <c r="H292" i="30" s="1"/>
  <c r="D293" i="30" s="1"/>
  <c r="G293" i="30" s="1" a="1"/>
  <c r="G293" i="30" s="1"/>
  <c r="E293" i="30" s="1"/>
  <c r="H293" i="30" s="1"/>
  <c r="D294" i="30" s="1"/>
  <c r="G294" i="30" s="1" a="1"/>
  <c r="G294" i="30" s="1"/>
  <c r="E294" i="30" s="1"/>
  <c r="H294" i="30" s="1"/>
  <c r="D295" i="30" s="1"/>
  <c r="F305" i="30"/>
  <c r="B306" i="30"/>
  <c r="N498" i="30"/>
  <c r="G295" i="30" l="1" a="1"/>
  <c r="G295" i="30" s="1"/>
  <c r="E295" i="30" s="1"/>
  <c r="H295" i="30"/>
  <c r="D296" i="30" s="1"/>
  <c r="F306" i="30"/>
  <c r="B307" i="30"/>
  <c r="Q498" i="30"/>
  <c r="G296" i="30" l="1" a="1"/>
  <c r="G296" i="30" s="1"/>
  <c r="E296" i="30" s="1"/>
  <c r="H296" i="30"/>
  <c r="D297" i="30" s="1"/>
  <c r="F307" i="30"/>
  <c r="B308" i="30"/>
  <c r="G297" i="30" l="1" a="1"/>
  <c r="G297" i="30" s="1"/>
  <c r="E297" i="30" s="1"/>
  <c r="H297" i="30"/>
  <c r="D298" i="30" s="1"/>
  <c r="G298" i="30" s="1" a="1"/>
  <c r="G298" i="30" s="1"/>
  <c r="E298" i="30" s="1"/>
  <c r="H298" i="30" s="1"/>
  <c r="D299" i="30" s="1"/>
  <c r="G299" i="30" s="1" a="1"/>
  <c r="G299" i="30" s="1"/>
  <c r="E299" i="30" s="1"/>
  <c r="H299" i="30" s="1"/>
  <c r="D300" i="30" s="1"/>
  <c r="G300" i="30" s="1" a="1"/>
  <c r="G300" i="30" s="1"/>
  <c r="E300" i="30" s="1"/>
  <c r="H300" i="30" s="1"/>
  <c r="D301" i="30" s="1"/>
  <c r="G301" i="30" s="1" a="1"/>
  <c r="G301" i="30" s="1"/>
  <c r="E301" i="30" s="1"/>
  <c r="H301" i="30" s="1"/>
  <c r="D302" i="30" s="1"/>
  <c r="G302" i="30" s="1" a="1"/>
  <c r="G302" i="30" s="1"/>
  <c r="E302" i="30" s="1"/>
  <c r="H302" i="30" s="1"/>
  <c r="D303" i="30" s="1"/>
  <c r="G303" i="30" s="1" a="1"/>
  <c r="G303" i="30" s="1"/>
  <c r="E303" i="30" s="1"/>
  <c r="H303" i="30" s="1"/>
  <c r="D304" i="30" s="1"/>
  <c r="G304" i="30" s="1" a="1"/>
  <c r="G304" i="30" s="1"/>
  <c r="E304" i="30" s="1"/>
  <c r="H304" i="30" s="1"/>
  <c r="D305" i="30" s="1"/>
  <c r="G305" i="30" s="1" a="1"/>
  <c r="G305" i="30" s="1"/>
  <c r="E305" i="30" s="1"/>
  <c r="H305" i="30" s="1"/>
  <c r="D306" i="30" s="1"/>
  <c r="G306" i="30" s="1" a="1"/>
  <c r="G306" i="30" s="1"/>
  <c r="E306" i="30" s="1"/>
  <c r="H306" i="30" s="1"/>
  <c r="D307" i="30" s="1"/>
  <c r="G307" i="30" s="1" a="1"/>
  <c r="G307" i="30" s="1"/>
  <c r="E307" i="30" s="1"/>
  <c r="H307" i="30" s="1"/>
  <c r="D308" i="30" s="1"/>
  <c r="G308" i="30" s="1" a="1"/>
  <c r="G308" i="30" s="1"/>
  <c r="F308" i="30"/>
  <c r="B309" i="30"/>
  <c r="N499" i="30"/>
  <c r="Q499" i="30" s="1"/>
  <c r="E308" i="30" l="1"/>
  <c r="H308" i="30" s="1"/>
  <c r="D309" i="30" s="1"/>
  <c r="G309" i="30" s="1" a="1"/>
  <c r="G309" i="30" s="1"/>
  <c r="F309" i="30"/>
  <c r="B310" i="30"/>
  <c r="E309" i="30" l="1"/>
  <c r="F310" i="30"/>
  <c r="N500" i="30"/>
  <c r="Q500" i="30" s="1"/>
  <c r="H309" i="30"/>
  <c r="D310" i="30" s="1"/>
  <c r="G310" i="30" s="1" a="1"/>
  <c r="G310" i="30" s="1"/>
  <c r="B311" i="30"/>
  <c r="E310" i="30" l="1"/>
  <c r="H310" i="30" s="1"/>
  <c r="D311" i="30" s="1"/>
  <c r="G311" i="30" s="1" a="1"/>
  <c r="G311" i="30" s="1"/>
  <c r="F311" i="30"/>
  <c r="B312" i="30"/>
  <c r="E311" i="30" l="1"/>
  <c r="H311" i="30" s="1"/>
  <c r="D312" i="30" s="1"/>
  <c r="G312" i="30" s="1" a="1"/>
  <c r="G312" i="30" s="1"/>
  <c r="F312" i="30"/>
  <c r="B313" i="30"/>
  <c r="E312" i="30" l="1"/>
  <c r="F313" i="30"/>
  <c r="B314" i="30"/>
  <c r="H312" i="30"/>
  <c r="D313" i="30" s="1"/>
  <c r="G313" i="30" s="1" a="1"/>
  <c r="G313" i="30" s="1"/>
  <c r="E313" i="30" l="1"/>
  <c r="H313" i="30" s="1"/>
  <c r="D314" i="30" s="1"/>
  <c r="G314" i="30" s="1" a="1"/>
  <c r="G314" i="30" s="1"/>
  <c r="F314" i="30"/>
  <c r="B315" i="30"/>
  <c r="E314" i="30" l="1"/>
  <c r="F315" i="30"/>
  <c r="B316" i="30"/>
  <c r="H314" i="30"/>
  <c r="D315" i="30" s="1"/>
  <c r="G315" i="30" s="1" a="1"/>
  <c r="G315" i="30" s="1"/>
  <c r="E315" i="30" l="1"/>
  <c r="H315" i="30" s="1"/>
  <c r="D316" i="30" s="1"/>
  <c r="G316" i="30" s="1" a="1"/>
  <c r="G316" i="30" s="1"/>
  <c r="F316" i="30"/>
  <c r="B317" i="30"/>
  <c r="E316" i="30" l="1"/>
  <c r="F317" i="30"/>
  <c r="B318" i="30"/>
  <c r="H316" i="30"/>
  <c r="D317" i="30" s="1"/>
  <c r="G317" i="30" s="1" a="1"/>
  <c r="G317" i="30" s="1"/>
  <c r="E317" i="30" l="1"/>
  <c r="H317" i="30" s="1"/>
  <c r="D318" i="30" s="1"/>
  <c r="G318" i="30" s="1" a="1"/>
  <c r="G318" i="30" s="1"/>
  <c r="F318" i="30"/>
  <c r="B319" i="30"/>
  <c r="E318" i="30" l="1"/>
  <c r="F319" i="30"/>
  <c r="B320" i="30"/>
  <c r="H318" i="30"/>
  <c r="D319" i="30" s="1"/>
  <c r="G319" i="30" s="1" a="1"/>
  <c r="G319" i="30" s="1"/>
  <c r="E319" i="30" l="1"/>
  <c r="H319" i="30" s="1"/>
  <c r="D320" i="30" s="1"/>
  <c r="G320" i="30" s="1" a="1"/>
  <c r="G320" i="30" s="1"/>
  <c r="F320" i="30"/>
  <c r="B321" i="30"/>
  <c r="E320" i="30" l="1"/>
  <c r="F321" i="30"/>
  <c r="B322" i="30"/>
  <c r="H320" i="30"/>
  <c r="D321" i="30" s="1"/>
  <c r="G321" i="30" s="1" a="1"/>
  <c r="G321" i="30" s="1"/>
  <c r="E321" i="30" l="1"/>
  <c r="H321" i="30" s="1"/>
  <c r="D322" i="30" s="1"/>
  <c r="G322" i="30" s="1" a="1"/>
  <c r="G322" i="30" s="1"/>
  <c r="F322" i="30"/>
  <c r="B323" i="30"/>
  <c r="E322" i="30" l="1"/>
  <c r="H322" i="30" s="1"/>
  <c r="D323" i="30" s="1"/>
  <c r="G323" i="30" s="1" a="1"/>
  <c r="G323" i="30" s="1"/>
  <c r="F323" i="30"/>
  <c r="B324" i="30"/>
  <c r="E323" i="30" l="1"/>
  <c r="H323" i="30" s="1"/>
  <c r="D324" i="30" s="1"/>
  <c r="G324" i="30" s="1" a="1"/>
  <c r="G324" i="30" s="1"/>
  <c r="F324" i="30"/>
  <c r="B325" i="30"/>
  <c r="E324" i="30" l="1"/>
  <c r="H324" i="30" s="1"/>
  <c r="D325" i="30" s="1"/>
  <c r="G325" i="30" s="1" a="1"/>
  <c r="G325" i="30" s="1"/>
  <c r="F325" i="30"/>
  <c r="B326" i="30"/>
  <c r="E325" i="30" l="1"/>
  <c r="H325" i="30" s="1"/>
  <c r="D326" i="30" s="1"/>
  <c r="G326" i="30" s="1" a="1"/>
  <c r="G326" i="30" s="1"/>
  <c r="F326" i="30"/>
  <c r="B327" i="30"/>
  <c r="E326" i="30" l="1"/>
  <c r="F327" i="30"/>
  <c r="B328" i="30"/>
  <c r="H326" i="30"/>
  <c r="D327" i="30" s="1"/>
  <c r="G327" i="30" s="1" a="1"/>
  <c r="G327" i="30" s="1"/>
  <c r="E327" i="30" l="1"/>
  <c r="H327" i="30" s="1"/>
  <c r="D328" i="30" s="1"/>
  <c r="G328" i="30" s="1" a="1"/>
  <c r="G328" i="30" s="1"/>
  <c r="F328" i="30"/>
  <c r="B329" i="30"/>
  <c r="E328" i="30" l="1"/>
  <c r="H328" i="30" s="1"/>
  <c r="D329" i="30" s="1"/>
  <c r="G329" i="30" s="1" a="1"/>
  <c r="G329" i="30" s="1"/>
  <c r="F329" i="30"/>
  <c r="B330" i="30"/>
  <c r="E329" i="30" l="1"/>
  <c r="H329" i="30" s="1"/>
  <c r="D330" i="30" s="1"/>
  <c r="G330" i="30" s="1" a="1"/>
  <c r="G330" i="30" s="1"/>
  <c r="F330" i="30"/>
  <c r="B331" i="30"/>
  <c r="E330" i="30" l="1"/>
  <c r="H330" i="30" s="1"/>
  <c r="D331" i="30" s="1"/>
  <c r="G331" i="30" s="1" a="1"/>
  <c r="G331" i="30" s="1"/>
  <c r="F331" i="30"/>
  <c r="B332" i="30"/>
  <c r="E331" i="30" l="1"/>
  <c r="H331" i="30" s="1"/>
  <c r="D332" i="30" s="1"/>
  <c r="G332" i="30" s="1" a="1"/>
  <c r="G332" i="30" s="1"/>
  <c r="F332" i="30"/>
  <c r="B333" i="30"/>
  <c r="E332" i="30" l="1"/>
  <c r="F333" i="30"/>
  <c r="B334" i="30"/>
  <c r="H332" i="30"/>
  <c r="D333" i="30" s="1"/>
  <c r="G333" i="30" s="1" a="1"/>
  <c r="G333" i="30" s="1"/>
  <c r="E333" i="30" l="1"/>
  <c r="H333" i="30" s="1"/>
  <c r="D334" i="30" s="1"/>
  <c r="G334" i="30" s="1" a="1"/>
  <c r="G334" i="30" s="1"/>
  <c r="F334" i="30"/>
  <c r="B335" i="30"/>
  <c r="E334" i="30" l="1"/>
  <c r="F335" i="30"/>
  <c r="B336" i="30"/>
  <c r="H334" i="30"/>
  <c r="D335" i="30" s="1"/>
  <c r="G335" i="30" s="1" a="1"/>
  <c r="G335" i="30" s="1"/>
  <c r="E335" i="30" l="1"/>
  <c r="H335" i="30" s="1"/>
  <c r="D336" i="30" s="1"/>
  <c r="G336" i="30" s="1" a="1"/>
  <c r="G336" i="30" s="1"/>
  <c r="F336" i="30"/>
  <c r="B337" i="30"/>
  <c r="E336" i="30" l="1"/>
  <c r="H336" i="30" s="1"/>
  <c r="D337" i="30" s="1"/>
  <c r="G337" i="30" s="1" a="1"/>
  <c r="G337" i="30" s="1"/>
  <c r="F337" i="30"/>
  <c r="B338" i="30"/>
  <c r="E337" i="30" l="1"/>
  <c r="H337" i="30" s="1"/>
  <c r="D338" i="30" s="1"/>
  <c r="G338" i="30" s="1" a="1"/>
  <c r="G338" i="30" s="1"/>
  <c r="F338" i="30"/>
  <c r="B339" i="30"/>
  <c r="E338" i="30" l="1"/>
  <c r="F339" i="30"/>
  <c r="B340" i="30"/>
  <c r="H338" i="30"/>
  <c r="D339" i="30" s="1"/>
  <c r="G339" i="30" s="1" a="1"/>
  <c r="G339" i="30" s="1"/>
  <c r="E339" i="30" l="1"/>
  <c r="H339" i="30" s="1"/>
  <c r="D340" i="30" s="1"/>
  <c r="G340" i="30" s="1" a="1"/>
  <c r="G340" i="30" s="1"/>
  <c r="F340" i="30"/>
  <c r="B341" i="30"/>
  <c r="E340" i="30" l="1"/>
  <c r="F341" i="30"/>
  <c r="B342" i="30"/>
  <c r="H340" i="30"/>
  <c r="D341" i="30" s="1"/>
  <c r="G341" i="30" s="1" a="1"/>
  <c r="G341" i="30" s="1"/>
  <c r="E341" i="30" l="1"/>
  <c r="H341" i="30" s="1"/>
  <c r="D342" i="30" s="1"/>
  <c r="G342" i="30" s="1" a="1"/>
  <c r="G342" i="30" s="1"/>
  <c r="F342" i="30"/>
  <c r="B343" i="30"/>
  <c r="E342" i="30" l="1"/>
  <c r="F343" i="30"/>
  <c r="B344" i="30"/>
  <c r="H342" i="30"/>
  <c r="D343" i="30" s="1"/>
  <c r="G343" i="30" s="1" a="1"/>
  <c r="G343" i="30" s="1"/>
  <c r="E343" i="30" l="1"/>
  <c r="H343" i="30" s="1"/>
  <c r="D344" i="30" s="1"/>
  <c r="G344" i="30" s="1" a="1"/>
  <c r="G344" i="30" s="1"/>
  <c r="F344" i="30"/>
  <c r="B345" i="30"/>
  <c r="E344" i="30" l="1"/>
  <c r="H344" i="30" s="1"/>
  <c r="D345" i="30" s="1"/>
  <c r="G345" i="30" s="1" a="1"/>
  <c r="G345" i="30" s="1"/>
  <c r="F345" i="30"/>
  <c r="B346" i="30"/>
  <c r="E345" i="30" l="1"/>
  <c r="H345" i="30" s="1"/>
  <c r="D346" i="30" s="1"/>
  <c r="G346" i="30" s="1" a="1"/>
  <c r="G346" i="30" s="1"/>
  <c r="F346" i="30"/>
  <c r="B347" i="30"/>
  <c r="E346" i="30" l="1"/>
  <c r="H346" i="30" s="1"/>
  <c r="D347" i="30" s="1"/>
  <c r="G347" i="30" s="1" a="1"/>
  <c r="G347" i="30" s="1"/>
  <c r="F347" i="30"/>
  <c r="B348" i="30"/>
  <c r="E347" i="30" l="1"/>
  <c r="H347" i="30" s="1"/>
  <c r="D348" i="30" s="1"/>
  <c r="G348" i="30" s="1" a="1"/>
  <c r="G348" i="30" s="1"/>
  <c r="F348" i="30"/>
  <c r="B349" i="30"/>
  <c r="E348" i="30" l="1"/>
  <c r="F349" i="30"/>
  <c r="B350" i="30"/>
  <c r="H348" i="30"/>
  <c r="D349" i="30" s="1"/>
  <c r="G349" i="30" s="1" a="1"/>
  <c r="G349" i="30" s="1"/>
  <c r="E349" i="30" l="1"/>
  <c r="H349" i="30" s="1"/>
  <c r="D350" i="30" s="1"/>
  <c r="G350" i="30" s="1" a="1"/>
  <c r="G350" i="30" s="1"/>
  <c r="F350" i="30"/>
  <c r="B351" i="30"/>
  <c r="E350" i="30" l="1"/>
  <c r="H350" i="30" s="1"/>
  <c r="D351" i="30" s="1"/>
  <c r="G351" i="30" s="1" a="1"/>
  <c r="G351" i="30" s="1"/>
  <c r="F351" i="30"/>
  <c r="B352" i="30"/>
  <c r="E351" i="30" l="1"/>
  <c r="H351" i="30" s="1"/>
  <c r="D352" i="30" s="1"/>
  <c r="G352" i="30" s="1" a="1"/>
  <c r="G352" i="30" s="1"/>
  <c r="F352" i="30"/>
  <c r="B353" i="30"/>
  <c r="E352" i="30" l="1"/>
  <c r="F353" i="30"/>
  <c r="B354" i="30"/>
  <c r="H352" i="30"/>
  <c r="D353" i="30" s="1"/>
  <c r="G353" i="30" s="1" a="1"/>
  <c r="G353" i="30" s="1"/>
  <c r="E353" i="30" l="1"/>
  <c r="H353" i="30" s="1"/>
  <c r="D354" i="30" s="1"/>
  <c r="G354" i="30" s="1" a="1"/>
  <c r="G354" i="30" s="1"/>
  <c r="F354" i="30"/>
  <c r="B355" i="30"/>
  <c r="E354" i="30" l="1"/>
  <c r="F355" i="30"/>
  <c r="B356" i="30"/>
  <c r="H354" i="30"/>
  <c r="D355" i="30" s="1"/>
  <c r="G355" i="30" s="1" a="1"/>
  <c r="G355" i="30" s="1"/>
  <c r="E355" i="30" l="1"/>
  <c r="H355" i="30" s="1"/>
  <c r="D356" i="30" s="1"/>
  <c r="G356" i="30" s="1" a="1"/>
  <c r="G356" i="30" s="1"/>
  <c r="F356" i="30"/>
  <c r="B357" i="30"/>
  <c r="E356" i="30" l="1"/>
  <c r="H356" i="30" s="1"/>
  <c r="D357" i="30" s="1"/>
  <c r="G357" i="30" s="1" a="1"/>
  <c r="G357" i="30" s="1"/>
  <c r="F357" i="30"/>
  <c r="B358" i="30"/>
  <c r="E357" i="30" l="1"/>
  <c r="F358" i="30"/>
  <c r="H357" i="30"/>
  <c r="D358" i="30" s="1"/>
  <c r="G358" i="30" s="1" a="1"/>
  <c r="G358" i="30" s="1"/>
  <c r="B359" i="30"/>
  <c r="E358" i="30" l="1"/>
  <c r="F359" i="30"/>
  <c r="B360" i="30"/>
  <c r="H358" i="30"/>
  <c r="D359" i="30" s="1"/>
  <c r="G359" i="30" s="1" a="1"/>
  <c r="G359" i="30" s="1"/>
  <c r="E359" i="30" l="1"/>
  <c r="H359" i="30" s="1"/>
  <c r="D360" i="30" s="1"/>
  <c r="G360" i="30" s="1" a="1"/>
  <c r="G360" i="30" s="1"/>
  <c r="F360" i="30"/>
  <c r="B361" i="30"/>
  <c r="E360" i="30" l="1"/>
  <c r="F361" i="30"/>
  <c r="B362" i="30"/>
  <c r="H360" i="30"/>
  <c r="D361" i="30" s="1"/>
  <c r="G361" i="30" s="1" a="1"/>
  <c r="G361" i="30" s="1"/>
  <c r="E361" i="30" l="1"/>
  <c r="F362" i="30"/>
  <c r="H361" i="30"/>
  <c r="D362" i="30" s="1"/>
  <c r="G362" i="30" s="1" a="1"/>
  <c r="G362" i="30" s="1"/>
  <c r="B363" i="30"/>
  <c r="E362" i="30" l="1"/>
  <c r="F363" i="30"/>
  <c r="B364" i="30"/>
  <c r="H362" i="30"/>
  <c r="D363" i="30" s="1"/>
  <c r="G363" i="30" s="1" a="1"/>
  <c r="G363" i="30" s="1"/>
  <c r="E363" i="30" l="1"/>
  <c r="H363" i="30" s="1"/>
  <c r="D364" i="30" s="1"/>
  <c r="G364" i="30" s="1" a="1"/>
  <c r="G364" i="30" s="1"/>
  <c r="F364" i="30"/>
  <c r="B365" i="30"/>
  <c r="E364" i="30" l="1"/>
  <c r="F365" i="30"/>
  <c r="B366" i="30"/>
  <c r="H364" i="30"/>
  <c r="D365" i="30" s="1"/>
  <c r="G365" i="30" s="1" a="1"/>
  <c r="G365" i="30" s="1"/>
  <c r="E365" i="30" l="1"/>
  <c r="H365" i="30" s="1"/>
  <c r="D366" i="30" s="1"/>
  <c r="G366" i="30" s="1" a="1"/>
  <c r="G366" i="30" s="1"/>
  <c r="F366" i="30"/>
  <c r="B367" i="30"/>
  <c r="G367" i="30" s="1" a="1"/>
  <c r="G367" i="30" s="1"/>
  <c r="E366" i="30" l="1"/>
  <c r="H366" i="30" s="1"/>
  <c r="F367" i="30"/>
  <c r="B368" i="30"/>
  <c r="G368" i="30" s="1" a="1"/>
  <c r="G368" i="30" s="1"/>
  <c r="E367" i="30" l="1"/>
  <c r="H367" i="30" s="1"/>
  <c r="F368" i="30"/>
  <c r="B369" i="30"/>
  <c r="G369" i="30" s="1" a="1"/>
  <c r="G369" i="30" s="1"/>
  <c r="E368" i="30" l="1"/>
  <c r="F369" i="30"/>
  <c r="B370" i="30"/>
  <c r="G370" i="30" s="1" a="1"/>
  <c r="G370" i="30" s="1"/>
  <c r="H368" i="30"/>
  <c r="E369" i="30" l="1"/>
  <c r="H369" i="30" s="1"/>
  <c r="F370" i="30"/>
  <c r="B371" i="30"/>
  <c r="G371" i="30" s="1" a="1"/>
  <c r="G371" i="30" s="1"/>
  <c r="E370" i="30" l="1"/>
  <c r="H370" i="30" s="1"/>
  <c r="F371" i="30"/>
  <c r="B372" i="30"/>
  <c r="G372" i="30" s="1" a="1"/>
  <c r="G372" i="30" s="1"/>
  <c r="E371" i="30" l="1"/>
  <c r="H371" i="30" s="1"/>
  <c r="F372" i="30"/>
  <c r="B373" i="30"/>
  <c r="G373" i="30" s="1" a="1"/>
  <c r="G373" i="30" s="1"/>
  <c r="E372" i="30" l="1"/>
  <c r="F373" i="30"/>
  <c r="B374" i="30"/>
  <c r="G374" i="30" s="1" a="1"/>
  <c r="G374" i="30" s="1"/>
  <c r="H372" i="30"/>
  <c r="E373" i="30" l="1"/>
  <c r="H373" i="30" s="1"/>
  <c r="F374" i="30"/>
  <c r="B375" i="30"/>
  <c r="G375" i="30" s="1" a="1"/>
  <c r="G375" i="30" s="1"/>
  <c r="E374" i="30" l="1"/>
  <c r="F375" i="30"/>
  <c r="B376" i="30"/>
  <c r="G376" i="30" s="1" a="1"/>
  <c r="G376" i="30" s="1"/>
  <c r="H374" i="30"/>
  <c r="E375" i="30" l="1"/>
  <c r="H375" i="30" s="1"/>
  <c r="F376" i="30"/>
  <c r="B377" i="30"/>
  <c r="G377" i="30" s="1" a="1"/>
  <c r="G377" i="30" s="1"/>
  <c r="E376" i="30" l="1"/>
  <c r="F377" i="30"/>
  <c r="B378" i="30"/>
  <c r="G378" i="30" s="1" a="1"/>
  <c r="G378" i="30" s="1"/>
  <c r="H376" i="30"/>
  <c r="E377" i="30" l="1"/>
  <c r="H377" i="30" s="1"/>
  <c r="F378" i="30"/>
  <c r="B379" i="30"/>
  <c r="G379" i="30" s="1" a="1"/>
  <c r="G379" i="30" s="1"/>
  <c r="E378" i="30" l="1"/>
  <c r="F379" i="30"/>
  <c r="B380" i="30"/>
  <c r="G380" i="30" s="1" a="1"/>
  <c r="G380" i="30" s="1"/>
  <c r="H378" i="30"/>
  <c r="E379" i="30" l="1"/>
  <c r="H379" i="30" s="1"/>
  <c r="F380" i="30"/>
  <c r="B381" i="30"/>
  <c r="G381" i="30" s="1" a="1"/>
  <c r="G381" i="30" s="1"/>
  <c r="E380" i="30" l="1"/>
  <c r="H380" i="30" s="1"/>
  <c r="F381" i="30"/>
  <c r="B382" i="30"/>
  <c r="G382" i="30" s="1" a="1"/>
  <c r="G382" i="30" s="1"/>
  <c r="E381" i="30" l="1"/>
  <c r="H381" i="30" s="1"/>
  <c r="F382" i="30"/>
  <c r="B383" i="30"/>
  <c r="G383" i="30" s="1" a="1"/>
  <c r="G383" i="30" s="1"/>
  <c r="E382" i="30" l="1"/>
  <c r="H382" i="30" s="1"/>
  <c r="F383" i="30"/>
  <c r="B384" i="30"/>
  <c r="G384" i="30" s="1" a="1"/>
  <c r="G384" i="30" s="1"/>
  <c r="E383" i="30" l="1"/>
  <c r="H383" i="30" s="1"/>
  <c r="F384" i="30"/>
  <c r="B385" i="30"/>
  <c r="G385" i="30" s="1" a="1"/>
  <c r="G385" i="30" s="1"/>
  <c r="E384" i="30" l="1"/>
  <c r="F385" i="30"/>
  <c r="B386" i="30"/>
  <c r="G386" i="30" s="1" a="1"/>
  <c r="G386" i="30" s="1"/>
  <c r="H384" i="30"/>
  <c r="E385" i="30" l="1"/>
  <c r="H385" i="30" s="1"/>
  <c r="F386" i="30"/>
  <c r="B387" i="30"/>
  <c r="G387" i="30" s="1" a="1"/>
  <c r="G387" i="30" s="1"/>
  <c r="E386" i="30" l="1"/>
  <c r="F387" i="30"/>
  <c r="B388" i="30"/>
  <c r="G388" i="30" s="1" a="1"/>
  <c r="G388" i="30" s="1"/>
  <c r="H386" i="30"/>
  <c r="E387" i="30" l="1"/>
  <c r="H387" i="30" s="1"/>
  <c r="F388" i="30"/>
  <c r="B389" i="30"/>
  <c r="G389" i="30" s="1" a="1"/>
  <c r="G389" i="30" s="1"/>
  <c r="E388" i="30" l="1"/>
  <c r="F389" i="30"/>
  <c r="B390" i="30"/>
  <c r="G390" i="30" s="1" a="1"/>
  <c r="G390" i="30" s="1"/>
  <c r="H388" i="30"/>
  <c r="E389" i="30" l="1"/>
  <c r="H389" i="30" s="1"/>
  <c r="F390" i="30"/>
  <c r="B391" i="30"/>
  <c r="G391" i="30" s="1" a="1"/>
  <c r="G391" i="30" s="1"/>
  <c r="E390" i="30" l="1"/>
  <c r="F391" i="30"/>
  <c r="B392" i="30"/>
  <c r="G392" i="30" s="1" a="1"/>
  <c r="G392" i="30" s="1"/>
  <c r="H390" i="30"/>
  <c r="E391" i="30" l="1"/>
  <c r="H391" i="30" s="1"/>
  <c r="F392" i="30"/>
  <c r="B393" i="30"/>
  <c r="G393" i="30" s="1" a="1"/>
  <c r="G393" i="30" s="1"/>
  <c r="E392" i="30" l="1"/>
  <c r="H392" i="30" s="1"/>
  <c r="F393" i="30"/>
  <c r="B394" i="30"/>
  <c r="G394" i="30" s="1" a="1"/>
  <c r="G394" i="30" s="1"/>
  <c r="E393" i="30" l="1"/>
  <c r="H393" i="30" s="1"/>
  <c r="F394" i="30"/>
  <c r="B395" i="30"/>
  <c r="G395" i="30" s="1" a="1"/>
  <c r="G395" i="30" s="1"/>
  <c r="E394" i="30" l="1"/>
  <c r="H394" i="30" s="1"/>
  <c r="F395" i="30"/>
  <c r="B396" i="30"/>
  <c r="G396" i="30" s="1" a="1"/>
  <c r="G396" i="30" s="1"/>
  <c r="E395" i="30" l="1"/>
  <c r="H395" i="30" s="1"/>
  <c r="F396" i="30"/>
  <c r="B397" i="30"/>
  <c r="G397" i="30" s="1" a="1"/>
  <c r="G397" i="30" s="1"/>
  <c r="E396" i="30" l="1"/>
  <c r="H396" i="30" s="1"/>
  <c r="F397" i="30"/>
  <c r="B398" i="30"/>
  <c r="G398" i="30" s="1" a="1"/>
  <c r="G398" i="30" s="1"/>
  <c r="E397" i="30" l="1"/>
  <c r="H397" i="30" s="1"/>
  <c r="F398" i="30"/>
  <c r="B399" i="30"/>
  <c r="G399" i="30" s="1" a="1"/>
  <c r="G399" i="30" s="1"/>
  <c r="E398" i="30" l="1"/>
  <c r="H398" i="30" s="1"/>
  <c r="F399" i="30"/>
  <c r="B400" i="30"/>
  <c r="G400" i="30" s="1" a="1"/>
  <c r="G400" i="30" s="1"/>
  <c r="E399" i="30" l="1"/>
  <c r="H399" i="30" s="1"/>
  <c r="F400" i="30"/>
  <c r="B401" i="30"/>
  <c r="G401" i="30" s="1" a="1"/>
  <c r="G401" i="30" s="1"/>
  <c r="E400" i="30" l="1"/>
  <c r="H400" i="30" s="1"/>
  <c r="F401" i="30"/>
  <c r="B402" i="30"/>
  <c r="G402" i="30" s="1" a="1"/>
  <c r="G402" i="30" s="1"/>
  <c r="E401" i="30" l="1"/>
  <c r="H401" i="30" s="1"/>
  <c r="F402" i="30"/>
  <c r="B403" i="30"/>
  <c r="G403" i="30" s="1" a="1"/>
  <c r="G403" i="30" s="1"/>
  <c r="E402" i="30" l="1"/>
  <c r="H402" i="30" s="1"/>
  <c r="F403" i="30"/>
  <c r="B404" i="30"/>
  <c r="G404" i="30" s="1" a="1"/>
  <c r="G404" i="30" s="1"/>
  <c r="E403" i="30" l="1"/>
  <c r="H403" i="30" s="1"/>
  <c r="F404" i="30"/>
  <c r="B405" i="30"/>
  <c r="G405" i="30" s="1" a="1"/>
  <c r="G405" i="30" s="1"/>
  <c r="E404" i="30" l="1"/>
  <c r="F405" i="30"/>
  <c r="B406" i="30"/>
  <c r="G406" i="30" s="1" a="1"/>
  <c r="G406" i="30" s="1"/>
  <c r="H404" i="30"/>
  <c r="E405" i="30" l="1"/>
  <c r="H405" i="30" s="1"/>
  <c r="F406" i="30"/>
  <c r="B407" i="30"/>
  <c r="G407" i="30" s="1" a="1"/>
  <c r="G407" i="30" s="1"/>
  <c r="E406" i="30" l="1"/>
  <c r="F407" i="30"/>
  <c r="B408" i="30"/>
  <c r="G408" i="30" s="1" a="1"/>
  <c r="G408" i="30" s="1"/>
  <c r="H406" i="30"/>
  <c r="E407" i="30" l="1"/>
  <c r="H407" i="30" s="1"/>
  <c r="F408" i="30"/>
  <c r="B409" i="30"/>
  <c r="G409" i="30" s="1" a="1"/>
  <c r="G409" i="30" s="1"/>
  <c r="E408" i="30" l="1"/>
  <c r="F409" i="30"/>
  <c r="B410" i="30"/>
  <c r="G410" i="30" s="1" a="1"/>
  <c r="G410" i="30" s="1"/>
  <c r="H408" i="30"/>
  <c r="E409" i="30" l="1"/>
  <c r="H409" i="30" s="1"/>
  <c r="F410" i="30"/>
  <c r="B411" i="30"/>
  <c r="G411" i="30" s="1" a="1"/>
  <c r="G411" i="30" s="1"/>
  <c r="E410" i="30" l="1"/>
  <c r="F411" i="30"/>
  <c r="B412" i="30"/>
  <c r="G412" i="30" s="1" a="1"/>
  <c r="G412" i="30" s="1"/>
  <c r="H410" i="30"/>
  <c r="E411" i="30" l="1"/>
  <c r="H411" i="30" s="1"/>
  <c r="F412" i="30"/>
  <c r="B413" i="30"/>
  <c r="G413" i="30" s="1" a="1"/>
  <c r="G413" i="30" s="1"/>
  <c r="E412" i="30" l="1"/>
  <c r="F413" i="30"/>
  <c r="B414" i="30"/>
  <c r="G414" i="30" s="1" a="1"/>
  <c r="G414" i="30" s="1"/>
  <c r="H412" i="30"/>
  <c r="E413" i="30" l="1"/>
  <c r="H413" i="30" s="1"/>
  <c r="F414" i="30"/>
  <c r="B415" i="30"/>
  <c r="G415" i="30" s="1" a="1"/>
  <c r="G415" i="30" s="1"/>
  <c r="E414" i="30" l="1"/>
  <c r="F415" i="30"/>
  <c r="B416" i="30"/>
  <c r="G416" i="30" s="1" a="1"/>
  <c r="G416" i="30" s="1"/>
  <c r="H414" i="30"/>
  <c r="E415" i="30" l="1"/>
  <c r="H415" i="30" s="1"/>
  <c r="F416" i="30"/>
  <c r="B417" i="30"/>
  <c r="G417" i="30" s="1" a="1"/>
  <c r="G417" i="30" s="1"/>
  <c r="E416" i="30" l="1"/>
  <c r="H416" i="30" s="1"/>
  <c r="F417" i="30"/>
  <c r="B418" i="30"/>
  <c r="G418" i="30" s="1" a="1"/>
  <c r="G418" i="30" s="1"/>
  <c r="E417" i="30" l="1"/>
  <c r="H417" i="30" s="1"/>
  <c r="F418" i="30"/>
  <c r="B419" i="30"/>
  <c r="G419" i="30" s="1" a="1"/>
  <c r="G419" i="30" s="1"/>
  <c r="E418" i="30" l="1"/>
  <c r="F419" i="30"/>
  <c r="B420" i="30"/>
  <c r="G420" i="30" s="1" a="1"/>
  <c r="G420" i="30" s="1"/>
  <c r="H418" i="30"/>
  <c r="E419" i="30" l="1"/>
  <c r="H419" i="30" s="1"/>
  <c r="F420" i="30"/>
  <c r="B421" i="30"/>
  <c r="G421" i="30" s="1" a="1"/>
  <c r="G421" i="30" s="1"/>
  <c r="E420" i="30" l="1"/>
  <c r="H420" i="30" s="1"/>
  <c r="F421" i="30"/>
  <c r="B422" i="30"/>
  <c r="G422" i="30" s="1" a="1"/>
  <c r="G422" i="30" s="1"/>
  <c r="E421" i="30" l="1"/>
  <c r="F422" i="30"/>
  <c r="H421" i="30"/>
  <c r="B423" i="30"/>
  <c r="G423" i="30" s="1" a="1"/>
  <c r="G423" i="30" s="1"/>
  <c r="E422" i="30" l="1"/>
  <c r="F423" i="30"/>
  <c r="B424" i="30"/>
  <c r="G424" i="30" s="1" a="1"/>
  <c r="G424" i="30" s="1"/>
  <c r="H422" i="30"/>
  <c r="E423" i="30" l="1"/>
  <c r="H423" i="30" s="1"/>
  <c r="F424" i="30"/>
  <c r="B425" i="30"/>
  <c r="G425" i="30" s="1" a="1"/>
  <c r="G425" i="30" s="1"/>
  <c r="E424" i="30" l="1"/>
  <c r="F425" i="30"/>
  <c r="B426" i="30"/>
  <c r="G426" i="30" s="1" a="1"/>
  <c r="G426" i="30" s="1"/>
  <c r="H424" i="30"/>
  <c r="E425" i="30" l="1"/>
  <c r="H425" i="30" s="1"/>
  <c r="F426" i="30"/>
  <c r="B427" i="30"/>
  <c r="G427" i="30" s="1" a="1"/>
  <c r="G427" i="30" s="1"/>
  <c r="E426" i="30" l="1"/>
  <c r="F427" i="30"/>
  <c r="B428" i="30"/>
  <c r="G428" i="30" s="1" a="1"/>
  <c r="G428" i="30" s="1"/>
  <c r="H426" i="30"/>
  <c r="E427" i="30" l="1"/>
  <c r="H427" i="30" s="1"/>
  <c r="F428" i="30"/>
  <c r="B429" i="30"/>
  <c r="G429" i="30" s="1" a="1"/>
  <c r="G429" i="30" s="1"/>
  <c r="E428" i="30" l="1"/>
  <c r="H428" i="30" s="1"/>
  <c r="F429" i="30"/>
  <c r="B430" i="30"/>
  <c r="G430" i="30" s="1" a="1"/>
  <c r="G430" i="30" s="1"/>
  <c r="E429" i="30" l="1"/>
  <c r="H429" i="30" s="1"/>
  <c r="F430" i="30"/>
  <c r="B431" i="30"/>
  <c r="G431" i="30" s="1" a="1"/>
  <c r="G431" i="30" s="1"/>
  <c r="E430" i="30" l="1"/>
  <c r="F431" i="30"/>
  <c r="B432" i="30"/>
  <c r="G432" i="30" s="1" a="1"/>
  <c r="G432" i="30" s="1"/>
  <c r="H430" i="30"/>
  <c r="E431" i="30" l="1"/>
  <c r="H431" i="30" s="1"/>
  <c r="F432" i="30"/>
  <c r="B433" i="30"/>
  <c r="G433" i="30" s="1" a="1"/>
  <c r="G433" i="30" s="1"/>
  <c r="E432" i="30" l="1"/>
  <c r="H432" i="30" s="1"/>
  <c r="F433" i="30"/>
  <c r="B434" i="30"/>
  <c r="G434" i="30" s="1" a="1"/>
  <c r="G434" i="30" s="1"/>
  <c r="E433" i="30" l="1"/>
  <c r="H433" i="30" s="1"/>
  <c r="F434" i="30"/>
  <c r="B435" i="30"/>
  <c r="G435" i="30" s="1" a="1"/>
  <c r="G435" i="30" s="1"/>
  <c r="E434" i="30" l="1"/>
  <c r="F435" i="30"/>
  <c r="B436" i="30"/>
  <c r="G436" i="30" s="1" a="1"/>
  <c r="G436" i="30" s="1"/>
  <c r="H434" i="30"/>
  <c r="E435" i="30" l="1"/>
  <c r="H435" i="30" s="1"/>
  <c r="F436" i="30"/>
  <c r="B437" i="30"/>
  <c r="G437" i="30" s="1" a="1"/>
  <c r="G437" i="30" s="1"/>
  <c r="E436" i="30" l="1"/>
  <c r="F437" i="30"/>
  <c r="B438" i="30"/>
  <c r="G438" i="30" s="1" a="1"/>
  <c r="G438" i="30" s="1"/>
  <c r="H436" i="30"/>
  <c r="E437" i="30" l="1"/>
  <c r="H437" i="30" s="1"/>
  <c r="F438" i="30"/>
  <c r="B439" i="30"/>
  <c r="G439" i="30" s="1" a="1"/>
  <c r="G439" i="30" s="1"/>
  <c r="E438" i="30" l="1"/>
  <c r="F439" i="30"/>
  <c r="B440" i="30"/>
  <c r="G440" i="30" s="1" a="1"/>
  <c r="G440" i="30" s="1"/>
  <c r="H438" i="30"/>
  <c r="E439" i="30" l="1"/>
  <c r="H439" i="30" s="1"/>
  <c r="F440" i="30"/>
  <c r="B441" i="30"/>
  <c r="G441" i="30" s="1" a="1"/>
  <c r="G441" i="30" s="1"/>
  <c r="E440" i="30" l="1"/>
  <c r="H440" i="30" s="1"/>
  <c r="F441" i="30"/>
  <c r="B442" i="30"/>
  <c r="G442" i="30" s="1" a="1"/>
  <c r="G442" i="30" s="1"/>
  <c r="E441" i="30" l="1"/>
  <c r="H441" i="30" s="1"/>
  <c r="F442" i="30"/>
  <c r="B443" i="30"/>
  <c r="G443" i="30" s="1" a="1"/>
  <c r="G443" i="30" s="1"/>
  <c r="E442" i="30" l="1"/>
  <c r="H442" i="30" s="1"/>
  <c r="F443" i="30"/>
  <c r="B444" i="30"/>
  <c r="G444" i="30" s="1" a="1"/>
  <c r="G444" i="30" s="1"/>
  <c r="E443" i="30" l="1"/>
  <c r="H443" i="30" s="1"/>
  <c r="F444" i="30"/>
  <c r="B445" i="30"/>
  <c r="G445" i="30" s="1" a="1"/>
  <c r="G445" i="30" s="1"/>
  <c r="E444" i="30" l="1"/>
  <c r="F445" i="30"/>
  <c r="B446" i="30"/>
  <c r="G446" i="30" s="1" a="1"/>
  <c r="G446" i="30" s="1"/>
  <c r="H444" i="30"/>
  <c r="E445" i="30" l="1"/>
  <c r="H445" i="30" s="1"/>
  <c r="F446" i="30"/>
  <c r="B447" i="30"/>
  <c r="G447" i="30" s="1" a="1"/>
  <c r="G447" i="30" s="1"/>
  <c r="E446" i="30" l="1"/>
  <c r="H446" i="30" s="1"/>
  <c r="F447" i="30"/>
  <c r="B448" i="30"/>
  <c r="G448" i="30" s="1" a="1"/>
  <c r="G448" i="30" s="1"/>
  <c r="E447" i="30" l="1"/>
  <c r="F448" i="30"/>
  <c r="H447" i="30"/>
  <c r="B449" i="30"/>
  <c r="G449" i="30" s="1" a="1"/>
  <c r="G449" i="30" s="1"/>
  <c r="E448" i="30" l="1"/>
  <c r="H448" i="30" s="1"/>
  <c r="F449" i="30"/>
  <c r="B450" i="30"/>
  <c r="G450" i="30" s="1" a="1"/>
  <c r="G450" i="30" s="1"/>
  <c r="E449" i="30" l="1"/>
  <c r="F450" i="30"/>
  <c r="H449" i="30"/>
  <c r="B451" i="30"/>
  <c r="G451" i="30" s="1" a="1"/>
  <c r="G451" i="30" s="1"/>
  <c r="E450" i="30" l="1"/>
  <c r="F451" i="30"/>
  <c r="B452" i="30"/>
  <c r="G452" i="30" s="1" a="1"/>
  <c r="G452" i="30" s="1"/>
  <c r="H450" i="30"/>
  <c r="E451" i="30" l="1"/>
  <c r="H451" i="30" s="1"/>
  <c r="F452" i="30"/>
  <c r="B453" i="30"/>
  <c r="G453" i="30" s="1" a="1"/>
  <c r="G453" i="30" s="1"/>
  <c r="E452" i="30" l="1"/>
  <c r="F453" i="30"/>
  <c r="B454" i="30"/>
  <c r="G454" i="30" s="1" a="1"/>
  <c r="G454" i="30" s="1"/>
  <c r="H452" i="30"/>
  <c r="E453" i="30" l="1"/>
  <c r="H453" i="30" s="1"/>
  <c r="F454" i="30"/>
  <c r="B455" i="30"/>
  <c r="G455" i="30" s="1" a="1"/>
  <c r="G455" i="30" s="1"/>
  <c r="E454" i="30" l="1"/>
  <c r="H454" i="30" s="1"/>
  <c r="F455" i="30"/>
  <c r="B456" i="30"/>
  <c r="G456" i="30" s="1" a="1"/>
  <c r="G456" i="30" s="1"/>
  <c r="E455" i="30" l="1"/>
  <c r="H455" i="30" s="1"/>
  <c r="F456" i="30"/>
  <c r="B457" i="30"/>
  <c r="G457" i="30" s="1" a="1"/>
  <c r="G457" i="30" s="1"/>
  <c r="E456" i="30" l="1"/>
  <c r="H456" i="30" s="1"/>
  <c r="F457" i="30"/>
  <c r="B458" i="30"/>
  <c r="G458" i="30" s="1" a="1"/>
  <c r="G458" i="30" s="1"/>
  <c r="E457" i="30" l="1"/>
  <c r="F458" i="30"/>
  <c r="H457" i="30"/>
  <c r="B459" i="30"/>
  <c r="G459" i="30" s="1" a="1"/>
  <c r="G459" i="30" s="1"/>
  <c r="E458" i="30" l="1"/>
  <c r="H458" i="30" s="1"/>
  <c r="F459" i="30"/>
  <c r="B460" i="30"/>
  <c r="G460" i="30" s="1" a="1"/>
  <c r="G460" i="30" s="1"/>
  <c r="E459" i="30" l="1"/>
  <c r="F460" i="30"/>
  <c r="H459" i="30"/>
  <c r="B461" i="30"/>
  <c r="G461" i="30" s="1" a="1"/>
  <c r="G461" i="30" s="1"/>
  <c r="E460" i="30" l="1"/>
  <c r="H460" i="30" s="1"/>
  <c r="F461" i="30"/>
  <c r="B462" i="30"/>
  <c r="G462" i="30" s="1" a="1"/>
  <c r="G462" i="30" s="1"/>
  <c r="E461" i="30" l="1"/>
  <c r="H461" i="30" s="1"/>
  <c r="F462" i="30"/>
  <c r="B463" i="30"/>
  <c r="G463" i="30" s="1" a="1"/>
  <c r="G463" i="30" s="1"/>
  <c r="E462" i="30" l="1"/>
  <c r="H462" i="30" s="1"/>
  <c r="F463" i="30"/>
  <c r="B464" i="30"/>
  <c r="G464" i="30" s="1" a="1"/>
  <c r="G464" i="30" s="1"/>
  <c r="E463" i="30" l="1"/>
  <c r="F464" i="30"/>
  <c r="H463" i="30"/>
  <c r="B465" i="30"/>
  <c r="G465" i="30" s="1" a="1"/>
  <c r="G465" i="30" s="1"/>
  <c r="E464" i="30" l="1"/>
  <c r="F465" i="30"/>
  <c r="B466" i="30"/>
  <c r="G466" i="30" s="1" a="1"/>
  <c r="G466" i="30" s="1"/>
  <c r="H464" i="30"/>
  <c r="E465" i="30" l="1"/>
  <c r="H465" i="30" s="1"/>
  <c r="F466" i="30"/>
  <c r="B467" i="30"/>
  <c r="G467" i="30" s="1" a="1"/>
  <c r="G467" i="30" s="1"/>
  <c r="E466" i="30" l="1"/>
  <c r="F467" i="30"/>
  <c r="B468" i="30"/>
  <c r="G468" i="30" s="1" a="1"/>
  <c r="G468" i="30" s="1"/>
  <c r="H466" i="30"/>
  <c r="E467" i="30" l="1"/>
  <c r="H467" i="30" s="1"/>
  <c r="F468" i="30"/>
  <c r="B469" i="30"/>
  <c r="G469" i="30" s="1" a="1"/>
  <c r="G469" i="30" s="1"/>
  <c r="E468" i="30" l="1"/>
  <c r="H468" i="30" s="1"/>
  <c r="F469" i="30"/>
  <c r="B470" i="30"/>
  <c r="G470" i="30" s="1" a="1"/>
  <c r="G470" i="30" s="1"/>
  <c r="E469" i="30" l="1"/>
  <c r="F470" i="30"/>
  <c r="H469" i="30"/>
  <c r="B471" i="30"/>
  <c r="G471" i="30" s="1" a="1"/>
  <c r="G471" i="30" s="1"/>
  <c r="E470" i="30" l="1"/>
  <c r="F471" i="30"/>
  <c r="B472" i="30"/>
  <c r="G472" i="30" s="1" a="1"/>
  <c r="G472" i="30" s="1"/>
  <c r="H470" i="30"/>
  <c r="E471" i="30" l="1"/>
  <c r="F472" i="30"/>
  <c r="H471" i="30"/>
  <c r="B473" i="30"/>
  <c r="G473" i="30" s="1" a="1"/>
  <c r="G473" i="30" s="1"/>
  <c r="E472" i="30" l="1"/>
  <c r="H472" i="30" s="1"/>
  <c r="F473" i="30"/>
  <c r="B474" i="30"/>
  <c r="G474" i="30" s="1" a="1"/>
  <c r="G474" i="30" s="1"/>
  <c r="E473" i="30" l="1"/>
  <c r="F474" i="30"/>
  <c r="H473" i="30"/>
  <c r="B475" i="30"/>
  <c r="G475" i="30" s="1" a="1"/>
  <c r="G475" i="30" s="1"/>
  <c r="E474" i="30" l="1"/>
  <c r="F475" i="30"/>
  <c r="B476" i="30"/>
  <c r="G476" i="30" s="1" a="1"/>
  <c r="G476" i="30" s="1"/>
  <c r="H474" i="30"/>
  <c r="E475" i="30" l="1"/>
  <c r="H475" i="30" s="1"/>
  <c r="F476" i="30"/>
  <c r="B477" i="30"/>
  <c r="G477" i="30" s="1" a="1"/>
  <c r="G477" i="30" s="1"/>
  <c r="E476" i="30" l="1"/>
  <c r="F477" i="30"/>
  <c r="B478" i="30"/>
  <c r="G478" i="30" s="1" a="1"/>
  <c r="G478" i="30" s="1"/>
  <c r="H476" i="30"/>
  <c r="E477" i="30" l="1"/>
  <c r="H477" i="30" s="1"/>
  <c r="F478" i="30"/>
  <c r="B479" i="30"/>
  <c r="G479" i="30" s="1" a="1"/>
  <c r="G479" i="30" s="1"/>
  <c r="E478" i="30" l="1"/>
  <c r="H478" i="30" s="1"/>
  <c r="F479" i="30"/>
  <c r="B480" i="30"/>
  <c r="G480" i="30" s="1" a="1"/>
  <c r="G480" i="30" s="1"/>
  <c r="E479" i="30" l="1"/>
  <c r="H479" i="30" s="1"/>
  <c r="F480" i="30"/>
  <c r="B481" i="30"/>
  <c r="G481" i="30" s="1" a="1"/>
  <c r="G481" i="30" s="1"/>
  <c r="E480" i="30" l="1"/>
  <c r="F481" i="30"/>
  <c r="B482" i="30"/>
  <c r="G482" i="30" s="1" a="1"/>
  <c r="G482" i="30" s="1"/>
  <c r="H480" i="30"/>
  <c r="E481" i="30" l="1"/>
  <c r="H481" i="30" s="1"/>
  <c r="F482" i="30"/>
  <c r="B483" i="30"/>
  <c r="G483" i="30" s="1" a="1"/>
  <c r="G483" i="30" s="1"/>
  <c r="E482" i="30" l="1"/>
  <c r="F483" i="30"/>
  <c r="B484" i="30"/>
  <c r="G484" i="30" s="1" a="1"/>
  <c r="G484" i="30" s="1"/>
  <c r="H482" i="30"/>
  <c r="E483" i="30" l="1"/>
  <c r="H483" i="30" s="1"/>
  <c r="F484" i="30"/>
  <c r="B485" i="30"/>
  <c r="G485" i="30" s="1" a="1"/>
  <c r="G485" i="30" s="1"/>
  <c r="E484" i="30" l="1"/>
  <c r="F485" i="30"/>
  <c r="B486" i="30"/>
  <c r="G486" i="30" s="1" a="1"/>
  <c r="G486" i="30" s="1"/>
  <c r="H484" i="30"/>
  <c r="E485" i="30" l="1"/>
  <c r="H485" i="30" s="1"/>
  <c r="F486" i="30"/>
  <c r="B487" i="30"/>
  <c r="G487" i="30" s="1" a="1"/>
  <c r="G487" i="30" s="1"/>
  <c r="E486" i="30" l="1"/>
  <c r="H486" i="30" s="1"/>
  <c r="F487" i="30"/>
  <c r="B488" i="30"/>
  <c r="G488" i="30" s="1" a="1"/>
  <c r="G488" i="30" s="1"/>
  <c r="E487" i="30" l="1"/>
  <c r="H487" i="30" s="1"/>
  <c r="F488" i="30"/>
  <c r="B489" i="30"/>
  <c r="G489" i="30" s="1" a="1"/>
  <c r="G489" i="30" s="1"/>
  <c r="E488" i="30" l="1"/>
  <c r="H488" i="30" s="1"/>
  <c r="F489" i="30"/>
  <c r="B490" i="30"/>
  <c r="G490" i="30" s="1" a="1"/>
  <c r="G490" i="30" s="1"/>
  <c r="E489" i="30" l="1"/>
  <c r="H489" i="30" s="1"/>
  <c r="F490" i="30"/>
  <c r="B491" i="30"/>
  <c r="G491" i="30" s="1" a="1"/>
  <c r="G491" i="30" s="1"/>
  <c r="E490" i="30" l="1"/>
  <c r="H490" i="30" s="1"/>
  <c r="F491" i="30"/>
  <c r="B492" i="30"/>
  <c r="G492" i="30" s="1" a="1"/>
  <c r="G492" i="30" s="1"/>
  <c r="E491" i="30" l="1"/>
  <c r="H491" i="30" s="1"/>
  <c r="F492" i="30"/>
  <c r="B493" i="30"/>
  <c r="G493" i="30" s="1" a="1"/>
  <c r="G493" i="30" s="1"/>
  <c r="E492" i="30" l="1"/>
  <c r="H492" i="30" s="1"/>
  <c r="F493" i="30"/>
  <c r="B494" i="30"/>
  <c r="G494" i="30" s="1" a="1"/>
  <c r="G494" i="30" s="1"/>
  <c r="E493" i="30" l="1"/>
  <c r="H493" i="30" s="1"/>
  <c r="F494" i="30"/>
  <c r="B495" i="30"/>
  <c r="G495" i="30" s="1" a="1"/>
  <c r="G495" i="30" s="1"/>
  <c r="E494" i="30" l="1"/>
  <c r="H494" i="30" s="1"/>
  <c r="F495" i="30"/>
  <c r="B496" i="30"/>
  <c r="G496" i="30" s="1" a="1"/>
  <c r="G496" i="30" s="1"/>
  <c r="E495" i="30" l="1"/>
  <c r="H495" i="30" s="1"/>
  <c r="F496" i="30"/>
  <c r="B497" i="30"/>
  <c r="G497" i="30" s="1" a="1"/>
  <c r="G497" i="30" s="1"/>
  <c r="E496" i="30" l="1"/>
  <c r="H496" i="30" s="1"/>
  <c r="F497" i="30"/>
  <c r="B498" i="30"/>
  <c r="G498" i="30" s="1" a="1"/>
  <c r="G498" i="30" s="1"/>
  <c r="E497" i="30" l="1"/>
  <c r="H497" i="30" s="1"/>
  <c r="F498" i="30"/>
  <c r="B499" i="30"/>
  <c r="G499" i="30" s="1" a="1"/>
  <c r="G499" i="30" s="1"/>
  <c r="E498" i="30" l="1"/>
  <c r="F499" i="30"/>
  <c r="B500" i="30"/>
  <c r="G500" i="30" s="1" a="1"/>
  <c r="G500" i="30" s="1"/>
  <c r="H498" i="30"/>
  <c r="E499" i="30" l="1"/>
  <c r="F500" i="30"/>
  <c r="T19" i="11" a="1"/>
  <c r="T19" i="11" s="1"/>
  <c r="U19" i="11" a="1"/>
  <c r="U19" i="11" s="1"/>
  <c r="V19" i="11" a="1"/>
  <c r="V19" i="11" s="1"/>
  <c r="W19" i="11" a="1"/>
  <c r="W19" i="11" s="1"/>
  <c r="X19" i="11" a="1"/>
  <c r="X19" i="11" s="1"/>
  <c r="Y19" i="11" a="1"/>
  <c r="Y19" i="11" s="1"/>
  <c r="Z19" i="11" a="1"/>
  <c r="Z19" i="11" s="1"/>
  <c r="AA19" i="11" a="1"/>
  <c r="AA19" i="11" s="1"/>
  <c r="AB19" i="11" a="1"/>
  <c r="AB19" i="11" s="1"/>
  <c r="AC19" i="11" a="1"/>
  <c r="AC19" i="11" s="1"/>
  <c r="H499" i="30"/>
  <c r="C18" i="7"/>
  <c r="H32" i="11" s="1"/>
  <c r="H31" i="11"/>
  <c r="E500" i="30" l="1"/>
  <c r="H500" i="30" s="1"/>
  <c r="AB33" i="11" s="1" a="1"/>
  <c r="AB33" i="11" s="1"/>
  <c r="X18" i="11" a="1"/>
  <c r="X18" i="11" s="1"/>
  <c r="Y18" i="11" a="1"/>
  <c r="Y18" i="11" s="1"/>
  <c r="Z18" i="11" a="1"/>
  <c r="Z18" i="11" s="1"/>
  <c r="AA18" i="11" a="1"/>
  <c r="AA18" i="11" s="1"/>
  <c r="AB18" i="11" a="1"/>
  <c r="AB18" i="11" s="1"/>
  <c r="AC18" i="11" a="1"/>
  <c r="AC18" i="11" s="1"/>
  <c r="O36" i="28" l="1"/>
  <c r="AB35" i="11"/>
  <c r="O38" i="28" s="1"/>
  <c r="E9" i="7"/>
  <c r="O20" i="11" s="1"/>
  <c r="W33" i="11" a="1"/>
  <c r="W33" i="11" s="1"/>
  <c r="J36" i="28" s="1"/>
  <c r="AC33" i="11" a="1"/>
  <c r="AC33" i="11" s="1"/>
  <c r="W35" i="11" l="1"/>
  <c r="J38" i="28" s="1"/>
  <c r="P36" i="28"/>
  <c r="AC35" i="11"/>
  <c r="P38" i="28" s="1"/>
  <c r="T27" i="11" l="1" a="1"/>
  <c r="T27" i="11" s="1"/>
  <c r="T28" i="11" a="1"/>
  <c r="T28" i="11" s="1"/>
  <c r="T31" i="11" s="1"/>
  <c r="G41" i="28" s="1"/>
  <c r="N17" i="27" s="1"/>
  <c r="C11" i="38" s="1"/>
  <c r="H16" i="27" l="1"/>
  <c r="I16" i="27"/>
  <c r="T66" i="28" l="1"/>
  <c r="J9" i="7" l="1" a="1"/>
  <c r="J9" i="7" s="1"/>
  <c r="I19" i="7" l="1" a="1"/>
  <c r="I19" i="7" s="1"/>
  <c r="P18" i="14" l="1"/>
  <c r="X12" i="14"/>
  <c r="X13" i="14"/>
  <c r="N11" i="14"/>
  <c r="X11" i="14"/>
  <c r="N12" i="14"/>
  <c r="X17" i="14"/>
  <c r="V13" i="14"/>
  <c r="X15" i="14"/>
  <c r="X14" i="14"/>
  <c r="T18" i="14"/>
  <c r="X18" i="14"/>
  <c r="L18" i="14"/>
  <c r="X16" i="14"/>
  <c r="R13" i="14"/>
  <c r="G4" i="13" a="1"/>
  <c r="G4" i="13" s="1"/>
  <c r="A1" i="33" a="1"/>
  <c r="A1" i="33" l="1"/>
  <c r="E28" i="27" a="1"/>
  <c r="E28" i="27" l="1"/>
  <c r="H28" i="27" a="1"/>
  <c r="H28" i="27" s="1"/>
  <c r="J28" i="27" a="1"/>
  <c r="J28" i="27" s="1"/>
  <c r="D1" i="33" a="1"/>
  <c r="D1" i="33" s="1"/>
  <c r="E1" i="33" a="1"/>
  <c r="E1" i="33" s="1"/>
  <c r="C4" i="13" a="1"/>
  <c r="C4" i="13" s="1"/>
  <c r="I28" i="27" a="1"/>
  <c r="I28" i="27" s="1"/>
  <c r="F4" i="13" a="1"/>
  <c r="F4" i="13" s="1"/>
  <c r="B4" i="13" a="1"/>
  <c r="B4" i="13" s="1"/>
  <c r="B6" i="14" l="1" a="1"/>
  <c r="B6" i="14" s="1"/>
  <c r="C6" i="14" s="1" a="1"/>
  <c r="C6" i="14" s="1"/>
  <c r="J4" i="13" a="1"/>
  <c r="J4" i="13" s="1"/>
  <c r="N4" i="13" s="1"/>
  <c r="R4" i="13" s="1"/>
  <c r="B4" i="14" a="1"/>
  <c r="B4" i="14" s="1"/>
  <c r="C4" i="14" s="1" a="1"/>
  <c r="C4" i="14" s="1"/>
  <c r="B5" i="14" a="1"/>
  <c r="B5" i="14" s="1"/>
  <c r="C5" i="14" s="1" a="1"/>
  <c r="C5" i="14" s="1"/>
  <c r="B10" i="14" a="1"/>
  <c r="B10" i="14" s="1"/>
  <c r="C10" i="14" s="1" a="1"/>
  <c r="C10" i="14" s="1"/>
  <c r="B3" i="14" a="1"/>
  <c r="B3" i="14" s="1"/>
  <c r="C3" i="14" s="1" a="1"/>
  <c r="C3" i="14" s="1"/>
  <c r="H4" i="13" a="1"/>
  <c r="H4" i="13" s="1"/>
  <c r="I4" i="13" a="1"/>
  <c r="I4" i="13" s="1"/>
  <c r="M4" i="13" s="1"/>
  <c r="Q4" i="13" s="1"/>
  <c r="K4" i="13" a="1"/>
  <c r="K4" i="13" s="1"/>
  <c r="O4" i="13" s="1"/>
  <c r="S4" i="13" s="1"/>
  <c r="T4" i="13" a="1"/>
  <c r="T4" i="13" s="1"/>
  <c r="B9" i="14" a="1"/>
  <c r="B9" i="14" s="1"/>
  <c r="C9" i="14" s="1" a="1"/>
  <c r="C9" i="14" s="1"/>
  <c r="I24" i="7" l="1"/>
  <c r="L4" i="13"/>
  <c r="P4" i="13" s="1"/>
  <c r="A1" i="17" s="1" a="1"/>
  <c r="A1" i="17" l="1"/>
  <c r="E31" i="14" s="1" a="1"/>
  <c r="E31" i="14" s="1"/>
  <c r="U33" i="20"/>
  <c r="U29" i="20"/>
  <c r="U19" i="20"/>
  <c r="U30" i="20"/>
  <c r="U20" i="20"/>
  <c r="I33" i="34"/>
  <c r="U32" i="20"/>
  <c r="U37" i="20"/>
  <c r="U25" i="20"/>
  <c r="U35" i="20"/>
  <c r="U34" i="20"/>
  <c r="U18" i="20"/>
  <c r="U26" i="20"/>
  <c r="U28" i="20"/>
  <c r="U31" i="20"/>
  <c r="U36" i="20"/>
  <c r="U27" i="20"/>
  <c r="U24" i="20"/>
  <c r="G6" i="27"/>
  <c r="H7" i="14" l="1" a="1"/>
  <c r="H7" i="14" s="1"/>
  <c r="I15" i="14" a="1"/>
  <c r="I15" i="14" s="1"/>
  <c r="I21" i="14" a="1"/>
  <c r="I21" i="14" s="1"/>
  <c r="F10" i="14" a="1"/>
  <c r="F10" i="14" s="1"/>
  <c r="S5" i="14" a="1"/>
  <c r="S5" i="14" s="1"/>
  <c r="AC5" i="14" s="1"/>
  <c r="AG5" i="14" s="1"/>
  <c r="K22" i="14" a="1"/>
  <c r="K22" i="14" s="1"/>
  <c r="O20" i="14" a="1"/>
  <c r="O20" i="14" s="1"/>
  <c r="F8" i="14" a="1"/>
  <c r="F8" i="14" s="1"/>
  <c r="F27" i="14" a="1"/>
  <c r="F27" i="14" s="1"/>
  <c r="W30" i="14" a="1"/>
  <c r="W30" i="14" s="1"/>
  <c r="H8" i="16" a="1"/>
  <c r="H8" i="16" s="1"/>
  <c r="F24" i="14" a="1"/>
  <c r="F24" i="14" s="1"/>
  <c r="F31" i="14" a="1"/>
  <c r="F31" i="14" s="1"/>
  <c r="G31" i="14" s="1" a="1"/>
  <c r="G31" i="14" s="1"/>
  <c r="S18" i="14" a="1"/>
  <c r="S18" i="14" s="1"/>
  <c r="K26" i="14" a="1"/>
  <c r="K26" i="14" s="1"/>
  <c r="W22" i="14" a="1"/>
  <c r="W22" i="14" s="1"/>
  <c r="I10" i="14" a="1"/>
  <c r="I10" i="14" s="1"/>
  <c r="F5" i="14" a="1"/>
  <c r="F5" i="14" s="1"/>
  <c r="I24" i="14" a="1"/>
  <c r="I24" i="14" s="1"/>
  <c r="S31" i="14" a="1"/>
  <c r="S31" i="14" s="1"/>
  <c r="S17" i="14" a="1"/>
  <c r="S17" i="14" s="1"/>
  <c r="O7" i="14" a="1"/>
  <c r="O7" i="14" s="1"/>
  <c r="R7" i="14" s="1"/>
  <c r="W15" i="14" a="1"/>
  <c r="W15" i="14" s="1"/>
  <c r="S22" i="14" a="1"/>
  <c r="S22" i="14" s="1"/>
  <c r="K31" i="14" a="1"/>
  <c r="K31" i="14" s="1"/>
  <c r="K30" i="14" a="1"/>
  <c r="K30" i="14" s="1"/>
  <c r="F29" i="14" a="1"/>
  <c r="F29" i="14" s="1"/>
  <c r="F23" i="14" a="1"/>
  <c r="F23" i="14" s="1"/>
  <c r="F28" i="14" a="1"/>
  <c r="F28" i="14" s="1"/>
  <c r="E14" i="14" a="1"/>
  <c r="E14" i="14" s="1"/>
  <c r="O23" i="14" a="1"/>
  <c r="O23" i="14" s="1"/>
  <c r="W7" i="14" a="1"/>
  <c r="W7" i="14" s="1"/>
  <c r="X7" i="14" s="1"/>
  <c r="Z7" i="14" s="1"/>
  <c r="I5" i="14" a="1"/>
  <c r="I5" i="14" s="1"/>
  <c r="I28" i="14" a="1"/>
  <c r="I28" i="14" s="1"/>
  <c r="F26" i="14" a="1"/>
  <c r="F26" i="14" s="1"/>
  <c r="E18" i="14" a="1"/>
  <c r="E18" i="14" s="1"/>
  <c r="B2" i="22" a="1"/>
  <c r="B2" i="22" s="1"/>
  <c r="O8" i="20" s="1"/>
  <c r="P11" i="20" s="1"/>
  <c r="F20" i="14" a="1"/>
  <c r="F20" i="14" s="1"/>
  <c r="I12" i="14" a="1"/>
  <c r="I12" i="14" s="1"/>
  <c r="I13" i="14" a="1"/>
  <c r="I13" i="14" s="1"/>
  <c r="F7" i="14" a="1"/>
  <c r="F7" i="14" s="1"/>
  <c r="S28" i="14" a="1"/>
  <c r="S28" i="14" s="1"/>
  <c r="S9" i="14" a="1"/>
  <c r="S9" i="14" s="1"/>
  <c r="AC9" i="14" s="1"/>
  <c r="AG9" i="14" s="1"/>
  <c r="K11" i="14" a="1"/>
  <c r="K11" i="14" s="1"/>
  <c r="O29" i="14" a="1"/>
  <c r="O29" i="14" s="1"/>
  <c r="I6" i="14" a="1"/>
  <c r="I6" i="14" s="1"/>
  <c r="W21" i="14" a="1"/>
  <c r="W21" i="14" s="1"/>
  <c r="I7" i="14" a="1"/>
  <c r="I7" i="14" s="1"/>
  <c r="S16" i="14" a="1"/>
  <c r="S16" i="14" s="1"/>
  <c r="W10" i="14" a="1"/>
  <c r="W10" i="14" s="1"/>
  <c r="X10" i="14" s="1"/>
  <c r="W12" i="14" a="1"/>
  <c r="W12" i="14" s="1"/>
  <c r="F18" i="14" a="1"/>
  <c r="F18" i="14" s="1"/>
  <c r="E21" i="14" a="1"/>
  <c r="E21" i="14" s="1"/>
  <c r="I16" i="14" a="1"/>
  <c r="I16" i="14" s="1"/>
  <c r="W18" i="14" a="1"/>
  <c r="W18" i="14" s="1"/>
  <c r="F14" i="14" a="1"/>
  <c r="F14" i="14" s="1"/>
  <c r="F6" i="14" a="1"/>
  <c r="F6" i="14" s="1"/>
  <c r="H31" i="14" a="1"/>
  <c r="H31" i="14" s="1"/>
  <c r="W19" i="14" a="1"/>
  <c r="W19" i="14" s="1"/>
  <c r="B1" i="22" a="1"/>
  <c r="B1" i="22" s="1"/>
  <c r="F11" i="14" a="1"/>
  <c r="F11" i="14" s="1"/>
  <c r="I9" i="14" a="1"/>
  <c r="I9" i="14" s="1"/>
  <c r="F12" i="14" a="1"/>
  <c r="F12" i="14" s="1"/>
  <c r="I30" i="14" a="1"/>
  <c r="I30" i="14" s="1"/>
  <c r="S11" i="14" a="1"/>
  <c r="S11" i="14" s="1"/>
  <c r="F9" i="14" a="1"/>
  <c r="F9" i="14" s="1"/>
  <c r="O17" i="14" a="1"/>
  <c r="O17" i="14" s="1"/>
  <c r="I3" i="14" a="1"/>
  <c r="I3" i="14" s="1"/>
  <c r="W20" i="14" a="1"/>
  <c r="W20" i="14" s="1"/>
  <c r="K24" i="14" a="1"/>
  <c r="K24" i="14" s="1"/>
  <c r="K17" i="14" a="1"/>
  <c r="K17" i="14" s="1"/>
  <c r="S30" i="14" a="1"/>
  <c r="S30" i="14" s="1"/>
  <c r="W24" i="14" a="1"/>
  <c r="W24" i="14" s="1"/>
  <c r="K18" i="14" a="1"/>
  <c r="K18" i="14" s="1"/>
  <c r="K28" i="14" a="1"/>
  <c r="K28" i="14" s="1"/>
  <c r="W14" i="14" a="1"/>
  <c r="W14" i="14" s="1"/>
  <c r="F15" i="14" a="1"/>
  <c r="F15" i="14" s="1"/>
  <c r="S23" i="14" a="1"/>
  <c r="S23" i="14" s="1"/>
  <c r="F25" i="14" a="1"/>
  <c r="F25" i="14" s="1"/>
  <c r="K15" i="14" a="1"/>
  <c r="K15" i="14" s="1"/>
  <c r="O16" i="14" a="1"/>
  <c r="O16" i="14" s="1"/>
  <c r="W27" i="14" a="1"/>
  <c r="W27" i="14" s="1"/>
  <c r="I4" i="14" a="1"/>
  <c r="I4" i="14" s="1"/>
  <c r="K25" i="14" a="1"/>
  <c r="K25" i="14" s="1"/>
  <c r="B3" i="22" a="1"/>
  <c r="B3" i="22" s="1"/>
  <c r="O6" i="20" s="1"/>
  <c r="O6" i="14" a="1"/>
  <c r="O6" i="14" s="1"/>
  <c r="P6" i="14" s="1"/>
  <c r="Q6" i="14" s="1"/>
  <c r="O14" i="14" a="1"/>
  <c r="O14" i="14" s="1"/>
  <c r="K12" i="14" a="1"/>
  <c r="K12" i="14" s="1"/>
  <c r="K21" i="14" a="1"/>
  <c r="K21" i="14" s="1"/>
  <c r="F21" i="14" a="1"/>
  <c r="F21" i="14" s="1"/>
  <c r="I14" i="14" a="1"/>
  <c r="I14" i="14" s="1"/>
  <c r="W13" i="14" a="1"/>
  <c r="W13" i="14" s="1"/>
  <c r="S24" i="14" a="1"/>
  <c r="S24" i="14" s="1"/>
  <c r="I25" i="14" a="1"/>
  <c r="I25" i="14" s="1"/>
  <c r="K13" i="14" a="1"/>
  <c r="K13" i="14" s="1"/>
  <c r="F30" i="14" a="1"/>
  <c r="F30" i="14" s="1"/>
  <c r="O22" i="14" a="1"/>
  <c r="O22" i="14" s="1"/>
  <c r="O26" i="14" a="1"/>
  <c r="O26" i="14" s="1"/>
  <c r="B4" i="22" a="1"/>
  <c r="B4" i="22" s="1"/>
  <c r="S6" i="20" s="1"/>
  <c r="S8" i="20" s="1"/>
  <c r="S15" i="20" s="1"/>
  <c r="F22" i="14" a="1"/>
  <c r="F22" i="14" s="1"/>
  <c r="F13" i="14" a="1"/>
  <c r="F13" i="14" s="1"/>
  <c r="K23" i="14" a="1"/>
  <c r="K23" i="14" s="1"/>
  <c r="I23" i="14" a="1"/>
  <c r="I23" i="14" s="1"/>
  <c r="F3" i="14" a="1"/>
  <c r="F3" i="14" s="1"/>
  <c r="O11" i="14" a="1"/>
  <c r="O11" i="14" s="1"/>
  <c r="W26" i="14" a="1"/>
  <c r="W26" i="14" s="1"/>
  <c r="O28" i="14" a="1"/>
  <c r="O28" i="14" s="1"/>
  <c r="H28" i="14" a="1"/>
  <c r="H28" i="14" s="1"/>
  <c r="F19" i="14" a="1"/>
  <c r="F19" i="14" s="1"/>
  <c r="I17" i="14" a="1"/>
  <c r="I17" i="14" s="1"/>
  <c r="I31" i="14" a="1"/>
  <c r="I31" i="14" s="1"/>
  <c r="S12" i="14" a="1"/>
  <c r="S12" i="14" s="1"/>
  <c r="I8" i="14" a="1"/>
  <c r="I8" i="14" s="1"/>
  <c r="S19" i="14" a="1"/>
  <c r="S19" i="14" s="1"/>
  <c r="K27" i="14" a="1"/>
  <c r="K27" i="14" s="1"/>
  <c r="O21" i="14" a="1"/>
  <c r="O21" i="14" s="1"/>
  <c r="I22" i="14" a="1"/>
  <c r="I22" i="14" s="1"/>
  <c r="W31" i="14" a="1"/>
  <c r="W31" i="14" s="1"/>
  <c r="O25" i="14" a="1"/>
  <c r="O25" i="14" s="1"/>
  <c r="F16" i="14" a="1"/>
  <c r="F16" i="14" s="1"/>
  <c r="S25" i="14" a="1"/>
  <c r="S25" i="14" s="1"/>
  <c r="I20" i="14" a="1"/>
  <c r="I20" i="14" s="1"/>
  <c r="E23" i="14" a="1"/>
  <c r="E23" i="14" s="1"/>
  <c r="W29" i="14" a="1"/>
  <c r="W29" i="14" s="1"/>
  <c r="O10" i="14" a="1"/>
  <c r="O10" i="14" s="1"/>
  <c r="O19" i="14" a="1"/>
  <c r="O19" i="14" s="1"/>
  <c r="K14" i="14" a="1"/>
  <c r="K14" i="14" s="1"/>
  <c r="K10" i="14" a="1"/>
  <c r="K10" i="14" s="1"/>
  <c r="E19" i="14" a="1"/>
  <c r="E19" i="14" s="1"/>
  <c r="O9" i="14" a="1"/>
  <c r="O9" i="14" s="1"/>
  <c r="AB9" i="14" s="1"/>
  <c r="AF9" i="14" s="1"/>
  <c r="S8" i="14" a="1"/>
  <c r="S8" i="14" s="1"/>
  <c r="AC8" i="14" s="1"/>
  <c r="AG8" i="14" s="1"/>
  <c r="E16" i="14" a="1"/>
  <c r="E16" i="14" s="1"/>
  <c r="K4" i="14" a="1"/>
  <c r="K4" i="14" s="1"/>
  <c r="AA4" i="14" s="1"/>
  <c r="AE4" i="14" s="1"/>
  <c r="E13" i="14" a="1"/>
  <c r="E13" i="14" s="1"/>
  <c r="E10" i="14" a="1"/>
  <c r="E10" i="14" s="1"/>
  <c r="H10" i="14" a="1"/>
  <c r="H10" i="14" s="1"/>
  <c r="W11" i="14" a="1"/>
  <c r="W11" i="14" s="1"/>
  <c r="K6" i="14" a="1"/>
  <c r="K6" i="14" s="1"/>
  <c r="AA6" i="14" s="1"/>
  <c r="AE6" i="14" s="1"/>
  <c r="O31" i="14" a="1"/>
  <c r="O31" i="14" s="1"/>
  <c r="F4" i="14" a="1"/>
  <c r="F4" i="14" s="1"/>
  <c r="O13" i="14" a="1"/>
  <c r="O13" i="14" s="1"/>
  <c r="S21" i="14" a="1"/>
  <c r="S21" i="14" s="1"/>
  <c r="K19" i="14" a="1"/>
  <c r="K19" i="14" s="1"/>
  <c r="E4" i="14" a="1"/>
  <c r="E4" i="14" s="1"/>
  <c r="H15" i="14" a="1"/>
  <c r="H15" i="14" s="1"/>
  <c r="S3" i="14" a="1"/>
  <c r="S3" i="14" s="1"/>
  <c r="AC3" i="14" s="1"/>
  <c r="AG3" i="14" s="1"/>
  <c r="O5" i="14" a="1"/>
  <c r="O5" i="14" s="1"/>
  <c r="P5" i="14" s="1"/>
  <c r="Q5" i="14" s="1"/>
  <c r="E7" i="14" a="1"/>
  <c r="E7" i="14" s="1"/>
  <c r="K5" i="14" a="1"/>
  <c r="K5" i="14" s="1"/>
  <c r="AA5" i="14" s="1"/>
  <c r="AE5" i="14" s="1"/>
  <c r="E9" i="14" a="1"/>
  <c r="E9" i="14" s="1"/>
  <c r="H24" i="14" a="1"/>
  <c r="H24" i="14" s="1"/>
  <c r="H30" i="14" a="1"/>
  <c r="H30" i="14" s="1"/>
  <c r="S20" i="14" a="1"/>
  <c r="S20" i="14" s="1"/>
  <c r="W28" i="14" a="1"/>
  <c r="W28" i="14" s="1"/>
  <c r="K20" i="14" a="1"/>
  <c r="K20" i="14" s="1"/>
  <c r="I26" i="14" a="1"/>
  <c r="I26" i="14" s="1"/>
  <c r="W16" i="14" a="1"/>
  <c r="W16" i="14" s="1"/>
  <c r="H20" i="14" a="1"/>
  <c r="H20" i="14" s="1"/>
  <c r="H13" i="14" a="1"/>
  <c r="H13" i="14" s="1"/>
  <c r="W3" i="14" a="1"/>
  <c r="W3" i="14" s="1"/>
  <c r="X3" i="14" s="1"/>
  <c r="Z3" i="14" s="1"/>
  <c r="H5" i="14" a="1"/>
  <c r="H5" i="14" s="1"/>
  <c r="H25" i="14" a="1"/>
  <c r="H25" i="14" s="1"/>
  <c r="E26" i="14" a="1"/>
  <c r="E26" i="14" s="1"/>
  <c r="E17" i="14" a="1"/>
  <c r="E17" i="14" s="1"/>
  <c r="H22" i="14" a="1"/>
  <c r="H22" i="14" s="1"/>
  <c r="S14" i="14" a="1"/>
  <c r="S14" i="14" s="1"/>
  <c r="K16" i="14" a="1"/>
  <c r="K16" i="14" s="1"/>
  <c r="I11" i="14" a="1"/>
  <c r="I11" i="14" s="1"/>
  <c r="O15" i="14" a="1"/>
  <c r="O15" i="14" s="1"/>
  <c r="K29" i="14" a="1"/>
  <c r="K29" i="14" s="1"/>
  <c r="W17" i="14" a="1"/>
  <c r="W17" i="14" s="1"/>
  <c r="S29" i="14" a="1"/>
  <c r="S29" i="14" s="1"/>
  <c r="E28" i="14" a="1"/>
  <c r="E28" i="14" s="1"/>
  <c r="E25" i="14" a="1"/>
  <c r="E25" i="14" s="1"/>
  <c r="H6" i="14" a="1"/>
  <c r="H6" i="14" s="1"/>
  <c r="H8" i="14" a="1"/>
  <c r="H8" i="14" s="1"/>
  <c r="H29" i="14" a="1"/>
  <c r="H29" i="14" s="1"/>
  <c r="E22" i="14" a="1"/>
  <c r="E22" i="14" s="1"/>
  <c r="E20" i="14" a="1"/>
  <c r="E20" i="14" s="1"/>
  <c r="H9" i="14" a="1"/>
  <c r="H9" i="14" s="1"/>
  <c r="O8" i="14" a="1"/>
  <c r="O8" i="14" s="1"/>
  <c r="R8" i="14" s="1"/>
  <c r="W23" i="14" a="1"/>
  <c r="W23" i="14" s="1"/>
  <c r="O27" i="14" a="1"/>
  <c r="O27" i="14" s="1"/>
  <c r="O24" i="14" a="1"/>
  <c r="O24" i="14" s="1"/>
  <c r="S13" i="14" a="1"/>
  <c r="S13" i="14" s="1"/>
  <c r="K8" i="14" a="1"/>
  <c r="K8" i="14" s="1"/>
  <c r="N8" i="14" s="1"/>
  <c r="H26" i="14" a="1"/>
  <c r="H26" i="14" s="1"/>
  <c r="H23" i="14" a="1"/>
  <c r="H23" i="14" s="1"/>
  <c r="H16" i="14" a="1"/>
  <c r="H16" i="14" s="1"/>
  <c r="E15" i="14" a="1"/>
  <c r="E15" i="14" s="1"/>
  <c r="E6" i="14" a="1"/>
  <c r="E6" i="14" s="1"/>
  <c r="K9" i="14" a="1"/>
  <c r="K9" i="14" s="1"/>
  <c r="AA9" i="14" s="1"/>
  <c r="AE9" i="14" s="1"/>
  <c r="W8" i="14" a="1"/>
  <c r="W8" i="14" s="1"/>
  <c r="X8" i="14" s="1"/>
  <c r="Z8" i="14" s="1"/>
  <c r="H17" i="14" a="1"/>
  <c r="H17" i="14" s="1"/>
  <c r="I18" i="14" a="1"/>
  <c r="I18" i="14" s="1"/>
  <c r="O4" i="14" a="1"/>
  <c r="O4" i="14" s="1"/>
  <c r="AB4" i="14" s="1"/>
  <c r="AF4" i="14" s="1"/>
  <c r="S10" i="14" a="1"/>
  <c r="S10" i="14" s="1"/>
  <c r="I27" i="14" a="1"/>
  <c r="I27" i="14" s="1"/>
  <c r="O3" i="14" a="1"/>
  <c r="O3" i="14" s="1"/>
  <c r="P3" i="14" s="1"/>
  <c r="Q3" i="14" s="1"/>
  <c r="H19" i="14" a="1"/>
  <c r="H19" i="14" s="1"/>
  <c r="W5" i="14" a="1"/>
  <c r="W5" i="14" s="1"/>
  <c r="X5" i="14" s="1"/>
  <c r="Z5" i="14" s="1"/>
  <c r="S4" i="14" a="1"/>
  <c r="S4" i="14" s="1"/>
  <c r="T4" i="14" s="1"/>
  <c r="U4" i="14" s="1"/>
  <c r="H27" i="14" a="1"/>
  <c r="H27" i="14" s="1"/>
  <c r="H11" i="14" a="1"/>
  <c r="H11" i="14" s="1"/>
  <c r="E5" i="14" a="1"/>
  <c r="E5" i="14" s="1"/>
  <c r="H14" i="14" a="1"/>
  <c r="H14" i="14" s="1"/>
  <c r="E8" i="14" a="1"/>
  <c r="E8" i="14" s="1"/>
  <c r="S15" i="14" a="1"/>
  <c r="S15" i="14" s="1"/>
  <c r="W25" i="14" a="1"/>
  <c r="W25" i="14" s="1"/>
  <c r="H4" i="14" a="1"/>
  <c r="H4" i="14" s="1"/>
  <c r="O30" i="14" a="1"/>
  <c r="O30" i="14" s="1"/>
  <c r="I29" i="14" a="1"/>
  <c r="I29" i="14" s="1"/>
  <c r="E24" i="14" a="1"/>
  <c r="E24" i="14" s="1"/>
  <c r="W4" i="14" a="1"/>
  <c r="W4" i="14" s="1"/>
  <c r="X4" i="14" s="1"/>
  <c r="Y4" i="14" s="1"/>
  <c r="H12" i="14" a="1"/>
  <c r="H12" i="14" s="1"/>
  <c r="H3" i="14" a="1"/>
  <c r="H3" i="14" s="1"/>
  <c r="E3" i="14" a="1"/>
  <c r="E3" i="14" s="1"/>
  <c r="H21" i="14" a="1"/>
  <c r="H21" i="14" s="1"/>
  <c r="K3" i="14" a="1"/>
  <c r="K3" i="14" s="1"/>
  <c r="N3" i="14" s="1"/>
  <c r="E27" i="14" a="1"/>
  <c r="E27" i="14" s="1"/>
  <c r="E30" i="14" a="1"/>
  <c r="E30" i="14" s="1"/>
  <c r="O18" i="14" a="1"/>
  <c r="O18" i="14" s="1"/>
  <c r="E11" i="14" a="1"/>
  <c r="E11" i="14" s="1"/>
  <c r="S27" i="14" a="1"/>
  <c r="S27" i="14" s="1"/>
  <c r="I19" i="14" a="1"/>
  <c r="I19" i="14" s="1"/>
  <c r="O12" i="14" a="1"/>
  <c r="O12" i="14" s="1"/>
  <c r="S26" i="14" a="1"/>
  <c r="S26" i="14" s="1"/>
  <c r="F17" i="14" a="1"/>
  <c r="F17" i="14" s="1"/>
  <c r="H18" i="14" a="1"/>
  <c r="H18" i="14" s="1"/>
  <c r="S6" i="14" a="1"/>
  <c r="S6" i="14" s="1"/>
  <c r="AC6" i="14" s="1"/>
  <c r="AG6" i="14" s="1"/>
  <c r="W6" i="14" a="1"/>
  <c r="W6" i="14" s="1"/>
  <c r="X6" i="14" s="1"/>
  <c r="Y6" i="14" s="1"/>
  <c r="E12" i="14" a="1"/>
  <c r="E12" i="14" s="1"/>
  <c r="S7" i="14" a="1"/>
  <c r="S7" i="14" s="1"/>
  <c r="AC7" i="14" s="1"/>
  <c r="AG7" i="14" s="1"/>
  <c r="K7" i="14" a="1"/>
  <c r="K7" i="14" s="1"/>
  <c r="AA7" i="14" s="1"/>
  <c r="AE7" i="14" s="1"/>
  <c r="E29" i="14" a="1"/>
  <c r="E29" i="14" s="1"/>
  <c r="W9" i="14" a="1"/>
  <c r="W9" i="14" s="1"/>
  <c r="X9" i="14" s="1"/>
  <c r="Z9" i="14" s="1"/>
  <c r="G8" i="16" a="1"/>
  <c r="G8" i="16" s="1"/>
  <c r="N8" i="16" a="1"/>
  <c r="N8" i="16" s="1"/>
  <c r="M8" i="16" a="1"/>
  <c r="M8" i="16" s="1"/>
  <c r="B8" i="16" a="1"/>
  <c r="B8" i="16" s="1"/>
  <c r="E8" i="16" a="1"/>
  <c r="E8" i="16" s="1"/>
  <c r="P8" i="16" a="1"/>
  <c r="P8" i="16" s="1"/>
  <c r="O8" i="16" a="1"/>
  <c r="O8" i="16" s="1"/>
  <c r="D4" i="14"/>
  <c r="D3" i="14"/>
  <c r="AB7" i="14"/>
  <c r="AF7" i="14" s="1"/>
  <c r="D7" i="14"/>
  <c r="D6" i="14"/>
  <c r="D5" i="14"/>
  <c r="D8" i="14"/>
  <c r="K8" i="16" a="1"/>
  <c r="K8" i="16" s="1"/>
  <c r="D8" i="16" a="1"/>
  <c r="D8" i="16" s="1"/>
  <c r="AH26" i="14"/>
  <c r="AG26" i="14"/>
  <c r="AE26" i="14"/>
  <c r="AC26" i="14"/>
  <c r="AF26" i="14"/>
  <c r="AA26" i="14"/>
  <c r="AB26" i="14"/>
  <c r="D26" i="14"/>
  <c r="AD26" i="14"/>
  <c r="D27" i="14"/>
  <c r="AB27" i="14"/>
  <c r="AG27" i="14"/>
  <c r="AA27" i="14"/>
  <c r="AH27" i="14"/>
  <c r="AD27" i="14"/>
  <c r="AF27" i="14"/>
  <c r="AE27" i="14"/>
  <c r="AC27" i="14"/>
  <c r="AE11" i="14"/>
  <c r="AA11" i="14"/>
  <c r="AC11" i="14"/>
  <c r="AD11" i="14"/>
  <c r="D11" i="14"/>
  <c r="AB11" i="14"/>
  <c r="AH11" i="14"/>
  <c r="AG11" i="14"/>
  <c r="AF11" i="14"/>
  <c r="D18" i="14"/>
  <c r="AH18" i="14"/>
  <c r="AF18" i="14"/>
  <c r="AA18" i="14"/>
  <c r="AB18" i="14"/>
  <c r="AG18" i="14"/>
  <c r="AD18" i="14"/>
  <c r="AC18" i="14"/>
  <c r="AE18" i="14"/>
  <c r="AC30" i="14"/>
  <c r="AD30" i="14"/>
  <c r="AE30" i="14"/>
  <c r="AH30" i="14"/>
  <c r="AB30" i="14"/>
  <c r="AA30" i="14"/>
  <c r="D30" i="14"/>
  <c r="AF30" i="14"/>
  <c r="AG30" i="14"/>
  <c r="AE14" i="14"/>
  <c r="AH14" i="14"/>
  <c r="AD14" i="14"/>
  <c r="AC14" i="14"/>
  <c r="D14" i="14"/>
  <c r="AB14" i="14"/>
  <c r="AF14" i="14"/>
  <c r="AG14" i="14"/>
  <c r="AA14" i="14"/>
  <c r="AD17" i="14"/>
  <c r="AC17" i="14"/>
  <c r="AF17" i="14"/>
  <c r="AA17" i="14"/>
  <c r="AH17" i="14"/>
  <c r="AB17" i="14"/>
  <c r="AG17" i="14"/>
  <c r="D17" i="14"/>
  <c r="AE17" i="14"/>
  <c r="AF25" i="14"/>
  <c r="AH25" i="14"/>
  <c r="AA25" i="14"/>
  <c r="AD25" i="14"/>
  <c r="AG25" i="14"/>
  <c r="AC25" i="14"/>
  <c r="AB25" i="14"/>
  <c r="AE25" i="14"/>
  <c r="D25" i="14"/>
  <c r="AE23" i="14"/>
  <c r="AC23" i="14"/>
  <c r="AB23" i="14"/>
  <c r="AH23" i="14"/>
  <c r="AA23" i="14"/>
  <c r="D23" i="14"/>
  <c r="AD23" i="14"/>
  <c r="AF23" i="14"/>
  <c r="AG23" i="14"/>
  <c r="AF21" i="14"/>
  <c r="AC21" i="14"/>
  <c r="AE21" i="14"/>
  <c r="AG21" i="14"/>
  <c r="AH21" i="14"/>
  <c r="D21" i="14"/>
  <c r="AB21" i="14"/>
  <c r="AD21" i="14"/>
  <c r="AA21" i="14"/>
  <c r="L8" i="16" a="1"/>
  <c r="L8" i="16" s="1"/>
  <c r="AG16" i="14"/>
  <c r="AF16" i="14"/>
  <c r="AD16" i="14"/>
  <c r="AH16" i="14"/>
  <c r="AA16" i="14"/>
  <c r="AB16" i="14"/>
  <c r="D16" i="14"/>
  <c r="AE16" i="14"/>
  <c r="AC16" i="14"/>
  <c r="AC15" i="14"/>
  <c r="AF15" i="14"/>
  <c r="D15" i="14"/>
  <c r="AD15" i="14"/>
  <c r="AG15" i="14"/>
  <c r="AA15" i="14"/>
  <c r="AE15" i="14"/>
  <c r="AB15" i="14"/>
  <c r="AH15" i="14"/>
  <c r="AA22" i="14"/>
  <c r="AB22" i="14"/>
  <c r="AH22" i="14"/>
  <c r="D22" i="14"/>
  <c r="AE22" i="14"/>
  <c r="AF22" i="14"/>
  <c r="AC22" i="14"/>
  <c r="AG22" i="14"/>
  <c r="AD22" i="14"/>
  <c r="AE29" i="14"/>
  <c r="AA29" i="14"/>
  <c r="AC29" i="14"/>
  <c r="AH29" i="14"/>
  <c r="AB29" i="14"/>
  <c r="AF29" i="14"/>
  <c r="D29" i="14"/>
  <c r="AD29" i="14"/>
  <c r="AG29" i="14"/>
  <c r="Q38" i="27"/>
  <c r="G7" i="27"/>
  <c r="D9" i="14"/>
  <c r="I25" i="7"/>
  <c r="F8" i="16" a="1"/>
  <c r="F8" i="16" s="1"/>
  <c r="D10" i="14"/>
  <c r="C8" i="16" a="1"/>
  <c r="C8" i="16" s="1"/>
  <c r="AE31" i="14"/>
  <c r="D31" i="14"/>
  <c r="AF31" i="14"/>
  <c r="AA31" i="14"/>
  <c r="AG31" i="14"/>
  <c r="AC31" i="14"/>
  <c r="AH31" i="14"/>
  <c r="AB31" i="14"/>
  <c r="AD31" i="14"/>
  <c r="E1" i="12" a="1"/>
  <c r="E1" i="12" s="1"/>
  <c r="H1" i="12" a="1"/>
  <c r="H1" i="12" s="1"/>
  <c r="G1" i="12" a="1"/>
  <c r="G1" i="12" s="1"/>
  <c r="I8" i="16" a="1"/>
  <c r="I8" i="16" s="1"/>
  <c r="AB20" i="14"/>
  <c r="AG20" i="14"/>
  <c r="AH20" i="14"/>
  <c r="AD20" i="14"/>
  <c r="AC20" i="14"/>
  <c r="AA20" i="14"/>
  <c r="AE20" i="14"/>
  <c r="D20" i="14"/>
  <c r="AF20" i="14"/>
  <c r="J8" i="16" a="1"/>
  <c r="J8" i="16" s="1"/>
  <c r="AE28" i="14"/>
  <c r="AG28" i="14"/>
  <c r="AF28" i="14"/>
  <c r="AC28" i="14"/>
  <c r="AH28" i="14"/>
  <c r="AA28" i="14"/>
  <c r="AB28" i="14"/>
  <c r="D28" i="14"/>
  <c r="AD28" i="14"/>
  <c r="D12" i="14"/>
  <c r="AD12" i="14"/>
  <c r="AG12" i="14"/>
  <c r="AE12" i="14"/>
  <c r="AF12" i="14"/>
  <c r="AH12" i="14"/>
  <c r="AC12" i="14"/>
  <c r="AB12" i="14"/>
  <c r="AA12" i="14"/>
  <c r="AB13" i="14"/>
  <c r="AA13" i="14"/>
  <c r="AC13" i="14"/>
  <c r="AF13" i="14"/>
  <c r="AD13" i="14"/>
  <c r="AE13" i="14"/>
  <c r="D13" i="14"/>
  <c r="AH13" i="14"/>
  <c r="AG13" i="14"/>
  <c r="D19" i="14"/>
  <c r="AF19" i="14"/>
  <c r="AG19" i="14"/>
  <c r="AA19" i="14"/>
  <c r="AD19" i="14"/>
  <c r="AH19" i="14"/>
  <c r="AC19" i="14"/>
  <c r="AB19" i="14"/>
  <c r="AE19" i="14"/>
  <c r="D24" i="14"/>
  <c r="AF24" i="14"/>
  <c r="AG24" i="14"/>
  <c r="AE24" i="14"/>
  <c r="AH24" i="14"/>
  <c r="AC24" i="14"/>
  <c r="AB24" i="14"/>
  <c r="AA24" i="14"/>
  <c r="AD24" i="14"/>
  <c r="J22" i="14" l="1" a="1"/>
  <c r="J22" i="14" s="1"/>
  <c r="J12" i="14" a="1"/>
  <c r="J12" i="14" s="1"/>
  <c r="J30" i="14" a="1"/>
  <c r="J30" i="14" s="1"/>
  <c r="G28" i="14" a="1"/>
  <c r="G28" i="14" s="1"/>
  <c r="G29" i="14" a="1"/>
  <c r="G29" i="14" s="1"/>
  <c r="V5" i="14"/>
  <c r="T5" i="14"/>
  <c r="U5" i="14" s="1"/>
  <c r="G18" i="14" a="1"/>
  <c r="G18" i="14" s="1"/>
  <c r="G26" i="14" a="1"/>
  <c r="G26" i="14" s="1"/>
  <c r="J5" i="14" a="1"/>
  <c r="J5" i="14" s="1"/>
  <c r="O7" i="20"/>
  <c r="V3" i="14"/>
  <c r="J7" i="14" a="1"/>
  <c r="J7" i="14" s="1"/>
  <c r="G27" i="14" a="1"/>
  <c r="G27" i="14" s="1"/>
  <c r="P12" i="20"/>
  <c r="F33" i="14" a="1"/>
  <c r="F33" i="14" s="1"/>
  <c r="G10" i="14" a="1"/>
  <c r="G10" i="14" s="1"/>
  <c r="G24" i="14" a="1"/>
  <c r="G24" i="14" s="1"/>
  <c r="N7" i="27"/>
  <c r="C19" i="38" s="1"/>
  <c r="J11" i="7" s="1" a="1"/>
  <c r="J11" i="7" s="1"/>
  <c r="P13" i="20"/>
  <c r="G5" i="14" a="1"/>
  <c r="G5" i="14" s="1"/>
  <c r="T33" i="14" a="1"/>
  <c r="T33" i="14" s="1"/>
  <c r="J15" i="14" a="1"/>
  <c r="J15" i="14" s="1"/>
  <c r="E33" i="14" a="1"/>
  <c r="E33" i="14" s="1"/>
  <c r="J21" i="14" a="1"/>
  <c r="J21" i="14" s="1"/>
  <c r="M33" i="14" a="1"/>
  <c r="M33" i="14" s="1"/>
  <c r="G11" i="14" a="1"/>
  <c r="G11" i="14" s="1"/>
  <c r="O9" i="20"/>
  <c r="AB10" i="14"/>
  <c r="AF10" i="14" s="1"/>
  <c r="Q6" i="20"/>
  <c r="P33" i="14" a="1"/>
  <c r="P33" i="14" s="1"/>
  <c r="F6" i="28"/>
  <c r="O33" i="14" a="1"/>
  <c r="O33" i="14" s="1"/>
  <c r="Q33" i="14" a="1"/>
  <c r="Q33" i="14" s="1"/>
  <c r="J6" i="14" a="1"/>
  <c r="J6" i="14" s="1"/>
  <c r="N5" i="14"/>
  <c r="R6" i="14"/>
  <c r="G33" i="14" a="1"/>
  <c r="G33" i="14" s="1"/>
  <c r="R33" i="14" a="1"/>
  <c r="R33" i="14" s="1"/>
  <c r="G21" i="14" a="1"/>
  <c r="G21" i="14" s="1"/>
  <c r="L6" i="14"/>
  <c r="M6" i="14" s="1"/>
  <c r="AD10" i="14"/>
  <c r="AH10" i="14" s="1"/>
  <c r="N6" i="14"/>
  <c r="AB6" i="14"/>
  <c r="AF6" i="14" s="1"/>
  <c r="J16" i="14" a="1"/>
  <c r="J16" i="14" s="1"/>
  <c r="P7" i="14"/>
  <c r="Q7" i="14" s="1"/>
  <c r="J9" i="14" a="1"/>
  <c r="J9" i="14" s="1"/>
  <c r="G20" i="14" a="1"/>
  <c r="G20" i="14" s="1"/>
  <c r="J25" i="14" a="1"/>
  <c r="J25" i="14" s="1"/>
  <c r="J31" i="14" a="1"/>
  <c r="J31" i="14" s="1"/>
  <c r="P9" i="14"/>
  <c r="Q9" i="14" s="1"/>
  <c r="G9" i="14" a="1"/>
  <c r="G9" i="14" s="1"/>
  <c r="T3" i="14"/>
  <c r="U3" i="14" s="1"/>
  <c r="R9" i="14"/>
  <c r="J28" i="14" a="1"/>
  <c r="J28" i="14" s="1"/>
  <c r="G23" i="14" a="1"/>
  <c r="G23" i="14" s="1"/>
  <c r="G12" i="14" a="1"/>
  <c r="G12" i="14" s="1"/>
  <c r="J23" i="14" a="1"/>
  <c r="J23" i="14" s="1"/>
  <c r="G8" i="14" a="1"/>
  <c r="G8" i="14" s="1"/>
  <c r="J24" i="14" a="1"/>
  <c r="J24" i="14" s="1"/>
  <c r="I33" i="14" a="1"/>
  <c r="I33" i="14" s="1"/>
  <c r="J33" i="14" a="1"/>
  <c r="J33" i="14" s="1"/>
  <c r="L33" i="14" a="1"/>
  <c r="L33" i="14" s="1"/>
  <c r="Y3" i="14"/>
  <c r="J17" i="14" a="1"/>
  <c r="J17" i="14" s="1"/>
  <c r="V9" i="14"/>
  <c r="T9" i="14"/>
  <c r="U9" i="14" s="1"/>
  <c r="G14" i="14" a="1"/>
  <c r="G14" i="14" s="1"/>
  <c r="G19" i="14" a="1"/>
  <c r="G19" i="14" s="1"/>
  <c r="Y7" i="14"/>
  <c r="AD3" i="14"/>
  <c r="AH3" i="14" s="1"/>
  <c r="J8" i="14" a="1"/>
  <c r="J8" i="14" s="1"/>
  <c r="J10" i="14" a="1"/>
  <c r="J10" i="14" s="1"/>
  <c r="G6" i="14" a="1"/>
  <c r="G6" i="14" s="1"/>
  <c r="G7" i="14" a="1"/>
  <c r="G7" i="14" s="1"/>
  <c r="G3" i="14" a="1"/>
  <c r="G3" i="14" s="1"/>
  <c r="J13" i="14" a="1"/>
  <c r="J13" i="14" s="1"/>
  <c r="N33" i="14" a="1"/>
  <c r="N33" i="14" s="1"/>
  <c r="H33" i="14" a="1"/>
  <c r="H33" i="14" s="1"/>
  <c r="G30" i="14" a="1"/>
  <c r="G30" i="14" s="1"/>
  <c r="K33" i="14" a="1"/>
  <c r="K33" i="14" s="1"/>
  <c r="N34" i="34" s="1"/>
  <c r="AA10" i="14"/>
  <c r="AE10" i="14" s="1"/>
  <c r="AD7" i="14"/>
  <c r="AH7" i="14" s="1"/>
  <c r="J11" i="14" a="1"/>
  <c r="J11" i="14" s="1"/>
  <c r="L9" i="14"/>
  <c r="M9" i="14" s="1"/>
  <c r="S33" i="14" a="1"/>
  <c r="S33" i="14" s="1"/>
  <c r="L5" i="14"/>
  <c r="M5" i="14" s="1"/>
  <c r="G15" i="14" a="1"/>
  <c r="G15" i="14" s="1"/>
  <c r="AC10" i="14"/>
  <c r="AG10" i="14" s="1"/>
  <c r="Y8" i="14"/>
  <c r="V33" i="14" a="1"/>
  <c r="V33" i="14" s="1"/>
  <c r="U33" i="14" a="1"/>
  <c r="U33" i="14" s="1"/>
  <c r="N9" i="14"/>
  <c r="G25" i="14" a="1"/>
  <c r="G25" i="14" s="1"/>
  <c r="Y10" i="14"/>
  <c r="Z10" i="14"/>
  <c r="L10" i="14"/>
  <c r="M10" i="14" s="1"/>
  <c r="N10" i="14"/>
  <c r="T10" i="14"/>
  <c r="U10" i="14" s="1"/>
  <c r="V10" i="14"/>
  <c r="R10" i="14"/>
  <c r="P10" i="14"/>
  <c r="Q10" i="14" s="1"/>
  <c r="G22" i="14" a="1"/>
  <c r="G22" i="14" s="1"/>
  <c r="AB5" i="14"/>
  <c r="AF5" i="14" s="1"/>
  <c r="G4" i="14" a="1"/>
  <c r="G4" i="14" s="1"/>
  <c r="G16" i="14" a="1"/>
  <c r="G16" i="14" s="1"/>
  <c r="J19" i="14" a="1"/>
  <c r="J19" i="14" s="1"/>
  <c r="R5" i="14"/>
  <c r="J20" i="14" a="1"/>
  <c r="J20" i="14" s="1"/>
  <c r="G17" i="14" a="1"/>
  <c r="G17" i="14" s="1"/>
  <c r="J3" i="14" a="1"/>
  <c r="J3" i="14" s="1"/>
  <c r="R4" i="14"/>
  <c r="P4" i="14"/>
  <c r="Q4" i="14" s="1"/>
  <c r="V4" i="14"/>
  <c r="AC4" i="14"/>
  <c r="AG4" i="14" s="1"/>
  <c r="AA8" i="14"/>
  <c r="AE8" i="14" s="1"/>
  <c r="J26" i="14" a="1"/>
  <c r="J26" i="14" s="1"/>
  <c r="G13" i="14" a="1"/>
  <c r="G13" i="14" s="1"/>
  <c r="J4" i="14" a="1"/>
  <c r="J4" i="14" s="1"/>
  <c r="Y9" i="14"/>
  <c r="V8" i="14"/>
  <c r="T8" i="14"/>
  <c r="U8" i="14" s="1"/>
  <c r="S16" i="20"/>
  <c r="S21" i="20" s="1"/>
  <c r="Q7" i="27"/>
  <c r="I14" i="27" s="1"/>
  <c r="J14" i="14" a="1"/>
  <c r="J14" i="14" s="1"/>
  <c r="J18" i="14" a="1"/>
  <c r="J18" i="14" s="1"/>
  <c r="P8" i="14"/>
  <c r="Q8" i="14" s="1"/>
  <c r="AB8" i="14"/>
  <c r="AF8" i="14" s="1"/>
  <c r="N4" i="14"/>
  <c r="L4" i="14"/>
  <c r="M4" i="14" s="1"/>
  <c r="J29" i="14" a="1"/>
  <c r="J29" i="14" s="1"/>
  <c r="Y5" i="14"/>
  <c r="AD9" i="14"/>
  <c r="AH9" i="14" s="1"/>
  <c r="L3" i="14"/>
  <c r="M3" i="14" s="1"/>
  <c r="L8" i="14"/>
  <c r="M8" i="14" s="1"/>
  <c r="T7" i="14"/>
  <c r="U7" i="14" s="1"/>
  <c r="Z6" i="14"/>
  <c r="V7" i="14"/>
  <c r="AA3" i="14"/>
  <c r="AE3" i="14" s="1"/>
  <c r="L7" i="14"/>
  <c r="M7" i="14" s="1"/>
  <c r="Z4" i="14"/>
  <c r="J27" i="14" a="1"/>
  <c r="J27" i="14" s="1"/>
  <c r="AB3" i="14"/>
  <c r="AF3" i="14" s="1"/>
  <c r="R3" i="14"/>
  <c r="AD6" i="14"/>
  <c r="AH6" i="14" s="1"/>
  <c r="N7" i="14"/>
  <c r="T6" i="14"/>
  <c r="U6" i="14" s="1"/>
  <c r="V6" i="14"/>
  <c r="AD4" i="14"/>
  <c r="AH4" i="14" s="1"/>
  <c r="AD5" i="14"/>
  <c r="AH5" i="14" s="1"/>
  <c r="AD8" i="14"/>
  <c r="AH8" i="14" s="1"/>
  <c r="G9" i="27"/>
  <c r="V30" i="20"/>
  <c r="V35" i="20"/>
  <c r="V27" i="20"/>
  <c r="V32" i="20"/>
  <c r="V26" i="20"/>
  <c r="I34" i="34"/>
  <c r="I35" i="34" s="1"/>
  <c r="V20" i="20"/>
  <c r="V37" i="20"/>
  <c r="V29" i="20"/>
  <c r="V33" i="20"/>
  <c r="V25" i="20"/>
  <c r="V19" i="20"/>
  <c r="V18" i="20"/>
  <c r="V31" i="20"/>
  <c r="V34" i="20"/>
  <c r="V36" i="20"/>
  <c r="V28" i="20"/>
  <c r="V24" i="20"/>
  <c r="S12" i="7"/>
  <c r="W25" i="1"/>
  <c r="Z33" i="14" l="1" a="1"/>
  <c r="Z33" i="14" s="1"/>
  <c r="P7" i="20"/>
  <c r="F7" i="28"/>
  <c r="F8" i="28" s="1"/>
  <c r="U6" i="20"/>
  <c r="O14" i="20"/>
  <c r="N8" i="27" s="1"/>
  <c r="G14" i="27"/>
  <c r="D5" i="29"/>
  <c r="G6" i="28"/>
  <c r="H6" i="28" s="1"/>
  <c r="V6" i="20"/>
  <c r="Q7" i="20"/>
  <c r="F9" i="28"/>
  <c r="F14" i="28" s="1"/>
  <c r="Q9" i="27"/>
  <c r="X33" i="14" a="1"/>
  <c r="X33" i="14" s="1"/>
  <c r="W33" i="14" a="1"/>
  <c r="W33" i="14" s="1"/>
  <c r="Y33" i="14" a="1"/>
  <c r="Y33" i="14" s="1"/>
  <c r="M9" i="15" a="1"/>
  <c r="M9" i="15" s="1"/>
  <c r="D9" i="15" a="1"/>
  <c r="D9" i="15" s="1"/>
  <c r="C9" i="15" a="1"/>
  <c r="C9" i="15" s="1"/>
  <c r="L9" i="15" a="1"/>
  <c r="L9" i="15" s="1"/>
  <c r="E9" i="15" a="1"/>
  <c r="E9" i="15" s="1"/>
  <c r="J9" i="15" a="1"/>
  <c r="J9" i="15" s="1"/>
  <c r="K9" i="15" a="1"/>
  <c r="K9" i="15" s="1"/>
  <c r="H9" i="15" a="1"/>
  <c r="H9" i="15" s="1"/>
  <c r="G9" i="15" a="1"/>
  <c r="G9" i="15" s="1"/>
  <c r="S40" i="20"/>
  <c r="S41" i="20"/>
  <c r="Q11" i="27"/>
  <c r="Q13" i="27" s="1"/>
  <c r="G8" i="27"/>
  <c r="Q39" i="27"/>
  <c r="O16" i="20" l="1"/>
  <c r="N9" i="27" s="1"/>
  <c r="P14" i="20"/>
  <c r="O15" i="20" s="1"/>
  <c r="Q8" i="20"/>
  <c r="Q12" i="20" s="1"/>
  <c r="V7" i="20"/>
  <c r="U7" i="20"/>
  <c r="G7" i="28"/>
  <c r="G8" i="28" s="1"/>
  <c r="F15" i="28"/>
  <c r="F20" i="28" s="1"/>
  <c r="I9" i="15" a="1"/>
  <c r="I9" i="15" s="1"/>
  <c r="F9" i="15" a="1"/>
  <c r="F9" i="15" s="1"/>
  <c r="I13" i="27"/>
  <c r="Q14" i="27"/>
  <c r="C23" i="38"/>
  <c r="M8" i="27"/>
  <c r="R12" i="7"/>
  <c r="V25" i="1"/>
  <c r="H7" i="28"/>
  <c r="H8" i="28" s="1"/>
  <c r="I6" i="28"/>
  <c r="V12" i="20" l="1"/>
  <c r="Q9" i="20"/>
  <c r="V9" i="20" s="1"/>
  <c r="V8" i="20"/>
  <c r="Q13" i="20"/>
  <c r="O21" i="20"/>
  <c r="N11" i="27" s="1"/>
  <c r="U8" i="20"/>
  <c r="P7" i="27"/>
  <c r="C20" i="38" s="1"/>
  <c r="G12" i="28"/>
  <c r="U12" i="20"/>
  <c r="Q11" i="20"/>
  <c r="H9" i="28"/>
  <c r="H12" i="28"/>
  <c r="H13" i="28"/>
  <c r="H11" i="28"/>
  <c r="J6" i="28"/>
  <c r="I7" i="28"/>
  <c r="I8" i="28" s="1"/>
  <c r="G9" i="28" l="1"/>
  <c r="U9" i="20"/>
  <c r="V13" i="20"/>
  <c r="O38" i="20"/>
  <c r="G13" i="28"/>
  <c r="H14" i="27"/>
  <c r="X25" i="1" s="1"/>
  <c r="U13" i="20"/>
  <c r="Q14" i="20"/>
  <c r="Q16" i="20" s="1"/>
  <c r="P9" i="27" s="1"/>
  <c r="G11" i="28"/>
  <c r="V11" i="20"/>
  <c r="U11" i="20"/>
  <c r="I9" i="28"/>
  <c r="I11" i="28"/>
  <c r="I12" i="28"/>
  <c r="I13" i="28"/>
  <c r="J7" i="28"/>
  <c r="J8" i="28" s="1"/>
  <c r="K6" i="28"/>
  <c r="H14" i="28"/>
  <c r="H15" i="28" s="1"/>
  <c r="H20" i="28" s="1"/>
  <c r="G14" i="28" l="1"/>
  <c r="G15" i="28" s="1"/>
  <c r="G20" i="28" s="1"/>
  <c r="O39" i="20"/>
  <c r="O40" i="20" s="1"/>
  <c r="N36" i="27"/>
  <c r="N37" i="27" s="1"/>
  <c r="N39" i="27" s="1"/>
  <c r="F26" i="28"/>
  <c r="F27" i="28" s="1"/>
  <c r="F29" i="28" s="1"/>
  <c r="R14" i="20"/>
  <c r="Q15" i="20" s="1"/>
  <c r="V16" i="20"/>
  <c r="V14" i="20"/>
  <c r="P8" i="27"/>
  <c r="O8" i="27" s="1"/>
  <c r="U14" i="20"/>
  <c r="Q21" i="20"/>
  <c r="U21" i="20" s="1"/>
  <c r="U16" i="20"/>
  <c r="I14" i="28"/>
  <c r="I15" i="28" s="1"/>
  <c r="I20" i="28" s="1"/>
  <c r="I26" i="28" s="1"/>
  <c r="I27" i="28" s="1"/>
  <c r="I29" i="28" s="1"/>
  <c r="J12" i="28"/>
  <c r="J11" i="28"/>
  <c r="J13" i="28"/>
  <c r="J9" i="28"/>
  <c r="K7" i="28"/>
  <c r="K8" i="28" s="1"/>
  <c r="L6" i="28"/>
  <c r="H26" i="28"/>
  <c r="H27" i="28" s="1"/>
  <c r="H29" i="28" s="1"/>
  <c r="N12" i="27" l="1"/>
  <c r="M12" i="27" s="1"/>
  <c r="O41" i="20"/>
  <c r="F24" i="35" s="1"/>
  <c r="N38" i="27"/>
  <c r="C24" i="38"/>
  <c r="P11" i="27"/>
  <c r="Q38" i="20"/>
  <c r="V21" i="20"/>
  <c r="J14" i="28"/>
  <c r="J15" i="28" s="1"/>
  <c r="J20" i="28" s="1"/>
  <c r="J26" i="28" s="1"/>
  <c r="J27" i="28" s="1"/>
  <c r="J29" i="28" s="1"/>
  <c r="U66" i="28"/>
  <c r="H33" i="28"/>
  <c r="H47" i="28"/>
  <c r="I47" i="28"/>
  <c r="U67" i="28"/>
  <c r="I33" i="28"/>
  <c r="K9" i="28"/>
  <c r="K13" i="28"/>
  <c r="K12" i="28"/>
  <c r="K11" i="28"/>
  <c r="L7" i="28"/>
  <c r="L8" i="28" s="1"/>
  <c r="M6" i="28"/>
  <c r="N13" i="27" l="1"/>
  <c r="G16" i="34" s="1"/>
  <c r="C9" i="38"/>
  <c r="I18" i="7" s="1"/>
  <c r="Q39" i="20"/>
  <c r="Q41" i="20" s="1"/>
  <c r="V38" i="20"/>
  <c r="U38" i="20"/>
  <c r="P36" i="27"/>
  <c r="P37" i="27" s="1"/>
  <c r="P39" i="27" s="1"/>
  <c r="G26" i="28"/>
  <c r="G27" i="28" s="1"/>
  <c r="G29" i="28" s="1"/>
  <c r="G47" i="28" s="1"/>
  <c r="W32" i="11"/>
  <c r="J47" i="28"/>
  <c r="U68" i="28"/>
  <c r="J33" i="28"/>
  <c r="T53" i="28"/>
  <c r="S66" i="28"/>
  <c r="J60" i="28"/>
  <c r="J59" i="28"/>
  <c r="J58" i="28"/>
  <c r="J62" i="28"/>
  <c r="J56" i="28"/>
  <c r="J63" i="28"/>
  <c r="J57" i="28"/>
  <c r="J61" i="28"/>
  <c r="M7" i="28"/>
  <c r="M8" i="28" s="1"/>
  <c r="N6" i="28"/>
  <c r="L9" i="28"/>
  <c r="L12" i="28"/>
  <c r="L11" i="28"/>
  <c r="L13" i="28"/>
  <c r="T54" i="28"/>
  <c r="S67" i="28"/>
  <c r="I26" i="35"/>
  <c r="K14" i="28"/>
  <c r="K15" i="28" s="1"/>
  <c r="K20" i="28" s="1"/>
  <c r="F17" i="35"/>
  <c r="F26" i="35"/>
  <c r="I62" i="28"/>
  <c r="I55" i="28"/>
  <c r="I60" i="28"/>
  <c r="I57" i="28"/>
  <c r="I56" i="28"/>
  <c r="I59" i="28"/>
  <c r="I63" i="28"/>
  <c r="I61" i="28"/>
  <c r="I58" i="28"/>
  <c r="G6" i="34" l="1"/>
  <c r="G13" i="27"/>
  <c r="C2" i="38" s="1"/>
  <c r="J8" i="7" s="1" a="1"/>
  <c r="J8" i="7" s="1"/>
  <c r="G10" i="34"/>
  <c r="G15" i="34"/>
  <c r="G13" i="34"/>
  <c r="G8" i="34"/>
  <c r="C7" i="38"/>
  <c r="I17" i="7" s="1"/>
  <c r="G9" i="34"/>
  <c r="G12" i="34"/>
  <c r="G14" i="34"/>
  <c r="N14" i="27"/>
  <c r="G7" i="34"/>
  <c r="G11" i="34"/>
  <c r="U39" i="20"/>
  <c r="V39" i="20"/>
  <c r="Q40" i="20"/>
  <c r="P12" i="27"/>
  <c r="C10" i="38" s="1"/>
  <c r="P38" i="27"/>
  <c r="G33" i="28"/>
  <c r="H59" i="28" s="1"/>
  <c r="W34" i="11"/>
  <c r="J37" i="28" s="1"/>
  <c r="J35" i="28"/>
  <c r="L14" i="28"/>
  <c r="L15" i="28" s="1"/>
  <c r="L20" i="28" s="1"/>
  <c r="L26" i="28" s="1"/>
  <c r="L27" i="28" s="1"/>
  <c r="L29" i="28" s="1"/>
  <c r="K26" i="28"/>
  <c r="K27" i="28" s="1"/>
  <c r="K29" i="28" s="1"/>
  <c r="S54" i="28"/>
  <c r="Q54" i="28" s="1"/>
  <c r="I54" i="28" s="1"/>
  <c r="U41" i="20"/>
  <c r="V41" i="20"/>
  <c r="S53" i="28"/>
  <c r="I27" i="35"/>
  <c r="M32" i="7" s="1" a="1"/>
  <c r="M32" i="7" s="1"/>
  <c r="M29" i="7" a="1"/>
  <c r="M29" i="7" s="1"/>
  <c r="K63" i="28"/>
  <c r="K61" i="28"/>
  <c r="K60" i="28"/>
  <c r="K62" i="28"/>
  <c r="K58" i="28"/>
  <c r="K59" i="28"/>
  <c r="K57" i="28"/>
  <c r="O6" i="28"/>
  <c r="N7" i="28"/>
  <c r="N8" i="28" s="1"/>
  <c r="M9" i="28"/>
  <c r="M13" i="28"/>
  <c r="M11" i="28"/>
  <c r="M12" i="28"/>
  <c r="O29" i="7" a="1"/>
  <c r="O29" i="7" s="1"/>
  <c r="F27" i="35"/>
  <c r="O32" i="7" s="1" a="1"/>
  <c r="O32" i="7" s="1"/>
  <c r="T55" i="28"/>
  <c r="S68" i="28"/>
  <c r="I8" i="7" l="1"/>
  <c r="P13" i="27"/>
  <c r="H13" i="27" s="1"/>
  <c r="C3" i="38" s="1"/>
  <c r="O12" i="27"/>
  <c r="Q53" i="28"/>
  <c r="H53" i="28" s="1"/>
  <c r="F53" i="28" s="1"/>
  <c r="P14" i="27"/>
  <c r="H58" i="28"/>
  <c r="H55" i="28"/>
  <c r="H57" i="28"/>
  <c r="H60" i="28"/>
  <c r="H61" i="28"/>
  <c r="H56" i="28"/>
  <c r="H54" i="28"/>
  <c r="F54" i="28" s="1"/>
  <c r="H62" i="28"/>
  <c r="I6" i="37" a="1"/>
  <c r="I6" i="37" s="1"/>
  <c r="L47" i="28"/>
  <c r="U70" i="28"/>
  <c r="L33" i="28"/>
  <c r="N9" i="28"/>
  <c r="N13" i="28"/>
  <c r="N11" i="28"/>
  <c r="N12" i="28"/>
  <c r="S55" i="28"/>
  <c r="Q55" i="28" s="1"/>
  <c r="J55" i="28" s="1"/>
  <c r="C6" i="37" a="1"/>
  <c r="C6" i="37" s="1"/>
  <c r="M14" i="28"/>
  <c r="M15" i="28" s="1"/>
  <c r="M20" i="28" s="1"/>
  <c r="O7" i="28"/>
  <c r="O8" i="28" s="1"/>
  <c r="P6" i="28"/>
  <c r="K47" i="28"/>
  <c r="K33" i="28"/>
  <c r="U69" i="28"/>
  <c r="F55" i="28" l="1"/>
  <c r="C8" i="38"/>
  <c r="R25" i="1"/>
  <c r="N12" i="7"/>
  <c r="O9" i="28"/>
  <c r="O12" i="28"/>
  <c r="O11" i="28"/>
  <c r="O13" i="28"/>
  <c r="N14" i="28"/>
  <c r="N15" i="28" s="1"/>
  <c r="N20" i="28" s="1"/>
  <c r="M61" i="28"/>
  <c r="M62" i="28"/>
  <c r="M60" i="28"/>
  <c r="M59" i="28"/>
  <c r="M63" i="28"/>
  <c r="P7" i="28"/>
  <c r="P8" i="28" s="1"/>
  <c r="S69" i="28"/>
  <c r="T56" i="28"/>
  <c r="S70" i="28"/>
  <c r="T57" i="28"/>
  <c r="L62" i="28"/>
  <c r="L59" i="28"/>
  <c r="L60" i="28"/>
  <c r="L58" i="28"/>
  <c r="L61" i="28"/>
  <c r="L63" i="28"/>
  <c r="M26" i="28"/>
  <c r="M27" i="28" s="1"/>
  <c r="M29" i="28" s="1"/>
  <c r="T71" i="28" l="1"/>
  <c r="O14" i="28"/>
  <c r="O15" i="28" s="1"/>
  <c r="O20" i="28" s="1"/>
  <c r="O26" i="28" s="1"/>
  <c r="O27" i="28" s="1"/>
  <c r="O29" i="28" s="1"/>
  <c r="P9" i="28"/>
  <c r="P11" i="28"/>
  <c r="P13" i="28"/>
  <c r="P12" i="28"/>
  <c r="N26" i="28"/>
  <c r="N27" i="28" s="1"/>
  <c r="N29" i="28" s="1"/>
  <c r="S57" i="28"/>
  <c r="Q57" i="28" s="1"/>
  <c r="L57" i="28" s="1"/>
  <c r="F57" i="28" s="1"/>
  <c r="M47" i="28"/>
  <c r="U71" i="28"/>
  <c r="M33" i="28"/>
  <c r="S56" i="28"/>
  <c r="Q56" i="28" s="1"/>
  <c r="K56" i="28" s="1"/>
  <c r="F56" i="28" s="1"/>
  <c r="J45" i="28" s="1"/>
  <c r="T72" i="28" l="1"/>
  <c r="U72" i="28"/>
  <c r="N47" i="28"/>
  <c r="N33" i="28"/>
  <c r="U73" i="28"/>
  <c r="O47" i="28"/>
  <c r="O33" i="28"/>
  <c r="G36" i="27"/>
  <c r="K45" i="28"/>
  <c r="N63" i="28"/>
  <c r="N62" i="28"/>
  <c r="N61" i="28"/>
  <c r="N60" i="28"/>
  <c r="T58" i="28"/>
  <c r="S71" i="28"/>
  <c r="P14" i="28"/>
  <c r="P15" i="28" s="1"/>
  <c r="P20" i="28" s="1"/>
  <c r="T67" i="28" l="1"/>
  <c r="T73" i="28"/>
  <c r="O63" i="28"/>
  <c r="O62" i="28"/>
  <c r="O61" i="28"/>
  <c r="S73" i="28"/>
  <c r="T60" i="28"/>
  <c r="P26" i="28"/>
  <c r="P27" i="28" s="1"/>
  <c r="P29" i="28" s="1"/>
  <c r="O19" i="11" s="1"/>
  <c r="L19" i="11" s="1"/>
  <c r="P63" i="28"/>
  <c r="P62" i="28"/>
  <c r="S58" i="28"/>
  <c r="Q58" i="28" s="1"/>
  <c r="M58" i="28" s="1"/>
  <c r="F58" i="28" s="1"/>
  <c r="L45" i="28" s="1"/>
  <c r="T59" i="28"/>
  <c r="S72" i="28"/>
  <c r="L29" i="11" l="1"/>
  <c r="AG127" i="30"/>
  <c r="O21" i="11"/>
  <c r="T68" i="28"/>
  <c r="T74" i="28"/>
  <c r="U75" i="28"/>
  <c r="P47" i="28"/>
  <c r="P32" i="28"/>
  <c r="P39" i="28" s="1"/>
  <c r="U74" i="28"/>
  <c r="Q63" i="28"/>
  <c r="U63" i="28" s="1"/>
  <c r="S59" i="28"/>
  <c r="Q59" i="28" s="1"/>
  <c r="N59" i="28" s="1"/>
  <c r="F59" i="28" s="1"/>
  <c r="S60" i="28"/>
  <c r="Q60" i="28" s="1"/>
  <c r="O60" i="28" s="1"/>
  <c r="F60" i="28" s="1"/>
  <c r="N45" i="28" s="1"/>
  <c r="T32" i="11" l="1"/>
  <c r="T34" i="11" s="1"/>
  <c r="L30" i="11"/>
  <c r="AG148" i="30"/>
  <c r="AG57" i="30"/>
  <c r="AG219" i="30"/>
  <c r="AG285" i="30"/>
  <c r="AG304" i="30"/>
  <c r="AG269" i="30"/>
  <c r="AG289" i="30"/>
  <c r="AG15" i="30"/>
  <c r="AG131" i="30"/>
  <c r="AG62" i="30"/>
  <c r="AG469" i="30"/>
  <c r="AG260" i="30"/>
  <c r="AG434" i="30"/>
  <c r="AG465" i="30"/>
  <c r="AG474" i="30"/>
  <c r="AG69" i="30"/>
  <c r="AG207" i="30"/>
  <c r="AG165" i="30"/>
  <c r="AG221" i="30"/>
  <c r="AG341" i="30"/>
  <c r="AG320" i="30"/>
  <c r="AG471" i="30"/>
  <c r="AG48" i="30"/>
  <c r="AG139" i="30"/>
  <c r="AG72" i="30"/>
  <c r="AG49" i="30"/>
  <c r="AG350" i="30"/>
  <c r="AG466" i="30"/>
  <c r="AG22" i="30"/>
  <c r="AG490" i="30"/>
  <c r="AG19" i="30"/>
  <c r="AG77" i="30"/>
  <c r="AG138" i="30"/>
  <c r="AG448" i="30"/>
  <c r="AG296" i="30"/>
  <c r="AG39" i="30"/>
  <c r="AG379" i="30"/>
  <c r="AG30" i="30"/>
  <c r="AG147" i="30"/>
  <c r="AG80" i="30"/>
  <c r="AG268" i="30"/>
  <c r="AG493" i="30"/>
  <c r="AG498" i="30"/>
  <c r="AG453" i="30"/>
  <c r="AG10" i="30"/>
  <c r="AG50" i="30"/>
  <c r="AG86" i="30"/>
  <c r="AG146" i="30"/>
  <c r="AG176" i="30"/>
  <c r="AG481" i="30"/>
  <c r="AG389" i="30"/>
  <c r="AG387" i="30"/>
  <c r="AG168" i="30"/>
  <c r="AG187" i="30"/>
  <c r="AG121" i="30"/>
  <c r="AG230" i="30"/>
  <c r="AG278" i="30"/>
  <c r="AG323" i="30"/>
  <c r="AG440" i="30"/>
  <c r="AG427" i="30"/>
  <c r="O25" i="11"/>
  <c r="AG60" i="30"/>
  <c r="AG94" i="30"/>
  <c r="AG154" i="30"/>
  <c r="AG184" i="30"/>
  <c r="AG354" i="30"/>
  <c r="AG461" i="30"/>
  <c r="AG395" i="30"/>
  <c r="AG220" i="30"/>
  <c r="AG163" i="30"/>
  <c r="AG97" i="30"/>
  <c r="AG206" i="30"/>
  <c r="AG362" i="30"/>
  <c r="AG299" i="30"/>
  <c r="AG392" i="30"/>
  <c r="AG403" i="30"/>
  <c r="AG104" i="30"/>
  <c r="AG243" i="30"/>
  <c r="AG197" i="30"/>
  <c r="AG274" i="30"/>
  <c r="AG281" i="30"/>
  <c r="AG306" i="30"/>
  <c r="AG352" i="30"/>
  <c r="AG59" i="30"/>
  <c r="AG8" i="30"/>
  <c r="AG171" i="30"/>
  <c r="AG105" i="30"/>
  <c r="AG214" i="30"/>
  <c r="AG255" i="30"/>
  <c r="AG307" i="30"/>
  <c r="AG408" i="30"/>
  <c r="AG411" i="30"/>
  <c r="AG78" i="30"/>
  <c r="AG110" i="30"/>
  <c r="AG170" i="30"/>
  <c r="AG256" i="30"/>
  <c r="AG368" i="30"/>
  <c r="AG418" i="30"/>
  <c r="AG372" i="30"/>
  <c r="AG128" i="30"/>
  <c r="AG179" i="30"/>
  <c r="AG113" i="30"/>
  <c r="AG222" i="30"/>
  <c r="AG425" i="30"/>
  <c r="AG315" i="30"/>
  <c r="AG424" i="30"/>
  <c r="AG419" i="30"/>
  <c r="AG87" i="30"/>
  <c r="AG118" i="30"/>
  <c r="AG178" i="30"/>
  <c r="AG284" i="30"/>
  <c r="AG400" i="30"/>
  <c r="AG450" i="30"/>
  <c r="AG388" i="30"/>
  <c r="AG55" i="30"/>
  <c r="AG26" i="30"/>
  <c r="AG153" i="30"/>
  <c r="AG209" i="30"/>
  <c r="AG329" i="30"/>
  <c r="AG355" i="30"/>
  <c r="AG23" i="30"/>
  <c r="AG459" i="30"/>
  <c r="AG7" i="30"/>
  <c r="AG9" i="30"/>
  <c r="AG56" i="30"/>
  <c r="AG287" i="30"/>
  <c r="AG393" i="30"/>
  <c r="AG412" i="30"/>
  <c r="AG433" i="30"/>
  <c r="AG468" i="30"/>
  <c r="AG65" i="30"/>
  <c r="AG236" i="30"/>
  <c r="AG161" i="30"/>
  <c r="AG217" i="30"/>
  <c r="AG337" i="30"/>
  <c r="AG363" i="30"/>
  <c r="AG316" i="30"/>
  <c r="AG467" i="30"/>
  <c r="AG68" i="30"/>
  <c r="AG102" i="30"/>
  <c r="AG162" i="30"/>
  <c r="AG192" i="30"/>
  <c r="AG437" i="30"/>
  <c r="AG386" i="30"/>
  <c r="AG445" i="30"/>
  <c r="AG75" i="30"/>
  <c r="AG239" i="30"/>
  <c r="AG169" i="30"/>
  <c r="AG225" i="30"/>
  <c r="AG345" i="30"/>
  <c r="AG261" i="30"/>
  <c r="AG324" i="30"/>
  <c r="AG475" i="30"/>
  <c r="AG18" i="30"/>
  <c r="AG143" i="30"/>
  <c r="AG76" i="30"/>
  <c r="AG272" i="30"/>
  <c r="AG280" i="30"/>
  <c r="AG476" i="30"/>
  <c r="AG421" i="30"/>
  <c r="AG500" i="30"/>
  <c r="AG84" i="30"/>
  <c r="AG164" i="30"/>
  <c r="AG177" i="30"/>
  <c r="AG233" i="30"/>
  <c r="AG353" i="30"/>
  <c r="AG293" i="30"/>
  <c r="AG332" i="30"/>
  <c r="AG483" i="30"/>
  <c r="E16" i="7"/>
  <c r="AG132" i="30"/>
  <c r="AG151" i="30"/>
  <c r="AG85" i="30"/>
  <c r="AG438" i="30"/>
  <c r="AG384" i="30"/>
  <c r="AG251" i="30"/>
  <c r="AG485" i="30"/>
  <c r="AG58" i="30"/>
  <c r="AG124" i="30"/>
  <c r="AG53" i="30"/>
  <c r="AG240" i="30"/>
  <c r="AG286" i="30"/>
  <c r="AG300" i="30"/>
  <c r="AG449" i="30"/>
  <c r="AG273" i="30"/>
  <c r="AG71" i="30"/>
  <c r="AG42" i="30"/>
  <c r="AG159" i="30"/>
  <c r="AG93" i="30"/>
  <c r="AG202" i="30"/>
  <c r="AG330" i="30"/>
  <c r="AG283" i="30"/>
  <c r="AG382" i="30"/>
  <c r="AG399" i="30"/>
  <c r="AG100" i="30"/>
  <c r="AG211" i="30"/>
  <c r="AG193" i="30"/>
  <c r="AG249" i="30"/>
  <c r="AG265" i="30"/>
  <c r="AG302" i="30"/>
  <c r="AG348" i="30"/>
  <c r="AG499" i="30"/>
  <c r="AG17" i="30"/>
  <c r="AG103" i="30"/>
  <c r="AG215" i="30"/>
  <c r="AG194" i="30"/>
  <c r="AG346" i="30"/>
  <c r="AG464" i="30"/>
  <c r="AG409" i="30"/>
  <c r="AG420" i="30"/>
  <c r="AG108" i="30"/>
  <c r="AG24" i="30"/>
  <c r="AG31" i="30"/>
  <c r="AG318" i="30"/>
  <c r="AG297" i="30"/>
  <c r="AG310" i="30"/>
  <c r="AG356" i="30"/>
  <c r="AG35" i="30"/>
  <c r="AG40" i="30"/>
  <c r="AG175" i="30"/>
  <c r="AG109" i="30"/>
  <c r="AG218" i="30"/>
  <c r="AG369" i="30"/>
  <c r="AG311" i="30"/>
  <c r="AG414" i="30"/>
  <c r="AG415" i="30"/>
  <c r="AG116" i="30"/>
  <c r="AG43" i="30"/>
  <c r="AG44" i="30"/>
  <c r="AG429" i="30"/>
  <c r="AG279" i="30"/>
  <c r="AG264" i="30"/>
  <c r="AG364" i="30"/>
  <c r="AG6" i="30"/>
  <c r="AG160" i="30"/>
  <c r="AG183" i="30"/>
  <c r="AG117" i="30"/>
  <c r="AG226" i="30"/>
  <c r="AG489" i="30"/>
  <c r="AG319" i="30"/>
  <c r="AG430" i="30"/>
  <c r="AG423" i="30"/>
  <c r="AG54" i="30"/>
  <c r="AG90" i="30"/>
  <c r="AG150" i="30"/>
  <c r="AG180" i="30"/>
  <c r="AG322" i="30"/>
  <c r="AG397" i="30"/>
  <c r="AG391" i="30"/>
  <c r="AG200" i="30"/>
  <c r="AG191" i="30"/>
  <c r="AG125" i="30"/>
  <c r="AG234" i="30"/>
  <c r="AG301" i="30"/>
  <c r="AG327" i="30"/>
  <c r="AG446" i="30"/>
  <c r="AG431" i="30"/>
  <c r="AG212" i="30"/>
  <c r="AG63" i="30"/>
  <c r="AG126" i="30"/>
  <c r="AG385" i="30"/>
  <c r="AG308" i="30"/>
  <c r="AG82" i="30"/>
  <c r="AG367" i="30"/>
  <c r="AG20" i="30"/>
  <c r="AG135" i="30"/>
  <c r="AG66" i="30"/>
  <c r="AG29" i="30"/>
  <c r="AG290" i="30"/>
  <c r="AG444" i="30"/>
  <c r="AG497" i="30"/>
  <c r="AG484" i="30"/>
  <c r="AG231" i="30"/>
  <c r="AG73" i="30"/>
  <c r="AG134" i="30"/>
  <c r="AG406" i="30"/>
  <c r="AG358" i="30"/>
  <c r="AG366" i="30"/>
  <c r="AG375" i="30"/>
  <c r="AG70" i="30"/>
  <c r="AG16" i="30"/>
  <c r="AG203" i="30"/>
  <c r="AG141" i="30"/>
  <c r="AG250" i="30"/>
  <c r="AG317" i="30"/>
  <c r="AG343" i="30"/>
  <c r="AG478" i="30"/>
  <c r="AG447" i="30"/>
  <c r="AG33" i="30"/>
  <c r="AG81" i="30"/>
  <c r="AG142" i="30"/>
  <c r="AG172" i="30"/>
  <c r="AG417" i="30"/>
  <c r="AG381" i="30"/>
  <c r="AG383" i="30"/>
  <c r="AG51" i="30"/>
  <c r="AG144" i="30"/>
  <c r="AG149" i="30"/>
  <c r="AG205" i="30"/>
  <c r="AG325" i="30"/>
  <c r="AG351" i="30"/>
  <c r="AG494" i="30"/>
  <c r="AG455" i="30"/>
  <c r="AG91" i="30"/>
  <c r="AG122" i="30"/>
  <c r="AG182" i="30"/>
  <c r="AG457" i="30"/>
  <c r="AG422" i="30"/>
  <c r="AG460" i="30"/>
  <c r="AG394" i="30"/>
  <c r="AG61" i="30"/>
  <c r="AG204" i="30"/>
  <c r="AG157" i="30"/>
  <c r="AG213" i="30"/>
  <c r="AG333" i="30"/>
  <c r="AG359" i="30"/>
  <c r="AG312" i="30"/>
  <c r="AG463" i="30"/>
  <c r="AG64" i="30"/>
  <c r="AG98" i="30"/>
  <c r="AG158" i="30"/>
  <c r="AG188" i="30"/>
  <c r="AG377" i="30"/>
  <c r="AG253" i="30"/>
  <c r="AG413" i="30"/>
  <c r="AG223" i="30"/>
  <c r="AG167" i="30"/>
  <c r="AG101" i="30"/>
  <c r="AG210" i="30"/>
  <c r="AG266" i="30"/>
  <c r="AG303" i="30"/>
  <c r="AG398" i="30"/>
  <c r="AG407" i="30"/>
  <c r="AG74" i="30"/>
  <c r="AG106" i="30"/>
  <c r="AG166" i="30"/>
  <c r="AG196" i="30"/>
  <c r="AG47" i="30"/>
  <c r="AG396" i="30"/>
  <c r="AG477" i="30"/>
  <c r="AG79" i="30"/>
  <c r="AG156" i="30"/>
  <c r="AG173" i="30"/>
  <c r="AG229" i="30"/>
  <c r="AG349" i="30"/>
  <c r="AG277" i="30"/>
  <c r="AG328" i="30"/>
  <c r="AG479" i="30"/>
  <c r="AG83" i="30"/>
  <c r="AG114" i="30"/>
  <c r="AG174" i="30"/>
  <c r="AG254" i="30"/>
  <c r="AG390" i="30"/>
  <c r="AG428" i="30"/>
  <c r="AG378" i="30"/>
  <c r="AG88" i="30"/>
  <c r="AG41" i="30"/>
  <c r="AG181" i="30"/>
  <c r="AG237" i="30"/>
  <c r="AG357" i="30"/>
  <c r="AG259" i="30"/>
  <c r="AG336" i="30"/>
  <c r="AG487" i="30"/>
  <c r="AG28" i="30"/>
  <c r="AG123" i="30"/>
  <c r="AG52" i="30"/>
  <c r="AG282" i="30"/>
  <c r="AG271" i="30"/>
  <c r="AG402" i="30"/>
  <c r="AG401" i="30"/>
  <c r="AG458" i="30"/>
  <c r="AG96" i="30"/>
  <c r="AG248" i="30"/>
  <c r="AG189" i="30"/>
  <c r="AG245" i="30"/>
  <c r="AG365" i="30"/>
  <c r="AG291" i="30"/>
  <c r="AG344" i="30"/>
  <c r="AG495" i="30"/>
  <c r="AG13" i="30"/>
  <c r="AG99" i="30"/>
  <c r="AG228" i="30"/>
  <c r="AG190" i="30"/>
  <c r="AG258" i="30"/>
  <c r="AG454" i="30"/>
  <c r="AG492" i="30"/>
  <c r="AG410" i="30"/>
  <c r="AG32" i="30"/>
  <c r="AG199" i="30"/>
  <c r="AG133" i="30"/>
  <c r="AG242" i="30"/>
  <c r="AG309" i="30"/>
  <c r="AG335" i="30"/>
  <c r="AG462" i="30"/>
  <c r="AG439" i="30"/>
  <c r="E15" i="7"/>
  <c r="AG107" i="30"/>
  <c r="AG247" i="30"/>
  <c r="AG198" i="30"/>
  <c r="AG374" i="30"/>
  <c r="AG486" i="30"/>
  <c r="AG441" i="30"/>
  <c r="AG426" i="30"/>
  <c r="AG112" i="30"/>
  <c r="AG36" i="30"/>
  <c r="AG136" i="30"/>
  <c r="AG298" i="30"/>
  <c r="AG263" i="30"/>
  <c r="AG342" i="30"/>
  <c r="AG360" i="30"/>
  <c r="AG34" i="30"/>
  <c r="AG12" i="30"/>
  <c r="AG115" i="30"/>
  <c r="AG27" i="30"/>
  <c r="AG314" i="30"/>
  <c r="AG288" i="30"/>
  <c r="AG370" i="30"/>
  <c r="AG294" i="30"/>
  <c r="AG442" i="30"/>
  <c r="AG120" i="30"/>
  <c r="AG25" i="30"/>
  <c r="AG208" i="30"/>
  <c r="AG292" i="30"/>
  <c r="AG295" i="30"/>
  <c r="AG373" i="30"/>
  <c r="AG257" i="30"/>
  <c r="AG152" i="30"/>
  <c r="AG155" i="30"/>
  <c r="AG89" i="30"/>
  <c r="AG480" i="30"/>
  <c r="AG470" i="30"/>
  <c r="AG267" i="30"/>
  <c r="AG376" i="30"/>
  <c r="AG11" i="30"/>
  <c r="AG95" i="30"/>
  <c r="AG456" i="30"/>
  <c r="AG405" i="30"/>
  <c r="AG224" i="30"/>
  <c r="AG436" i="30"/>
  <c r="AG321" i="30"/>
  <c r="AG45" i="30"/>
  <c r="AG216" i="30"/>
  <c r="AG46" i="30"/>
  <c r="AG140" i="30"/>
  <c r="AG435" i="30"/>
  <c r="AG326" i="30"/>
  <c r="AG137" i="30"/>
  <c r="AG38" i="30"/>
  <c r="AG347" i="30"/>
  <c r="AG338" i="30"/>
  <c r="AG185" i="30"/>
  <c r="AG186" i="30"/>
  <c r="AG232" i="30"/>
  <c r="AG334" i="30"/>
  <c r="AG246" i="30"/>
  <c r="AG111" i="30"/>
  <c r="AG488" i="30"/>
  <c r="AG252" i="30"/>
  <c r="AG241" i="30"/>
  <c r="AG276" i="30"/>
  <c r="AG195" i="30"/>
  <c r="AG371" i="30"/>
  <c r="AG313" i="30"/>
  <c r="AG21" i="30"/>
  <c r="AG451" i="30"/>
  <c r="AG380" i="30"/>
  <c r="AG361" i="30"/>
  <c r="AG432" i="30"/>
  <c r="AG129" i="30"/>
  <c r="AG339" i="30"/>
  <c r="AG270" i="30"/>
  <c r="AG37" i="30"/>
  <c r="AG262" i="30"/>
  <c r="AG275" i="30"/>
  <c r="E10" i="7"/>
  <c r="E11" i="7" s="1"/>
  <c r="E27" i="7" s="1"/>
  <c r="AG482" i="30"/>
  <c r="AG238" i="30"/>
  <c r="AG244" i="30"/>
  <c r="AG472" i="30"/>
  <c r="AG416" i="30"/>
  <c r="AG235" i="30"/>
  <c r="AG452" i="30"/>
  <c r="AG340" i="30"/>
  <c r="AG404" i="30"/>
  <c r="AG305" i="30"/>
  <c r="AG67" i="30"/>
  <c r="AG443" i="30"/>
  <c r="AG496" i="30"/>
  <c r="AG145" i="30"/>
  <c r="AG14" i="30"/>
  <c r="AG491" i="30"/>
  <c r="AG331" i="30"/>
  <c r="AG130" i="30"/>
  <c r="AG227" i="30"/>
  <c r="AG473" i="30"/>
  <c r="AG201" i="30"/>
  <c r="AG119" i="30"/>
  <c r="AG92" i="30"/>
  <c r="T69" i="28"/>
  <c r="T75" i="28"/>
  <c r="T76" i="28"/>
  <c r="P33" i="28"/>
  <c r="S74" i="28"/>
  <c r="T61" i="28"/>
  <c r="G37" i="27"/>
  <c r="M45" i="28"/>
  <c r="U76" i="28"/>
  <c r="S76" i="28" s="1"/>
  <c r="T63" i="28"/>
  <c r="S75" i="28"/>
  <c r="Y28" i="11" l="1" a="1"/>
  <c r="Y28" i="11" s="1"/>
  <c r="Y31" i="11" s="1"/>
  <c r="L41" i="28" s="1"/>
  <c r="X28" i="11" a="1"/>
  <c r="X28" i="11" s="1"/>
  <c r="X31" i="11" s="1"/>
  <c r="K41" i="28" s="1"/>
  <c r="G35" i="28"/>
  <c r="G37" i="28"/>
  <c r="AA28" i="11" a="1"/>
  <c r="AA28" i="11" s="1"/>
  <c r="AA31" i="11" s="1"/>
  <c r="N41" i="28" s="1"/>
  <c r="Z28" i="11" a="1"/>
  <c r="Z28" i="11" s="1"/>
  <c r="Z31" i="11" s="1"/>
  <c r="M41" i="28" s="1"/>
  <c r="AC28" i="11" a="1"/>
  <c r="AC28" i="11" s="1"/>
  <c r="AC31" i="11" s="1"/>
  <c r="AB28" i="11" a="1"/>
  <c r="AB28" i="11" s="1"/>
  <c r="AB31" i="11" s="1"/>
  <c r="O41" i="28" s="1"/>
  <c r="W28" i="11" a="1"/>
  <c r="W28" i="11" s="1"/>
  <c r="W31" i="11" s="1"/>
  <c r="J41" i="28" s="1"/>
  <c r="U28" i="11" a="1"/>
  <c r="U28" i="11" s="1"/>
  <c r="U31" i="11" s="1"/>
  <c r="V28" i="11" a="1"/>
  <c r="V28" i="11" s="1"/>
  <c r="V31" i="11" s="1"/>
  <c r="I41" i="28" s="1"/>
  <c r="AF7" i="30"/>
  <c r="L31" i="11"/>
  <c r="O22" i="11" s="1"/>
  <c r="E14" i="7"/>
  <c r="L21" i="11"/>
  <c r="L32" i="11" s="1"/>
  <c r="AE6" i="30"/>
  <c r="AH6" i="30" s="1"/>
  <c r="Q75" i="28"/>
  <c r="T62" i="28"/>
  <c r="S62" i="28" s="1"/>
  <c r="Q62" i="28" s="1"/>
  <c r="F62" i="28" s="1"/>
  <c r="S63" i="28"/>
  <c r="R63" i="28" s="1"/>
  <c r="F63" i="28" s="1"/>
  <c r="S61" i="28"/>
  <c r="Q61" i="28" s="1"/>
  <c r="P61" i="28" s="1"/>
  <c r="F61" i="28" s="1"/>
  <c r="O45" i="28" s="1"/>
  <c r="AI6" i="30" l="1"/>
  <c r="P20" i="11" s="1"/>
  <c r="H41" i="28"/>
  <c r="Q17" i="27" s="1"/>
  <c r="C12" i="38"/>
  <c r="P41" i="28"/>
  <c r="E22" i="7" a="1"/>
  <c r="E22" i="7" s="1"/>
  <c r="E18" i="7"/>
  <c r="E12" i="7"/>
  <c r="E17" i="7" s="1"/>
  <c r="L28" i="11" s="1"/>
  <c r="AI7" i="30"/>
  <c r="G38" i="27"/>
  <c r="P45" i="28"/>
  <c r="P17" i="27" l="1"/>
  <c r="T25" i="1"/>
  <c r="P12" i="7"/>
  <c r="AF6" i="30" l="1"/>
  <c r="T70" i="28"/>
  <c r="AH127" i="30"/>
  <c r="AF127" i="30" s="1"/>
  <c r="AI127" i="30"/>
  <c r="AH205" i="30"/>
  <c r="AF205" i="30" s="1"/>
  <c r="AI205" i="30"/>
  <c r="AH189" i="30"/>
  <c r="AF189" i="30" s="1"/>
  <c r="AI189" i="30"/>
  <c r="AH77" i="30"/>
  <c r="AF77" i="30" s="1"/>
  <c r="AI77" i="30"/>
  <c r="AH93" i="30"/>
  <c r="AF93" i="30" s="1"/>
  <c r="AI93" i="30"/>
  <c r="AH334" i="30"/>
  <c r="AF334" i="30" s="1"/>
  <c r="AI334" i="30"/>
  <c r="AH493" i="30"/>
  <c r="AF493" i="30" s="1"/>
  <c r="AI493" i="30"/>
  <c r="AH446" i="30"/>
  <c r="AF446" i="30" s="1"/>
  <c r="AI446" i="30"/>
  <c r="AH94" i="30"/>
  <c r="AF94" i="30" s="1"/>
  <c r="AI94" i="30"/>
  <c r="AH118" i="30"/>
  <c r="AF118" i="30" s="1"/>
  <c r="AI118" i="30"/>
  <c r="AH37" i="30"/>
  <c r="AF37" i="30" s="1"/>
  <c r="AI37" i="30"/>
  <c r="AH236" i="30"/>
  <c r="AF236" i="30" s="1"/>
  <c r="AI236" i="30"/>
  <c r="AH373" i="30"/>
  <c r="AF373" i="30" s="1"/>
  <c r="AI373" i="30"/>
  <c r="AH429" i="30"/>
  <c r="AF429" i="30" s="1"/>
  <c r="AI429" i="30"/>
  <c r="AH278" i="30"/>
  <c r="AF278" i="30" s="1"/>
  <c r="AI278" i="30"/>
  <c r="AH204" i="30"/>
  <c r="AF204" i="30" s="1"/>
  <c r="AI204" i="30"/>
  <c r="AH212" i="30"/>
  <c r="AF212" i="30" s="1"/>
  <c r="AI212" i="30"/>
  <c r="AH141" i="30"/>
  <c r="AF141" i="30" s="1"/>
  <c r="AI141" i="30"/>
  <c r="AH174" i="30"/>
  <c r="AF174" i="30" s="1"/>
  <c r="AI174" i="30"/>
  <c r="AH222" i="30"/>
  <c r="AF222" i="30" s="1"/>
  <c r="AI222" i="30"/>
  <c r="AH125" i="30"/>
  <c r="AF125" i="30" s="1"/>
  <c r="AI125" i="30"/>
  <c r="AH333" i="30"/>
  <c r="AF333" i="30" s="1"/>
  <c r="AI333" i="30"/>
  <c r="AH229" i="30"/>
  <c r="AF229" i="30" s="1"/>
  <c r="AI229" i="30"/>
  <c r="AH157" i="30"/>
  <c r="AF157" i="30" s="1"/>
  <c r="AI157" i="30"/>
  <c r="AH413" i="30"/>
  <c r="AF413" i="30" s="1"/>
  <c r="AI413" i="30"/>
  <c r="AH86" i="30"/>
  <c r="AF86" i="30" s="1"/>
  <c r="AI86" i="30"/>
  <c r="AH405" i="30"/>
  <c r="AF405" i="30" s="1"/>
  <c r="AI405" i="30"/>
  <c r="AH462" i="30"/>
  <c r="AF462" i="30" s="1"/>
  <c r="AI462" i="30"/>
  <c r="AH29" i="30"/>
  <c r="AF29" i="30" s="1"/>
  <c r="AI29" i="30"/>
  <c r="AH302" i="30"/>
  <c r="AF302" i="30" s="1"/>
  <c r="AI302" i="30"/>
  <c r="AH461" i="30"/>
  <c r="AF461" i="30" s="1"/>
  <c r="AI461" i="30"/>
  <c r="AH349" i="30"/>
  <c r="AF349" i="30" s="1"/>
  <c r="AI349" i="30"/>
  <c r="AH101" i="30"/>
  <c r="AF101" i="30" s="1"/>
  <c r="AI101" i="30"/>
  <c r="AH357" i="30"/>
  <c r="AF357" i="30" s="1"/>
  <c r="AI357" i="30"/>
  <c r="AH173" i="30"/>
  <c r="AF173" i="30" s="1"/>
  <c r="AI173" i="30"/>
  <c r="AH277" i="30"/>
  <c r="AF277" i="30" s="1"/>
  <c r="AI277" i="30"/>
  <c r="AH404" i="30"/>
  <c r="AF404" i="30" s="1"/>
  <c r="AI404" i="30"/>
  <c r="AH326" i="30"/>
  <c r="AF326" i="30" s="1"/>
  <c r="AI326" i="30"/>
  <c r="AH485" i="30"/>
  <c r="AF485" i="30" s="1"/>
  <c r="AI485" i="30"/>
  <c r="AH396" i="30"/>
  <c r="AF396" i="30" s="1"/>
  <c r="AI396" i="30"/>
  <c r="AH365" i="30"/>
  <c r="AF365" i="30" s="1"/>
  <c r="AI365" i="30"/>
  <c r="AH165" i="30"/>
  <c r="AF165" i="30" s="1"/>
  <c r="AI165" i="30"/>
  <c r="AH468" i="30"/>
  <c r="AF468" i="30" s="1"/>
  <c r="AI468" i="30"/>
  <c r="AH61" i="30"/>
  <c r="AF61" i="30" s="1"/>
  <c r="AI61" i="30"/>
  <c r="AH364" i="30"/>
  <c r="AF364" i="30" s="1"/>
  <c r="AI364" i="30"/>
  <c r="AH269" i="30"/>
  <c r="AF269" i="30" s="1"/>
  <c r="AI269" i="30"/>
  <c r="AH285" i="30"/>
  <c r="AF285" i="30" s="1"/>
  <c r="AI285" i="30"/>
  <c r="AH310" i="30"/>
  <c r="AF310" i="30" s="1"/>
  <c r="AI310" i="30"/>
  <c r="AH268" i="30"/>
  <c r="AF268" i="30" s="1"/>
  <c r="AI268" i="30"/>
  <c r="AH422" i="30"/>
  <c r="AF422" i="30" s="1"/>
  <c r="AI422" i="30"/>
  <c r="AH460" i="30"/>
  <c r="AF460" i="30" s="1"/>
  <c r="AI460" i="30"/>
  <c r="AH301" i="30"/>
  <c r="AF301" i="30" s="1"/>
  <c r="AI301" i="30"/>
  <c r="AH382" i="30"/>
  <c r="AF382" i="30" s="1"/>
  <c r="AI382" i="30"/>
  <c r="AH397" i="30"/>
  <c r="AF397" i="30" s="1"/>
  <c r="AI397" i="30"/>
  <c r="AH358" i="30"/>
  <c r="AF358" i="30" s="1"/>
  <c r="AI358" i="30"/>
  <c r="AH366" i="30"/>
  <c r="AF366" i="30" s="1"/>
  <c r="AI366" i="30"/>
  <c r="AH14" i="30"/>
  <c r="AF14" i="30" s="1"/>
  <c r="AI14" i="30"/>
  <c r="AH300" i="30"/>
  <c r="AF300" i="30" s="1"/>
  <c r="AI300" i="30"/>
  <c r="AH390" i="30"/>
  <c r="AF390" i="30" s="1"/>
  <c r="AI390" i="30"/>
  <c r="AH318" i="30"/>
  <c r="AF318" i="30" s="1"/>
  <c r="AI318" i="30"/>
  <c r="AH109" i="30"/>
  <c r="AF109" i="30" s="1"/>
  <c r="AI109" i="30"/>
  <c r="AH53" i="30"/>
  <c r="AF53" i="30" s="1"/>
  <c r="AI53" i="30"/>
  <c r="AH148" i="30"/>
  <c r="AF148" i="30" s="1"/>
  <c r="AI148" i="30"/>
  <c r="AH261" i="30"/>
  <c r="AF261" i="30" s="1"/>
  <c r="AI261" i="30"/>
  <c r="AH220" i="30"/>
  <c r="AF220" i="30" s="1"/>
  <c r="AI220" i="30"/>
  <c r="AH291" i="30"/>
  <c r="AF291" i="30" s="1"/>
  <c r="AI291" i="30"/>
  <c r="AH164" i="30"/>
  <c r="AF164" i="30" s="1"/>
  <c r="AI164" i="30"/>
  <c r="AH332" i="30"/>
  <c r="AF332" i="30" s="1"/>
  <c r="AI332" i="30"/>
  <c r="AH245" i="30"/>
  <c r="AF245" i="30" s="1"/>
  <c r="AI245" i="30"/>
  <c r="AH21" i="30"/>
  <c r="AF21" i="30" s="1"/>
  <c r="AI21" i="30"/>
  <c r="AH166" i="30"/>
  <c r="AF166" i="30" s="1"/>
  <c r="AI166" i="30"/>
  <c r="AH475" i="30"/>
  <c r="AF475" i="30" s="1"/>
  <c r="AI475" i="30"/>
  <c r="AH196" i="30"/>
  <c r="AF196" i="30" s="1"/>
  <c r="AI196" i="30"/>
  <c r="AH228" i="30"/>
  <c r="AF228" i="30" s="1"/>
  <c r="AI228" i="30"/>
  <c r="AH379" i="30"/>
  <c r="AF379" i="30" s="1"/>
  <c r="AI379" i="30"/>
  <c r="AH262" i="30"/>
  <c r="AF262" i="30" s="1"/>
  <c r="AI262" i="30"/>
  <c r="AH428" i="30"/>
  <c r="AF428" i="30" s="1"/>
  <c r="AI428" i="30"/>
  <c r="AH221" i="30"/>
  <c r="AF221" i="30" s="1"/>
  <c r="AI221" i="30"/>
  <c r="AH188" i="30"/>
  <c r="AF188" i="30" s="1"/>
  <c r="AI188" i="30"/>
  <c r="AH62" i="30"/>
  <c r="AF62" i="30" s="1"/>
  <c r="AI62" i="30"/>
  <c r="AH85" i="30"/>
  <c r="AF85" i="30" s="1"/>
  <c r="AI85" i="30"/>
  <c r="AH117" i="30"/>
  <c r="AF117" i="30" s="1"/>
  <c r="AI117" i="30"/>
  <c r="AH44" i="30"/>
  <c r="AF44" i="30" s="1"/>
  <c r="AI44" i="30"/>
  <c r="AH445" i="30"/>
  <c r="AF445" i="30" s="1"/>
  <c r="AI445" i="30"/>
  <c r="AH388" i="30"/>
  <c r="AF388" i="30" s="1"/>
  <c r="AI388" i="30"/>
  <c r="AH230" i="30"/>
  <c r="AF230" i="30" s="1"/>
  <c r="AI230" i="30"/>
  <c r="AH316" i="30"/>
  <c r="AF316" i="30" s="1"/>
  <c r="AI316" i="30"/>
  <c r="AH197" i="30"/>
  <c r="AF197" i="30" s="1"/>
  <c r="AI197" i="30"/>
  <c r="AH116" i="30"/>
  <c r="AF116" i="30" s="1"/>
  <c r="AI116" i="30"/>
  <c r="AH100" i="30"/>
  <c r="AF100" i="30" s="1"/>
  <c r="AI100" i="30"/>
  <c r="AH452" i="30"/>
  <c r="AF452" i="30" s="1"/>
  <c r="AI452" i="30"/>
  <c r="AH484" i="30"/>
  <c r="AF484" i="30" s="1"/>
  <c r="AI484" i="30"/>
  <c r="AH253" i="30"/>
  <c r="AF253" i="30" s="1"/>
  <c r="AI253" i="30"/>
  <c r="AH314" i="30"/>
  <c r="AF314" i="30" s="1"/>
  <c r="AI314" i="30"/>
  <c r="AH69" i="30"/>
  <c r="AF69" i="30" s="1"/>
  <c r="AI69" i="30"/>
  <c r="AH286" i="30"/>
  <c r="AF286" i="30" s="1"/>
  <c r="AI286" i="30"/>
  <c r="AH414" i="30"/>
  <c r="AF414" i="30" s="1"/>
  <c r="AI414" i="30"/>
  <c r="AH46" i="30"/>
  <c r="AF46" i="30" s="1"/>
  <c r="AI46" i="30"/>
  <c r="AH340" i="30"/>
  <c r="AF340" i="30" s="1"/>
  <c r="AI340" i="30"/>
  <c r="AH22" i="30"/>
  <c r="AF22" i="30" s="1"/>
  <c r="AI22" i="30"/>
  <c r="AH181" i="30"/>
  <c r="AF181" i="30" s="1"/>
  <c r="AI181" i="30"/>
  <c r="AH244" i="30"/>
  <c r="AF244" i="30" s="1"/>
  <c r="AI244" i="30"/>
  <c r="AH70" i="30"/>
  <c r="AF70" i="30" s="1"/>
  <c r="AI70" i="30"/>
  <c r="AH486" i="30"/>
  <c r="AF486" i="30" s="1"/>
  <c r="AI486" i="30"/>
  <c r="AH238" i="30"/>
  <c r="AF238" i="30" s="1"/>
  <c r="AI238" i="30"/>
  <c r="AH84" i="30"/>
  <c r="AF84" i="30" s="1"/>
  <c r="AI84" i="30"/>
  <c r="AH317" i="30"/>
  <c r="AF317" i="30" s="1"/>
  <c r="AI317" i="30"/>
  <c r="AH36" i="30"/>
  <c r="AF36" i="30" s="1"/>
  <c r="AI36" i="30"/>
  <c r="AH315" i="30"/>
  <c r="AF315" i="30" s="1"/>
  <c r="AI315" i="30"/>
  <c r="AH51" i="30"/>
  <c r="AF51" i="30" s="1"/>
  <c r="AI51" i="30"/>
  <c r="AH149" i="30"/>
  <c r="AF149" i="30" s="1"/>
  <c r="AI149" i="30"/>
  <c r="AH419" i="30"/>
  <c r="AF419" i="30" s="1"/>
  <c r="AI419" i="30"/>
  <c r="AH492" i="30"/>
  <c r="AF492" i="30" s="1"/>
  <c r="AI492" i="30"/>
  <c r="AH214" i="30"/>
  <c r="AF214" i="30" s="1"/>
  <c r="AI214" i="30"/>
  <c r="AH292" i="30"/>
  <c r="AF292" i="30" s="1"/>
  <c r="AI292" i="30"/>
  <c r="AH491" i="30"/>
  <c r="AF491" i="30" s="1"/>
  <c r="AI491" i="30"/>
  <c r="AH133" i="30"/>
  <c r="AF133" i="30" s="1"/>
  <c r="AI133" i="30"/>
  <c r="AH254" i="30"/>
  <c r="AF254" i="30" s="1"/>
  <c r="AI254" i="30"/>
  <c r="AH132" i="30"/>
  <c r="AF132" i="30" s="1"/>
  <c r="AI132" i="30"/>
  <c r="AH252" i="30"/>
  <c r="AF252" i="30" s="1"/>
  <c r="AI252" i="30"/>
  <c r="AH190" i="30"/>
  <c r="AF190" i="30" s="1"/>
  <c r="AI190" i="30"/>
  <c r="AH20" i="30"/>
  <c r="AF20" i="30" s="1"/>
  <c r="AI20" i="30"/>
  <c r="AH459" i="30"/>
  <c r="AF459" i="30" s="1"/>
  <c r="AI459" i="30"/>
  <c r="AH453" i="30"/>
  <c r="AF453" i="30" s="1"/>
  <c r="AI453" i="30"/>
  <c r="AH412" i="30"/>
  <c r="AF412" i="30" s="1"/>
  <c r="AI412" i="30"/>
  <c r="AH500" i="30"/>
  <c r="AF500" i="30" s="1"/>
  <c r="AI500" i="30"/>
  <c r="AH309" i="30"/>
  <c r="AF309" i="30" s="1"/>
  <c r="AI309" i="30"/>
  <c r="AH30" i="30"/>
  <c r="AI30" i="30"/>
  <c r="AH130" i="30"/>
  <c r="AF130" i="30" s="1"/>
  <c r="AI130" i="30"/>
  <c r="AH203" i="30"/>
  <c r="AF203" i="30" s="1"/>
  <c r="AI203" i="30"/>
  <c r="AH341" i="30"/>
  <c r="AF341" i="30" s="1"/>
  <c r="AI341" i="30"/>
  <c r="AH437" i="30"/>
  <c r="AF437" i="30" s="1"/>
  <c r="AI437" i="30"/>
  <c r="AH478" i="30"/>
  <c r="AF478" i="30" s="1"/>
  <c r="AI478" i="30"/>
  <c r="AH380" i="30"/>
  <c r="AF380" i="30" s="1"/>
  <c r="AI380" i="30"/>
  <c r="AH210" i="30"/>
  <c r="AF210" i="30" s="1"/>
  <c r="AI210" i="30"/>
  <c r="AH477" i="30"/>
  <c r="AF477" i="30" s="1"/>
  <c r="AI477" i="30"/>
  <c r="AH184" i="30"/>
  <c r="AF184" i="30" s="1"/>
  <c r="AI184" i="30"/>
  <c r="AH436" i="30"/>
  <c r="AF436" i="30" s="1"/>
  <c r="AI436" i="30"/>
  <c r="AH324" i="30"/>
  <c r="AF324" i="30" s="1"/>
  <c r="AI324" i="30"/>
  <c r="AH124" i="30"/>
  <c r="AF124" i="30" s="1"/>
  <c r="AI124" i="30"/>
  <c r="AH386" i="30"/>
  <c r="AF386" i="30" s="1"/>
  <c r="AI386" i="30"/>
  <c r="AH126" i="30"/>
  <c r="AF126" i="30" s="1"/>
  <c r="AI126" i="30"/>
  <c r="AH342" i="30"/>
  <c r="AF342" i="30" s="1"/>
  <c r="AI342" i="30"/>
  <c r="AH427" i="30"/>
  <c r="AF427" i="30" s="1"/>
  <c r="AI427" i="30"/>
  <c r="AH213" i="30"/>
  <c r="AF213" i="30" s="1"/>
  <c r="AI213" i="30"/>
  <c r="AH347" i="30"/>
  <c r="AF347" i="30" s="1"/>
  <c r="AI347" i="30"/>
  <c r="AH499" i="30"/>
  <c r="AF499" i="30" s="1"/>
  <c r="AI499" i="30"/>
  <c r="AH443" i="30"/>
  <c r="AF443" i="30" s="1"/>
  <c r="AI443" i="30"/>
  <c r="AH406" i="30"/>
  <c r="AF406" i="30" s="1"/>
  <c r="AI406" i="30"/>
  <c r="AH239" i="30"/>
  <c r="AF239" i="30" s="1"/>
  <c r="AI239" i="30"/>
  <c r="AH476" i="30"/>
  <c r="AF476" i="30" s="1"/>
  <c r="AI476" i="30"/>
  <c r="AH134" i="30"/>
  <c r="AF134" i="30" s="1"/>
  <c r="AI134" i="30"/>
  <c r="AH466" i="30"/>
  <c r="AF466" i="30" s="1"/>
  <c r="AI466" i="30"/>
  <c r="AH198" i="30"/>
  <c r="AF198" i="30" s="1"/>
  <c r="AI198" i="30"/>
  <c r="AH356" i="30"/>
  <c r="AF356" i="30" s="1"/>
  <c r="AI356" i="30"/>
  <c r="AH237" i="30"/>
  <c r="AF237" i="30" s="1"/>
  <c r="AI237" i="30"/>
  <c r="AH420" i="30"/>
  <c r="AF420" i="30" s="1"/>
  <c r="AI420" i="30"/>
  <c r="AH276" i="30"/>
  <c r="AF276" i="30" s="1"/>
  <c r="AI276" i="30"/>
  <c r="AH102" i="30"/>
  <c r="AI102" i="30"/>
  <c r="AH325" i="30"/>
  <c r="AF325" i="30" s="1"/>
  <c r="AI325" i="30"/>
  <c r="AH284" i="30"/>
  <c r="AF284" i="30" s="1"/>
  <c r="AI284" i="30"/>
  <c r="AH372" i="30"/>
  <c r="AF372" i="30" s="1"/>
  <c r="AI372" i="30"/>
  <c r="AH308" i="30"/>
  <c r="AF308" i="30" s="1"/>
  <c r="AI308" i="30"/>
  <c r="AH68" i="30"/>
  <c r="AF68" i="30" s="1"/>
  <c r="AI68" i="30"/>
  <c r="AH444" i="30"/>
  <c r="AF444" i="30" s="1"/>
  <c r="AI444" i="30"/>
  <c r="AH411" i="30"/>
  <c r="AF411" i="30" s="1"/>
  <c r="AI411" i="30"/>
  <c r="AH182" i="30"/>
  <c r="AF182" i="30" s="1"/>
  <c r="AI182" i="30"/>
  <c r="AH155" i="30"/>
  <c r="AF155" i="30" s="1"/>
  <c r="AI155" i="30"/>
  <c r="AH71" i="30"/>
  <c r="AF71" i="30" s="1"/>
  <c r="AI71" i="30"/>
  <c r="AH180" i="30"/>
  <c r="AF180" i="30" s="1"/>
  <c r="AI180" i="30"/>
  <c r="AI270" i="30"/>
  <c r="AH270" i="30"/>
  <c r="AF270" i="30" s="1"/>
  <c r="AI13" i="30"/>
  <c r="AH13" i="30"/>
  <c r="AF13" i="30" s="1"/>
  <c r="AI313" i="30"/>
  <c r="AH313" i="30"/>
  <c r="AF313" i="30" s="1"/>
  <c r="AI92" i="30"/>
  <c r="AH92" i="30"/>
  <c r="AF92" i="30" s="1"/>
  <c r="AI260" i="30"/>
  <c r="AH260" i="30"/>
  <c r="AF260" i="30" s="1"/>
  <c r="AH381" i="30"/>
  <c r="AF381" i="30" s="1"/>
  <c r="AI381" i="30"/>
  <c r="AH56" i="30"/>
  <c r="AF56" i="30" s="1"/>
  <c r="AI56" i="30"/>
  <c r="AH234" i="30"/>
  <c r="AF234" i="30" s="1"/>
  <c r="AI234" i="30"/>
  <c r="AH23" i="30"/>
  <c r="AF23" i="30" s="1"/>
  <c r="AI23" i="30"/>
  <c r="AH146" i="30"/>
  <c r="AF146" i="30" s="1"/>
  <c r="AI146" i="30"/>
  <c r="AH249" i="30"/>
  <c r="AF249" i="30" s="1"/>
  <c r="AI249" i="30"/>
  <c r="AH367" i="30"/>
  <c r="AF367" i="30" s="1"/>
  <c r="AI367" i="30"/>
  <c r="AH163" i="30"/>
  <c r="AF163" i="30" s="1"/>
  <c r="AI163" i="30"/>
  <c r="AH442" i="30"/>
  <c r="AF442" i="30" s="1"/>
  <c r="AI442" i="30"/>
  <c r="AH456" i="30"/>
  <c r="AF456" i="30" s="1"/>
  <c r="AI456" i="30"/>
  <c r="AH97" i="30"/>
  <c r="AF97" i="30" s="1"/>
  <c r="AI97" i="30"/>
  <c r="AH226" i="30"/>
  <c r="AF226" i="30" s="1"/>
  <c r="AI226" i="30"/>
  <c r="AH299" i="30"/>
  <c r="AF299" i="30" s="1"/>
  <c r="AI299" i="30"/>
  <c r="AH39" i="30"/>
  <c r="AF39" i="30" s="1"/>
  <c r="AI39" i="30"/>
  <c r="AH45" i="30"/>
  <c r="AF45" i="30" s="1"/>
  <c r="AI45" i="30"/>
  <c r="AH274" i="30"/>
  <c r="AF274" i="30" s="1"/>
  <c r="AI274" i="30"/>
  <c r="AH112" i="30"/>
  <c r="AF112" i="30" s="1"/>
  <c r="AI112" i="30"/>
  <c r="AH407" i="30"/>
  <c r="AF407" i="30" s="1"/>
  <c r="AI407" i="30"/>
  <c r="AH140" i="30"/>
  <c r="AF140" i="30" s="1"/>
  <c r="AI140" i="30"/>
  <c r="AH91" i="30"/>
  <c r="AF91" i="30" s="1"/>
  <c r="AI91" i="30"/>
  <c r="AH415" i="30"/>
  <c r="AF415" i="30" s="1"/>
  <c r="AI415" i="30"/>
  <c r="AH150" i="30"/>
  <c r="AF150" i="30" s="1"/>
  <c r="AI150" i="30"/>
  <c r="AH206" i="30"/>
  <c r="AF206" i="30" s="1"/>
  <c r="AI206" i="30"/>
  <c r="AH27" i="30"/>
  <c r="AF27" i="30" s="1"/>
  <c r="AI27" i="30"/>
  <c r="AH72" i="30"/>
  <c r="AF72" i="30" s="1"/>
  <c r="AI72" i="30"/>
  <c r="AH426" i="30"/>
  <c r="AF426" i="30" s="1"/>
  <c r="AI426" i="30"/>
  <c r="AH199" i="30"/>
  <c r="AF199" i="30" s="1"/>
  <c r="AI199" i="30"/>
  <c r="AH469" i="30"/>
  <c r="AF469" i="30" s="1"/>
  <c r="AI469" i="30"/>
  <c r="AH354" i="30"/>
  <c r="AF354" i="30" s="1"/>
  <c r="AI354" i="30"/>
  <c r="AH258" i="30"/>
  <c r="AF258" i="30" s="1"/>
  <c r="AI258" i="30"/>
  <c r="AH322" i="30"/>
  <c r="AF322" i="30" s="1"/>
  <c r="AI322" i="30"/>
  <c r="AH200" i="30"/>
  <c r="AF200" i="30" s="1"/>
  <c r="AI200" i="30"/>
  <c r="AH330" i="30"/>
  <c r="AF330" i="30" s="1"/>
  <c r="AI330" i="30"/>
  <c r="AH451" i="30"/>
  <c r="AF451" i="30" s="1"/>
  <c r="AI451" i="30"/>
  <c r="AH498" i="30"/>
  <c r="AF498" i="30" s="1"/>
  <c r="AI498" i="30"/>
  <c r="AH345" i="30"/>
  <c r="AF345" i="30" s="1"/>
  <c r="AI345" i="30"/>
  <c r="AH331" i="30"/>
  <c r="AF331" i="30" s="1"/>
  <c r="AI331" i="30"/>
  <c r="AH455" i="30"/>
  <c r="AF455" i="30" s="1"/>
  <c r="AI455" i="30"/>
  <c r="AH438" i="30"/>
  <c r="AF438" i="30" s="1"/>
  <c r="AI438" i="30"/>
  <c r="AH410" i="30"/>
  <c r="AF410" i="30" s="1"/>
  <c r="AI410" i="30"/>
  <c r="AH294" i="30"/>
  <c r="AF294" i="30" s="1"/>
  <c r="AI294" i="30"/>
  <c r="AH194" i="30"/>
  <c r="AF194" i="30" s="1"/>
  <c r="AI194" i="30"/>
  <c r="AH430" i="30"/>
  <c r="AF430" i="30" s="1"/>
  <c r="AI430" i="30"/>
  <c r="AH392" i="30"/>
  <c r="AF392" i="30" s="1"/>
  <c r="AI392" i="30"/>
  <c r="AH273" i="30"/>
  <c r="AF273" i="30" s="1"/>
  <c r="AI273" i="30"/>
  <c r="AH114" i="30"/>
  <c r="AI114" i="30"/>
  <c r="AH282" i="30"/>
  <c r="AF282" i="30" s="1"/>
  <c r="AI282" i="30"/>
  <c r="AH467" i="30"/>
  <c r="AF467" i="30" s="1"/>
  <c r="AI467" i="30"/>
  <c r="AH108" i="30"/>
  <c r="AF108" i="30" s="1"/>
  <c r="AI108" i="30"/>
  <c r="AH395" i="30"/>
  <c r="AF395" i="30" s="1"/>
  <c r="AI395" i="30"/>
  <c r="AH264" i="30"/>
  <c r="AF264" i="30" s="1"/>
  <c r="AI264" i="30"/>
  <c r="AH211" i="30"/>
  <c r="AF211" i="30" s="1"/>
  <c r="AI211" i="30"/>
  <c r="AH242" i="30"/>
  <c r="AF242" i="30" s="1"/>
  <c r="AI242" i="30"/>
  <c r="AH283" i="30"/>
  <c r="AF283" i="30" s="1"/>
  <c r="AI283" i="30"/>
  <c r="AI110" i="30"/>
  <c r="AH110" i="30"/>
  <c r="AF110" i="30" s="1"/>
  <c r="AI394" i="30"/>
  <c r="AH394" i="30"/>
  <c r="AF394" i="30" s="1"/>
  <c r="AH473" i="30"/>
  <c r="AF473" i="30" s="1"/>
  <c r="AI473" i="30"/>
  <c r="AH421" i="30"/>
  <c r="AF421" i="30" s="1"/>
  <c r="AI421" i="30"/>
  <c r="AH38" i="30"/>
  <c r="AF38" i="30" s="1"/>
  <c r="AI38" i="30"/>
  <c r="AH441" i="30"/>
  <c r="AF441" i="30" s="1"/>
  <c r="AI441" i="30"/>
  <c r="AH58" i="30"/>
  <c r="AF58" i="30" s="1"/>
  <c r="AI58" i="30"/>
  <c r="AH339" i="30"/>
  <c r="AF339" i="30" s="1"/>
  <c r="AI339" i="30"/>
  <c r="AH350" i="30"/>
  <c r="AF350" i="30" s="1"/>
  <c r="AI350" i="30"/>
  <c r="AH135" i="30"/>
  <c r="AF135" i="30" s="1"/>
  <c r="AI135" i="30"/>
  <c r="AH187" i="30"/>
  <c r="AF187" i="30" s="1"/>
  <c r="AI187" i="30"/>
  <c r="AH17" i="30"/>
  <c r="AF17" i="30" s="1"/>
  <c r="AI17" i="30"/>
  <c r="AH495" i="30"/>
  <c r="AF495" i="30" s="1"/>
  <c r="AI495" i="30"/>
  <c r="AH25" i="30"/>
  <c r="AF25" i="30" s="1"/>
  <c r="AI25" i="30"/>
  <c r="AH138" i="30"/>
  <c r="AF138" i="30" s="1"/>
  <c r="AI138" i="30"/>
  <c r="AH328" i="30"/>
  <c r="AF328" i="30" s="1"/>
  <c r="AI328" i="30"/>
  <c r="AH399" i="30"/>
  <c r="AF399" i="30" s="1"/>
  <c r="AI399" i="30"/>
  <c r="AH176" i="30"/>
  <c r="AF176" i="30" s="1"/>
  <c r="AI176" i="30"/>
  <c r="AH16" i="30"/>
  <c r="AF16" i="30" s="1"/>
  <c r="AI16" i="30"/>
  <c r="AH43" i="30"/>
  <c r="AF43" i="30" s="1"/>
  <c r="AI43" i="30"/>
  <c r="AH489" i="30"/>
  <c r="AF489" i="30" s="1"/>
  <c r="AI489" i="30"/>
  <c r="AH250" i="30"/>
  <c r="AF250" i="30" s="1"/>
  <c r="AI250" i="30"/>
  <c r="AH307" i="30"/>
  <c r="AF307" i="30" s="1"/>
  <c r="AI307" i="30"/>
  <c r="AH290" i="30"/>
  <c r="AF290" i="30" s="1"/>
  <c r="AI290" i="30"/>
  <c r="AH363" i="30"/>
  <c r="AF363" i="30" s="1"/>
  <c r="AI363" i="30"/>
  <c r="AH90" i="30"/>
  <c r="AI90" i="30"/>
  <c r="AH191" i="30"/>
  <c r="AF191" i="30" s="1"/>
  <c r="AI191" i="30"/>
  <c r="AH448" i="30"/>
  <c r="AF448" i="30" s="1"/>
  <c r="AI448" i="30"/>
  <c r="AH95" i="30"/>
  <c r="AF95" i="30" s="1"/>
  <c r="AI95" i="30"/>
  <c r="AH387" i="30"/>
  <c r="AF387" i="30" s="1"/>
  <c r="AI387" i="30"/>
  <c r="AH434" i="30"/>
  <c r="AF434" i="30" s="1"/>
  <c r="AI434" i="30"/>
  <c r="AH251" i="30"/>
  <c r="AF251" i="30" s="1"/>
  <c r="AI251" i="30"/>
  <c r="AH87" i="30"/>
  <c r="AF87" i="30" s="1"/>
  <c r="AI87" i="30"/>
  <c r="AH377" i="30"/>
  <c r="AF377" i="30" s="1"/>
  <c r="AI377" i="30"/>
  <c r="AH376" i="30"/>
  <c r="AF376" i="30" s="1"/>
  <c r="AI376" i="30"/>
  <c r="AH295" i="30"/>
  <c r="AF295" i="30" s="1"/>
  <c r="AI295" i="30"/>
  <c r="AH259" i="30"/>
  <c r="AF259" i="30" s="1"/>
  <c r="AI259" i="30"/>
  <c r="AH306" i="30"/>
  <c r="AF306" i="30" s="1"/>
  <c r="AI306" i="30"/>
  <c r="AH59" i="30"/>
  <c r="AF59" i="30" s="1"/>
  <c r="AI59" i="30"/>
  <c r="AH479" i="30"/>
  <c r="AF479" i="30" s="1"/>
  <c r="AI479" i="30"/>
  <c r="AH67" i="30"/>
  <c r="AF67" i="30" s="1"/>
  <c r="AI67" i="30"/>
  <c r="AH76" i="30"/>
  <c r="AF76" i="30" s="1"/>
  <c r="AI76" i="30"/>
  <c r="AH235" i="30"/>
  <c r="AF235" i="30" s="1"/>
  <c r="AI235" i="30"/>
  <c r="AH79" i="30"/>
  <c r="AF79" i="30" s="1"/>
  <c r="AI79" i="30"/>
  <c r="AH353" i="30"/>
  <c r="AF353" i="30" s="1"/>
  <c r="AI353" i="30"/>
  <c r="AH52" i="30"/>
  <c r="AF52" i="30" s="1"/>
  <c r="AI52" i="30"/>
  <c r="AH266" i="30"/>
  <c r="AF266" i="30" s="1"/>
  <c r="AI266" i="30"/>
  <c r="AH312" i="30"/>
  <c r="AF312" i="30" s="1"/>
  <c r="AI312" i="30"/>
  <c r="AH12" i="30"/>
  <c r="AF12" i="30" s="1"/>
  <c r="AI12" i="30"/>
  <c r="AH171" i="30"/>
  <c r="AF171" i="30" s="1"/>
  <c r="AI171" i="30"/>
  <c r="AH50" i="30"/>
  <c r="AF50" i="30" s="1"/>
  <c r="AI50" i="30"/>
  <c r="AH378" i="30"/>
  <c r="AF378" i="30" s="1"/>
  <c r="AI378" i="30"/>
  <c r="AH195" i="30"/>
  <c r="AF195" i="30" s="1"/>
  <c r="AI195" i="30"/>
  <c r="AH375" i="30"/>
  <c r="AF375" i="30" s="1"/>
  <c r="AI375" i="30"/>
  <c r="AH179" i="30"/>
  <c r="AF179" i="30" s="1"/>
  <c r="AI179" i="30"/>
  <c r="AH177" i="30"/>
  <c r="AF177" i="30" s="1"/>
  <c r="AI177" i="30"/>
  <c r="AH24" i="30"/>
  <c r="AF24" i="30" s="1"/>
  <c r="AI24" i="30"/>
  <c r="AH343" i="30"/>
  <c r="AF343" i="30" s="1"/>
  <c r="AI343" i="30"/>
  <c r="AH374" i="30"/>
  <c r="AF374" i="30" s="1"/>
  <c r="AI374" i="30"/>
  <c r="AH303" i="30"/>
  <c r="AF303" i="30" s="1"/>
  <c r="AI303" i="30"/>
  <c r="AH337" i="30"/>
  <c r="AF337" i="30" s="1"/>
  <c r="AI337" i="30"/>
  <c r="AH96" i="30"/>
  <c r="AF96" i="30" s="1"/>
  <c r="AI96" i="30"/>
  <c r="AH227" i="30"/>
  <c r="AF227" i="30" s="1"/>
  <c r="AI227" i="30"/>
  <c r="AH483" i="30"/>
  <c r="AF483" i="30" s="1"/>
  <c r="AI483" i="30"/>
  <c r="AH139" i="30"/>
  <c r="AF139" i="30" s="1"/>
  <c r="AI139" i="30"/>
  <c r="AH103" i="30"/>
  <c r="AF103" i="30" s="1"/>
  <c r="AI103" i="30"/>
  <c r="AH474" i="30"/>
  <c r="AF474" i="30" s="1"/>
  <c r="AI474" i="30"/>
  <c r="AH28" i="30"/>
  <c r="AF28" i="30" s="1"/>
  <c r="AI28" i="30"/>
  <c r="AH288" i="30"/>
  <c r="AF288" i="30" s="1"/>
  <c r="AI288" i="30"/>
  <c r="AH338" i="30"/>
  <c r="AF338" i="30" s="1"/>
  <c r="AI338" i="30"/>
  <c r="AH186" i="30"/>
  <c r="AF186" i="30" s="1"/>
  <c r="AI186" i="30"/>
  <c r="AH185" i="30"/>
  <c r="AF185" i="30" s="1"/>
  <c r="AI185" i="30"/>
  <c r="AH154" i="30"/>
  <c r="AF154" i="30" s="1"/>
  <c r="AI154" i="30"/>
  <c r="AH99" i="30"/>
  <c r="AF99" i="30" s="1"/>
  <c r="AI99" i="30"/>
  <c r="AH355" i="30"/>
  <c r="AF355" i="30" s="1"/>
  <c r="AI355" i="30"/>
  <c r="AH243" i="30"/>
  <c r="AF243" i="30" s="1"/>
  <c r="AI243" i="30"/>
  <c r="AH105" i="30"/>
  <c r="AF105" i="30" s="1"/>
  <c r="AI105" i="30"/>
  <c r="AH8" i="30"/>
  <c r="AF8" i="30" s="1"/>
  <c r="AI8" i="30"/>
  <c r="AH123" i="30"/>
  <c r="AF123" i="30" s="1"/>
  <c r="AI123" i="30"/>
  <c r="AH408" i="30"/>
  <c r="AF408" i="30" s="1"/>
  <c r="AI408" i="30"/>
  <c r="AH490" i="30"/>
  <c r="AF490" i="30" s="1"/>
  <c r="AI490" i="30"/>
  <c r="AH172" i="30"/>
  <c r="AF172" i="30" s="1"/>
  <c r="AI172" i="30"/>
  <c r="AH402" i="30"/>
  <c r="AF402" i="30" s="1"/>
  <c r="AI402" i="30"/>
  <c r="AH470" i="30"/>
  <c r="AF470" i="30" s="1"/>
  <c r="AI470" i="30"/>
  <c r="AH218" i="30"/>
  <c r="AF218" i="30" s="1"/>
  <c r="AI218" i="30"/>
  <c r="AH403" i="30"/>
  <c r="AF403" i="30" s="1"/>
  <c r="AI403" i="30"/>
  <c r="AH192" i="30"/>
  <c r="AF192" i="30" s="1"/>
  <c r="AI192" i="30"/>
  <c r="AH54" i="30"/>
  <c r="AI54" i="30"/>
  <c r="AH19" i="30"/>
  <c r="AF19" i="30" s="1"/>
  <c r="AI19" i="30"/>
  <c r="AH293" i="30"/>
  <c r="AF293" i="30" s="1"/>
  <c r="AI293" i="30"/>
  <c r="AH389" i="30"/>
  <c r="AF389" i="30" s="1"/>
  <c r="AI389" i="30"/>
  <c r="AH348" i="30"/>
  <c r="AF348" i="30" s="1"/>
  <c r="AI348" i="30"/>
  <c r="AH371" i="30"/>
  <c r="AF371" i="30" s="1"/>
  <c r="AI371" i="30"/>
  <c r="AH131" i="30"/>
  <c r="AF131" i="30" s="1"/>
  <c r="AI131" i="30"/>
  <c r="AH482" i="30"/>
  <c r="AF482" i="30" s="1"/>
  <c r="AI482" i="30"/>
  <c r="AH351" i="30"/>
  <c r="AF351" i="30" s="1"/>
  <c r="AI351" i="30"/>
  <c r="AH362" i="30"/>
  <c r="AF362" i="30" s="1"/>
  <c r="AI362" i="30"/>
  <c r="AH115" i="30"/>
  <c r="AF115" i="30" s="1"/>
  <c r="AI115" i="30"/>
  <c r="AH248" i="30"/>
  <c r="AF248" i="30" s="1"/>
  <c r="AI248" i="30"/>
  <c r="AH368" i="30"/>
  <c r="AF368" i="30" s="1"/>
  <c r="AI368" i="30"/>
  <c r="AH255" i="30"/>
  <c r="AF255" i="30" s="1"/>
  <c r="AI255" i="30"/>
  <c r="AH75" i="30"/>
  <c r="AF75" i="30" s="1"/>
  <c r="AI75" i="30"/>
  <c r="AH32" i="30"/>
  <c r="AF32" i="30" s="1"/>
  <c r="AI32" i="30"/>
  <c r="AH137" i="30"/>
  <c r="AF137" i="30" s="1"/>
  <c r="AI137" i="30"/>
  <c r="AH409" i="30"/>
  <c r="AF409" i="30" s="1"/>
  <c r="AI409" i="30"/>
  <c r="AH161" i="30"/>
  <c r="AF161" i="30" s="1"/>
  <c r="AI161" i="30"/>
  <c r="AH183" i="30"/>
  <c r="AF183" i="30" s="1"/>
  <c r="AI183" i="30"/>
  <c r="AH89" i="30"/>
  <c r="AF89" i="30" s="1"/>
  <c r="AI89" i="30"/>
  <c r="AH152" i="30"/>
  <c r="AF152" i="30" s="1"/>
  <c r="AI152" i="30"/>
  <c r="AH463" i="30"/>
  <c r="AF463" i="30" s="1"/>
  <c r="AI463" i="30"/>
  <c r="AH65" i="30"/>
  <c r="AF65" i="30" s="1"/>
  <c r="AI65" i="30"/>
  <c r="AH31" i="30"/>
  <c r="AF31" i="30" s="1"/>
  <c r="AI31" i="30"/>
  <c r="AH40" i="30"/>
  <c r="AF40" i="30" s="1"/>
  <c r="AI40" i="30"/>
  <c r="AH128" i="30"/>
  <c r="AF128" i="30" s="1"/>
  <c r="AI128" i="30"/>
  <c r="AH297" i="30"/>
  <c r="AF297" i="30" s="1"/>
  <c r="AI297" i="30"/>
  <c r="AH418" i="30"/>
  <c r="AF418" i="30" s="1"/>
  <c r="AI418" i="30"/>
  <c r="AH481" i="30"/>
  <c r="AF481" i="30" s="1"/>
  <c r="AI481" i="30"/>
  <c r="AH42" i="30"/>
  <c r="AI42" i="30"/>
  <c r="AH209" i="30"/>
  <c r="AF209" i="30" s="1"/>
  <c r="AI209" i="30"/>
  <c r="AH98" i="30"/>
  <c r="AF98" i="30" s="1"/>
  <c r="AI98" i="30"/>
  <c r="AH168" i="30"/>
  <c r="AF168" i="30" s="1"/>
  <c r="AI168" i="30"/>
  <c r="AH385" i="30"/>
  <c r="AF385" i="30" s="1"/>
  <c r="AI385" i="30"/>
  <c r="AH369" i="30"/>
  <c r="AF369" i="30" s="1"/>
  <c r="AI369" i="30"/>
  <c r="AH263" i="30"/>
  <c r="AF263" i="30" s="1"/>
  <c r="AI263" i="30"/>
  <c r="AH432" i="30"/>
  <c r="AF432" i="30" s="1"/>
  <c r="AI432" i="30"/>
  <c r="AH15" i="30"/>
  <c r="AF15" i="30" s="1"/>
  <c r="AI15" i="30"/>
  <c r="AH398" i="30"/>
  <c r="AF398" i="30" s="1"/>
  <c r="AI398" i="30"/>
  <c r="AH431" i="30"/>
  <c r="AF431" i="30" s="1"/>
  <c r="AI431" i="30"/>
  <c r="AH240" i="30"/>
  <c r="AF240" i="30" s="1"/>
  <c r="AI240" i="30"/>
  <c r="AH272" i="30"/>
  <c r="AF272" i="30" s="1"/>
  <c r="AI272" i="30"/>
  <c r="AH321" i="30"/>
  <c r="AF321" i="30" s="1"/>
  <c r="AI321" i="30"/>
  <c r="AH144" i="30"/>
  <c r="AF144" i="30" s="1"/>
  <c r="AI144" i="30"/>
  <c r="AH11" i="30"/>
  <c r="AF11" i="30" s="1"/>
  <c r="AI11" i="30"/>
  <c r="AH384" i="30"/>
  <c r="AF384" i="30" s="1"/>
  <c r="AI384" i="30"/>
  <c r="AH335" i="30"/>
  <c r="AF335" i="30" s="1"/>
  <c r="AI335" i="30"/>
  <c r="AH435" i="30"/>
  <c r="AF435" i="30" s="1"/>
  <c r="AI435" i="30"/>
  <c r="AH327" i="30"/>
  <c r="AF327" i="30" s="1"/>
  <c r="AI327" i="30"/>
  <c r="AH471" i="30"/>
  <c r="AF471" i="30" s="1"/>
  <c r="AI471" i="30"/>
  <c r="AH175" i="30"/>
  <c r="AF175" i="30" s="1"/>
  <c r="AI175" i="30"/>
  <c r="AH344" i="30"/>
  <c r="AF344" i="30" s="1"/>
  <c r="AI344" i="30"/>
  <c r="AH305" i="30"/>
  <c r="AF305" i="30" s="1"/>
  <c r="AI305" i="30"/>
  <c r="AH224" i="30"/>
  <c r="AF224" i="30" s="1"/>
  <c r="AI224" i="30"/>
  <c r="AH64" i="30"/>
  <c r="AF64" i="30" s="1"/>
  <c r="AI64" i="30"/>
  <c r="AH383" i="30"/>
  <c r="AF383" i="30" s="1"/>
  <c r="AI383" i="30"/>
  <c r="AH60" i="30"/>
  <c r="AF60" i="30" s="1"/>
  <c r="AI60" i="30"/>
  <c r="AH18" i="30"/>
  <c r="AI18" i="30"/>
  <c r="AH143" i="30"/>
  <c r="AF143" i="30" s="1"/>
  <c r="AI143" i="30"/>
  <c r="AH257" i="30"/>
  <c r="AF257" i="30" s="1"/>
  <c r="AI257" i="30"/>
  <c r="AH142" i="30"/>
  <c r="AF142" i="30" s="1"/>
  <c r="AI142" i="30"/>
  <c r="AH416" i="30"/>
  <c r="AF416" i="30" s="1"/>
  <c r="AI416" i="30"/>
  <c r="AH223" i="30"/>
  <c r="AF223" i="30" s="1"/>
  <c r="AI223" i="30"/>
  <c r="AH219" i="30"/>
  <c r="AF219" i="30" s="1"/>
  <c r="AI219" i="30"/>
  <c r="AH113" i="30"/>
  <c r="AF113" i="30" s="1"/>
  <c r="AI113" i="30"/>
  <c r="AH55" i="30"/>
  <c r="AF55" i="30" s="1"/>
  <c r="AI55" i="30"/>
  <c r="AH304" i="30"/>
  <c r="AF304" i="30" s="1"/>
  <c r="AI304" i="30"/>
  <c r="AH78" i="30"/>
  <c r="AI78" i="30"/>
  <c r="AH63" i="30"/>
  <c r="AF63" i="30" s="1"/>
  <c r="AI63" i="30"/>
  <c r="AH464" i="30"/>
  <c r="AF464" i="30" s="1"/>
  <c r="AI464" i="30"/>
  <c r="AH279" i="30"/>
  <c r="AF279" i="30" s="1"/>
  <c r="AI279" i="30"/>
  <c r="AH73" i="30"/>
  <c r="AF73" i="30" s="1"/>
  <c r="AI73" i="30"/>
  <c r="AH170" i="30"/>
  <c r="AF170" i="30" s="1"/>
  <c r="AI170" i="30"/>
  <c r="AH457" i="30"/>
  <c r="AF457" i="30" s="1"/>
  <c r="AI457" i="30"/>
  <c r="AH136" i="30"/>
  <c r="AF136" i="30" s="1"/>
  <c r="AI136" i="30"/>
  <c r="AH417" i="30"/>
  <c r="AF417" i="30" s="1"/>
  <c r="AI417" i="30"/>
  <c r="AH439" i="30"/>
  <c r="AF439" i="30" s="1"/>
  <c r="AI439" i="30"/>
  <c r="AH359" i="30"/>
  <c r="AF359" i="30" s="1"/>
  <c r="AI359" i="30"/>
  <c r="AH275" i="30"/>
  <c r="AF275" i="30" s="1"/>
  <c r="AI275" i="30"/>
  <c r="AH360" i="30"/>
  <c r="AF360" i="30" s="1"/>
  <c r="AI360" i="30"/>
  <c r="AH208" i="30"/>
  <c r="AF208" i="30" s="1"/>
  <c r="AI208" i="30"/>
  <c r="AH391" i="30"/>
  <c r="AF391" i="30" s="1"/>
  <c r="AI391" i="30"/>
  <c r="AH488" i="30"/>
  <c r="AF488" i="30" s="1"/>
  <c r="AI488" i="30"/>
  <c r="AH287" i="30"/>
  <c r="AF287" i="30" s="1"/>
  <c r="AI287" i="30"/>
  <c r="AH57" i="30"/>
  <c r="AF57" i="30" s="1"/>
  <c r="AI57" i="30"/>
  <c r="AH346" i="30"/>
  <c r="AF346" i="30" s="1"/>
  <c r="AI346" i="30"/>
  <c r="AH88" i="30"/>
  <c r="AF88" i="30" s="1"/>
  <c r="AI88" i="30"/>
  <c r="AH231" i="30"/>
  <c r="AF231" i="30" s="1"/>
  <c r="AI231" i="30"/>
  <c r="AH393" i="30"/>
  <c r="AF393" i="30" s="1"/>
  <c r="AI393" i="30"/>
  <c r="AH472" i="30"/>
  <c r="AF472" i="30" s="1"/>
  <c r="AI472" i="30"/>
  <c r="AH156" i="30"/>
  <c r="AF156" i="30" s="1"/>
  <c r="AI156" i="30"/>
  <c r="AH361" i="30"/>
  <c r="AF361" i="30" s="1"/>
  <c r="AI361" i="30"/>
  <c r="AH147" i="30"/>
  <c r="AF147" i="30" s="1"/>
  <c r="AI147" i="30"/>
  <c r="AH178" i="30"/>
  <c r="AF178" i="30" s="1"/>
  <c r="AI178" i="30"/>
  <c r="AH450" i="30"/>
  <c r="AF450" i="30" s="1"/>
  <c r="AI450" i="30"/>
  <c r="AH82" i="30"/>
  <c r="AF82" i="30" s="1"/>
  <c r="AI82" i="30"/>
  <c r="AI162" i="30"/>
  <c r="AH162" i="30"/>
  <c r="AF162" i="30" s="1"/>
  <c r="AH10" i="30"/>
  <c r="AF10" i="30" s="1"/>
  <c r="AI10" i="30"/>
  <c r="AH122" i="30"/>
  <c r="AF122" i="30" s="1"/>
  <c r="AI122" i="30"/>
  <c r="AI449" i="30"/>
  <c r="AH449" i="30"/>
  <c r="AF449" i="30" s="1"/>
  <c r="AH193" i="30"/>
  <c r="AF193" i="30" s="1"/>
  <c r="AI193" i="30"/>
  <c r="AH215" i="30"/>
  <c r="AF215" i="30" s="1"/>
  <c r="AI215" i="30"/>
  <c r="AH494" i="30"/>
  <c r="AF494" i="30" s="1"/>
  <c r="AI494" i="30"/>
  <c r="AH169" i="30"/>
  <c r="AF169" i="30" s="1"/>
  <c r="AI169" i="30"/>
  <c r="AH296" i="30"/>
  <c r="AF296" i="30" s="1"/>
  <c r="AI296" i="30"/>
  <c r="AH298" i="30"/>
  <c r="AF298" i="30" s="1"/>
  <c r="AI298" i="30"/>
  <c r="AH145" i="30"/>
  <c r="AF145" i="30" s="1"/>
  <c r="AI145" i="30"/>
  <c r="AH423" i="30"/>
  <c r="AF423" i="30" s="1"/>
  <c r="AI423" i="30"/>
  <c r="AH9" i="30"/>
  <c r="AF9" i="30" s="1"/>
  <c r="AI9" i="30"/>
  <c r="AH458" i="30"/>
  <c r="AF458" i="30" s="1"/>
  <c r="AI458" i="30"/>
  <c r="AH34" i="30"/>
  <c r="AF34" i="30" s="1"/>
  <c r="AI34" i="30"/>
  <c r="AH289" i="30"/>
  <c r="AF289" i="30" s="1"/>
  <c r="AI289" i="30"/>
  <c r="AH311" i="30"/>
  <c r="AF311" i="30" s="1"/>
  <c r="AI311" i="30"/>
  <c r="AH120" i="30"/>
  <c r="AF120" i="30" s="1"/>
  <c r="AI120" i="30"/>
  <c r="AH202" i="30"/>
  <c r="AF202" i="30" s="1"/>
  <c r="AI202" i="30"/>
  <c r="AH241" i="30"/>
  <c r="AF241" i="30" s="1"/>
  <c r="AI241" i="30"/>
  <c r="AH487" i="30"/>
  <c r="AF487" i="30" s="1"/>
  <c r="AI487" i="30"/>
  <c r="AH216" i="30"/>
  <c r="AF216" i="30" s="1"/>
  <c r="AI216" i="30"/>
  <c r="AH447" i="30"/>
  <c r="AF447" i="30" s="1"/>
  <c r="AI447" i="30"/>
  <c r="AH400" i="30"/>
  <c r="AF400" i="30" s="1"/>
  <c r="AI400" i="30"/>
  <c r="AH153" i="30"/>
  <c r="AF153" i="30" s="1"/>
  <c r="AI153" i="30"/>
  <c r="AH424" i="30"/>
  <c r="AF424" i="30" s="1"/>
  <c r="AI424" i="30"/>
  <c r="AH106" i="30"/>
  <c r="AF106" i="30" s="1"/>
  <c r="AI106" i="30"/>
  <c r="AH352" i="30"/>
  <c r="AF352" i="30" s="1"/>
  <c r="AI352" i="30"/>
  <c r="AH83" i="30"/>
  <c r="AF83" i="30" s="1"/>
  <c r="AI83" i="30"/>
  <c r="AH225" i="30"/>
  <c r="AF225" i="30" s="1"/>
  <c r="AI225" i="30"/>
  <c r="AH401" i="30"/>
  <c r="AF401" i="30" s="1"/>
  <c r="AI401" i="30"/>
  <c r="AH160" i="30"/>
  <c r="AF160" i="30" s="1"/>
  <c r="AI160" i="30"/>
  <c r="AH329" i="30"/>
  <c r="AF329" i="30" s="1"/>
  <c r="AI329" i="30"/>
  <c r="AH151" i="30"/>
  <c r="AF151" i="30" s="1"/>
  <c r="AI151" i="30"/>
  <c r="AH66" i="30"/>
  <c r="AI66" i="30"/>
  <c r="AH26" i="30"/>
  <c r="AF26" i="30" s="1"/>
  <c r="AI26" i="30"/>
  <c r="AH48" i="30"/>
  <c r="AF48" i="30" s="1"/>
  <c r="AI48" i="30"/>
  <c r="AH35" i="30"/>
  <c r="AF35" i="30" s="1"/>
  <c r="AI35" i="30"/>
  <c r="AH111" i="30"/>
  <c r="AF111" i="30" s="1"/>
  <c r="AI111" i="30"/>
  <c r="AH265" i="30"/>
  <c r="AF265" i="30" s="1"/>
  <c r="AI265" i="30"/>
  <c r="AH480" i="30"/>
  <c r="AF480" i="30" s="1"/>
  <c r="AI480" i="30"/>
  <c r="AH336" i="30"/>
  <c r="AF336" i="30" s="1"/>
  <c r="AI336" i="30"/>
  <c r="AH201" i="30"/>
  <c r="AF201" i="30" s="1"/>
  <c r="AI201" i="30"/>
  <c r="AH81" i="30"/>
  <c r="AF81" i="30" s="1"/>
  <c r="AI81" i="30"/>
  <c r="AH247" i="30"/>
  <c r="AF247" i="30" s="1"/>
  <c r="AI247" i="30"/>
  <c r="AH232" i="30"/>
  <c r="AF232" i="30" s="1"/>
  <c r="AI232" i="30"/>
  <c r="AH33" i="30"/>
  <c r="AF33" i="30" s="1"/>
  <c r="AI33" i="30"/>
  <c r="AH323" i="30"/>
  <c r="AF323" i="30" s="1"/>
  <c r="AI323" i="30"/>
  <c r="AH80" i="30"/>
  <c r="AF80" i="30" s="1"/>
  <c r="AI80" i="30"/>
  <c r="AH271" i="30"/>
  <c r="AF271" i="30" s="1"/>
  <c r="AI271" i="30"/>
  <c r="AH47" i="30"/>
  <c r="AF47" i="30" s="1"/>
  <c r="AI47" i="30"/>
  <c r="AH74" i="30"/>
  <c r="AF74" i="30" s="1"/>
  <c r="AI74" i="30"/>
  <c r="AH497" i="30"/>
  <c r="AF497" i="30" s="1"/>
  <c r="AI497" i="30"/>
  <c r="AH107" i="30"/>
  <c r="AF107" i="30" s="1"/>
  <c r="AI107" i="30"/>
  <c r="AH121" i="30"/>
  <c r="AF121" i="30" s="1"/>
  <c r="AI121" i="30"/>
  <c r="AH104" i="30"/>
  <c r="AF104" i="30" s="1"/>
  <c r="AI104" i="30"/>
  <c r="AH465" i="30"/>
  <c r="AF465" i="30" s="1"/>
  <c r="AI465" i="30"/>
  <c r="AH320" i="30"/>
  <c r="AF320" i="30" s="1"/>
  <c r="AI320" i="30"/>
  <c r="AH370" i="30"/>
  <c r="AF370" i="30" s="1"/>
  <c r="AI370" i="30"/>
  <c r="AH158" i="30"/>
  <c r="AF158" i="30" s="1"/>
  <c r="AI158" i="30"/>
  <c r="AH129" i="30"/>
  <c r="AF129" i="30" s="1"/>
  <c r="AI129" i="30"/>
  <c r="AH119" i="30"/>
  <c r="AF119" i="30" s="1"/>
  <c r="AI119" i="30"/>
  <c r="AH454" i="30"/>
  <c r="AF454" i="30" s="1"/>
  <c r="AI454" i="30"/>
  <c r="AH440" i="30"/>
  <c r="AF440" i="30" s="1"/>
  <c r="AI440" i="30"/>
  <c r="AH256" i="30"/>
  <c r="AF256" i="30" s="1"/>
  <c r="AI256" i="30"/>
  <c r="AH425" i="30"/>
  <c r="AF425" i="30" s="1"/>
  <c r="AI425" i="30"/>
  <c r="AH433" i="30"/>
  <c r="AF433" i="30" s="1"/>
  <c r="AI433" i="30"/>
  <c r="AH267" i="30"/>
  <c r="AF267" i="30" s="1"/>
  <c r="AI267" i="30"/>
  <c r="AH233" i="30"/>
  <c r="AF233" i="30" s="1"/>
  <c r="AI233" i="30"/>
  <c r="AH167" i="30"/>
  <c r="AF167" i="30" s="1"/>
  <c r="AI167" i="30"/>
  <c r="AH246" i="30"/>
  <c r="AF246" i="30" s="1"/>
  <c r="AI246" i="30"/>
  <c r="AH41" i="30"/>
  <c r="AF41" i="30" s="1"/>
  <c r="AI41" i="30"/>
  <c r="AH207" i="30"/>
  <c r="AF207" i="30" s="1"/>
  <c r="AI207" i="30"/>
  <c r="AH319" i="30"/>
  <c r="AF319" i="30" s="1"/>
  <c r="AI319" i="30"/>
  <c r="AH496" i="30"/>
  <c r="AF496" i="30" s="1"/>
  <c r="AI496" i="30"/>
  <c r="AH281" i="30"/>
  <c r="AF281" i="30" s="1"/>
  <c r="AI281" i="30"/>
  <c r="AH217" i="30"/>
  <c r="AF217" i="30" s="1"/>
  <c r="AI217" i="30"/>
  <c r="AH49" i="30"/>
  <c r="AF49" i="30" s="1"/>
  <c r="AI49" i="30"/>
  <c r="AH159" i="30"/>
  <c r="AF159" i="30" s="1"/>
  <c r="AI159" i="30"/>
  <c r="AH280" i="30"/>
  <c r="AF280" i="30" s="1"/>
  <c r="AI280" i="30"/>
  <c r="Y255" i="30" a="1"/>
  <c r="Y255" i="30" s="1"/>
  <c r="W255" i="30" s="1"/>
  <c r="Z255" i="30"/>
  <c r="Y318" i="30" a="1"/>
  <c r="Y318" i="30" s="1"/>
  <c r="W318" i="30" s="1"/>
  <c r="Z318" i="30"/>
  <c r="Y421" i="30" a="1"/>
  <c r="Y421" i="30" s="1"/>
  <c r="W421" i="30" s="1"/>
  <c r="Z421" i="30"/>
  <c r="Y169" i="30" a="1"/>
  <c r="Y169" i="30" s="1"/>
  <c r="W169" i="30" s="1"/>
  <c r="Z169" i="30"/>
  <c r="Y116" i="30" a="1"/>
  <c r="Y116" i="30" s="1"/>
  <c r="W116" i="30" s="1"/>
  <c r="Z116" i="30"/>
  <c r="Y224" i="30" a="1"/>
  <c r="Y224" i="30" s="1"/>
  <c r="W224" i="30" s="1"/>
  <c r="Z224" i="30"/>
  <c r="Y326" i="30" a="1"/>
  <c r="Y326" i="30" s="1"/>
  <c r="W326" i="30" s="1"/>
  <c r="Z326" i="30"/>
  <c r="Y49" i="30" a="1"/>
  <c r="Y49" i="30" s="1"/>
  <c r="W49" i="30" s="1"/>
  <c r="Z49" i="30"/>
  <c r="Y53" i="30" a="1"/>
  <c r="Y53" i="30" s="1"/>
  <c r="W53" i="30" s="1"/>
  <c r="Z53" i="30"/>
  <c r="Z124" i="30"/>
  <c r="Y124" i="30" a="1"/>
  <c r="Y124" i="30" s="1"/>
  <c r="W124" i="30" s="1"/>
  <c r="Y193" i="30" a="1"/>
  <c r="Y193" i="30" s="1"/>
  <c r="W193" i="30" s="1"/>
  <c r="Z193" i="30"/>
  <c r="Y302" i="30" a="1"/>
  <c r="Y302" i="30" s="1"/>
  <c r="W302" i="30" s="1"/>
  <c r="Z302" i="30"/>
  <c r="Y110" i="30" a="1"/>
  <c r="Y110" i="30" s="1"/>
  <c r="W110" i="30" s="1"/>
  <c r="Z110" i="30"/>
  <c r="Y17" i="30" a="1"/>
  <c r="Y17" i="30" s="1"/>
  <c r="W17" i="30" s="1"/>
  <c r="Z17" i="30"/>
  <c r="Y100" i="30" a="1"/>
  <c r="Y100" i="30" s="1"/>
  <c r="W100" i="30" s="1"/>
  <c r="Z100" i="30"/>
  <c r="Y270" i="30" a="1"/>
  <c r="Y270" i="30" s="1"/>
  <c r="W270" i="30" s="1"/>
  <c r="Z270" i="30"/>
  <c r="Y322" i="30" a="1"/>
  <c r="Y322" i="30" s="1"/>
  <c r="W322" i="30" s="1"/>
  <c r="Z322" i="30"/>
  <c r="Y144" i="30" a="1"/>
  <c r="Y144" i="30" s="1"/>
  <c r="W144" i="30" s="1"/>
  <c r="Z144" i="30"/>
  <c r="Y251" i="30" a="1"/>
  <c r="Y251" i="30" s="1"/>
  <c r="W251" i="30" s="1"/>
  <c r="Z251" i="30"/>
  <c r="Y262" i="30" a="1"/>
  <c r="Y262" i="30" s="1"/>
  <c r="W262" i="30" s="1"/>
  <c r="Z262" i="30"/>
  <c r="Y247" i="30" a="1"/>
  <c r="Y247" i="30" s="1"/>
  <c r="W247" i="30" s="1"/>
  <c r="Z247" i="30"/>
  <c r="Y225" i="30" a="1"/>
  <c r="Y225" i="30" s="1"/>
  <c r="W225" i="30" s="1"/>
  <c r="Z225" i="30"/>
  <c r="Y164" i="30" a="1"/>
  <c r="Y164" i="30" s="1"/>
  <c r="W164" i="30" s="1"/>
  <c r="Z164" i="30"/>
  <c r="Y130" i="30" a="1"/>
  <c r="Y130" i="30" s="1"/>
  <c r="W130" i="30" s="1"/>
  <c r="Z130" i="30"/>
  <c r="Y277" i="30" a="1"/>
  <c r="Y277" i="30" s="1"/>
  <c r="W277" i="30" s="1"/>
  <c r="Z277" i="30"/>
  <c r="Y307" i="30" a="1"/>
  <c r="Y307" i="30" s="1"/>
  <c r="W307" i="30" s="1"/>
  <c r="Z307" i="30"/>
  <c r="Y25" i="30" a="1"/>
  <c r="Y25" i="30" s="1"/>
  <c r="W25" i="30" s="1"/>
  <c r="Z25" i="30"/>
  <c r="Y203" i="30" a="1"/>
  <c r="Y203" i="30" s="1"/>
  <c r="W203" i="30" s="1"/>
  <c r="Z203" i="30"/>
  <c r="Y71" i="30" a="1"/>
  <c r="Y71" i="30" s="1"/>
  <c r="W71" i="30" s="1"/>
  <c r="Z71" i="30"/>
  <c r="Y16" i="30" a="1"/>
  <c r="Y16" i="30" s="1"/>
  <c r="W16" i="30" s="1"/>
  <c r="Z16" i="30"/>
  <c r="Y260" i="30" a="1"/>
  <c r="Y260" i="30" s="1"/>
  <c r="W260" i="30" s="1"/>
  <c r="Z260" i="30"/>
  <c r="Y57" i="30" a="1"/>
  <c r="Y57" i="30" s="1"/>
  <c r="W57" i="30" s="1"/>
  <c r="Z57" i="30"/>
  <c r="Y38" i="30" a="1"/>
  <c r="Y38" i="30" s="1"/>
  <c r="W38" i="30" s="1"/>
  <c r="Z38" i="30"/>
  <c r="Y311" i="30" a="1"/>
  <c r="Y311" i="30" s="1"/>
  <c r="W311" i="30" s="1"/>
  <c r="Z311" i="30"/>
  <c r="Y220" i="30" a="1"/>
  <c r="Y220" i="30" s="1"/>
  <c r="W220" i="30" s="1"/>
  <c r="Z220" i="30"/>
  <c r="Y133" i="30" a="1"/>
  <c r="Y133" i="30" s="1"/>
  <c r="W133" i="30" s="1"/>
  <c r="Z133" i="30"/>
  <c r="Y499" i="30" a="1"/>
  <c r="Y499" i="30" s="1"/>
  <c r="W499" i="30" s="1"/>
  <c r="Z499" i="30"/>
  <c r="Y28" i="30" a="1"/>
  <c r="Y28" i="30" s="1"/>
  <c r="W28" i="30" s="1"/>
  <c r="Z28" i="30"/>
  <c r="Y242" i="30" a="1"/>
  <c r="Y242" i="30" s="1"/>
  <c r="W242" i="30" s="1"/>
  <c r="Z242" i="30"/>
  <c r="Y151" i="30" a="1"/>
  <c r="Y151" i="30" s="1"/>
  <c r="W151" i="30" s="1"/>
  <c r="Z151" i="30"/>
  <c r="Z73" i="30"/>
  <c r="Y73" i="30" a="1"/>
  <c r="Y73" i="30" s="1"/>
  <c r="W73" i="30" s="1"/>
  <c r="Y197" i="30" a="1"/>
  <c r="Y197" i="30" s="1"/>
  <c r="W197" i="30" s="1"/>
  <c r="Z197" i="30"/>
  <c r="Y43" i="30" a="1"/>
  <c r="Y43" i="30" s="1"/>
  <c r="W43" i="30" s="1"/>
  <c r="Z43" i="30"/>
  <c r="Y369" i="30" a="1"/>
  <c r="Y369" i="30" s="1"/>
  <c r="W369" i="30" s="1"/>
  <c r="Z369" i="30"/>
  <c r="Y254" i="30" a="1"/>
  <c r="Y254" i="30" s="1"/>
  <c r="W254" i="30" s="1"/>
  <c r="Z254" i="30"/>
  <c r="Y167" i="30" a="1"/>
  <c r="Y167" i="30" s="1"/>
  <c r="W167" i="30" s="1"/>
  <c r="Z167" i="30"/>
  <c r="Y52" i="30" a="1"/>
  <c r="Y52" i="30" s="1"/>
  <c r="W52" i="30" s="1"/>
  <c r="Z52" i="30"/>
  <c r="Y207" i="30" a="1"/>
  <c r="Y207" i="30" s="1"/>
  <c r="W207" i="30" s="1"/>
  <c r="Z207" i="30"/>
  <c r="Y380" i="30" a="1"/>
  <c r="Y380" i="30" s="1"/>
  <c r="W380" i="30" s="1"/>
  <c r="Z380" i="30"/>
  <c r="Y309" i="30" a="1"/>
  <c r="Y309" i="30" s="1"/>
  <c r="W309" i="30" s="1"/>
  <c r="Z309" i="30"/>
  <c r="Y59" i="30" a="1"/>
  <c r="Y59" i="30" s="1"/>
  <c r="W59" i="30" s="1"/>
  <c r="Z59" i="30"/>
  <c r="Y320" i="30" a="1"/>
  <c r="Y320" i="30" s="1"/>
  <c r="W320" i="30" s="1"/>
  <c r="Z320" i="30"/>
  <c r="Y208" i="30" a="1"/>
  <c r="Y208" i="30" s="1"/>
  <c r="W208" i="30" s="1"/>
  <c r="Z208" i="30"/>
  <c r="Y245" i="30" a="1"/>
  <c r="Y245" i="30" s="1"/>
  <c r="W245" i="30" s="1"/>
  <c r="Z245" i="30"/>
  <c r="Y99" i="30" a="1"/>
  <c r="Y99" i="30" s="1"/>
  <c r="W99" i="30" s="1"/>
  <c r="Z99" i="30"/>
  <c r="Y37" i="30" a="1"/>
  <c r="Y37" i="30" s="1"/>
  <c r="W37" i="30" s="1"/>
  <c r="Z37" i="30"/>
  <c r="Y96" i="30" a="1"/>
  <c r="Y96" i="30" s="1"/>
  <c r="W96" i="30" s="1"/>
  <c r="Z96" i="30"/>
  <c r="Y79" i="30" a="1"/>
  <c r="Y79" i="30" s="1"/>
  <c r="W79" i="30" s="1"/>
  <c r="Z79" i="30"/>
  <c r="Y132" i="30" a="1"/>
  <c r="Y132" i="30" s="1"/>
  <c r="W132" i="30" s="1"/>
  <c r="Z132" i="30"/>
  <c r="Y9" i="30" a="1"/>
  <c r="Y9" i="30" s="1"/>
  <c r="W9" i="30" s="1"/>
  <c r="Z9" i="30"/>
  <c r="Y149" i="30" a="1"/>
  <c r="Y149" i="30" s="1"/>
  <c r="W149" i="30" s="1"/>
  <c r="Z149" i="30"/>
  <c r="Y97" i="30" a="1"/>
  <c r="Y97" i="30" s="1"/>
  <c r="W97" i="30" s="1"/>
  <c r="Z97" i="30"/>
  <c r="Y206" i="30" a="1"/>
  <c r="Y206" i="30" s="1"/>
  <c r="W206" i="30" s="1"/>
  <c r="Z206" i="30"/>
  <c r="Y26" i="30" a="1"/>
  <c r="Y26" i="30" s="1"/>
  <c r="W26" i="30" s="1"/>
  <c r="Z26" i="30"/>
  <c r="Y61" i="30" a="1"/>
  <c r="Y61" i="30" s="1"/>
  <c r="W61" i="30" s="1"/>
  <c r="Z61" i="30"/>
  <c r="Y488" i="30" a="1"/>
  <c r="Y488" i="30" s="1"/>
  <c r="W488" i="30" s="1"/>
  <c r="Z488" i="30"/>
  <c r="Y283" i="30" a="1"/>
  <c r="Y283" i="30" s="1"/>
  <c r="W283" i="30" s="1"/>
  <c r="Z283" i="30"/>
  <c r="Y182" i="30" a="1"/>
  <c r="Y182" i="30" s="1"/>
  <c r="W182" i="30" s="1"/>
  <c r="Z182" i="30"/>
  <c r="Y74" i="30" a="1"/>
  <c r="Y74" i="30" s="1"/>
  <c r="W74" i="30" s="1"/>
  <c r="Z74" i="30"/>
  <c r="Y67" i="30" a="1"/>
  <c r="Y67" i="30" s="1"/>
  <c r="W67" i="30" s="1"/>
  <c r="Z67" i="30"/>
  <c r="Z325" i="30"/>
  <c r="Y325" i="30" a="1"/>
  <c r="Y325" i="30" s="1"/>
  <c r="W325" i="30" s="1"/>
  <c r="Y148" i="30" a="1"/>
  <c r="Y148" i="30" s="1"/>
  <c r="W148" i="30" s="1"/>
  <c r="Z148" i="30"/>
  <c r="Y194" i="30" a="1"/>
  <c r="Y194" i="30" s="1"/>
  <c r="W194" i="30" s="1"/>
  <c r="Z194" i="30"/>
  <c r="Y29" i="30" a="1"/>
  <c r="Y29" i="30" s="1"/>
  <c r="W29" i="30" s="1"/>
  <c r="Z29" i="30"/>
  <c r="Y252" i="30" a="1"/>
  <c r="Y252" i="30" s="1"/>
  <c r="W252" i="30" s="1"/>
  <c r="Z252" i="30"/>
  <c r="Y364" i="30" a="1"/>
  <c r="Y364" i="30" s="1"/>
  <c r="W364" i="30" s="1"/>
  <c r="Z364" i="30"/>
  <c r="Y410" i="30" a="1"/>
  <c r="Y410" i="30" s="1"/>
  <c r="W410" i="30" s="1"/>
  <c r="Z410" i="30"/>
  <c r="Y275" i="30" a="1"/>
  <c r="Y275" i="30" s="1"/>
  <c r="W275" i="30" s="1"/>
  <c r="Z275" i="30"/>
  <c r="Y75" i="30" a="1"/>
  <c r="Y75" i="30" s="1"/>
  <c r="W75" i="30" s="1"/>
  <c r="Z75" i="30"/>
  <c r="Y93" i="30" a="1"/>
  <c r="Y93" i="30" s="1"/>
  <c r="W93" i="30" s="1"/>
  <c r="Z93" i="30"/>
  <c r="Y219" i="30" a="1"/>
  <c r="Y219" i="30" s="1"/>
  <c r="W219" i="30" s="1"/>
  <c r="Z219" i="30"/>
  <c r="Y35" i="30" a="1"/>
  <c r="Y35" i="30" s="1"/>
  <c r="W35" i="30" s="1"/>
  <c r="Z35" i="30"/>
  <c r="Y173" i="30" a="1"/>
  <c r="Y173" i="30" s="1"/>
  <c r="W173" i="30" s="1"/>
  <c r="Z173" i="30"/>
  <c r="Y234" i="30" a="1"/>
  <c r="Y234" i="30" s="1"/>
  <c r="W234" i="30" s="1"/>
  <c r="Z234" i="30"/>
  <c r="Y181" i="30" a="1"/>
  <c r="Y181" i="30" s="1"/>
  <c r="W181" i="30" s="1"/>
  <c r="Z181" i="30"/>
  <c r="Y261" i="30" a="1"/>
  <c r="Y261" i="30" s="1"/>
  <c r="W261" i="30" s="1"/>
  <c r="Z261" i="30"/>
  <c r="Y20" i="30" a="1"/>
  <c r="Y20" i="30" s="1"/>
  <c r="W20" i="30" s="1"/>
  <c r="Z20" i="30"/>
  <c r="Y195" i="30" a="1"/>
  <c r="Y195" i="30" s="1"/>
  <c r="W195" i="30" s="1"/>
  <c r="Z195" i="30"/>
  <c r="Y205" i="30" a="1"/>
  <c r="Y205" i="30" s="1"/>
  <c r="W205" i="30" s="1"/>
  <c r="Z205" i="30"/>
  <c r="Y237" i="30" a="1"/>
  <c r="Y237" i="30" s="1"/>
  <c r="W237" i="30" s="1"/>
  <c r="Z237" i="30"/>
  <c r="Y334" i="30" a="1"/>
  <c r="Y334" i="30" s="1"/>
  <c r="W334" i="30" s="1"/>
  <c r="Z334" i="30"/>
  <c r="Y465" i="30" a="1"/>
  <c r="Y465" i="30" s="1"/>
  <c r="W465" i="30" s="1"/>
  <c r="Z465" i="30"/>
  <c r="Y15" i="30" a="1"/>
  <c r="Y15" i="30" s="1"/>
  <c r="W15" i="30" s="1"/>
  <c r="Z15" i="30"/>
  <c r="Y306" i="30" a="1"/>
  <c r="Y306" i="30" s="1"/>
  <c r="W306" i="30" s="1"/>
  <c r="Z306" i="30"/>
  <c r="Y209" i="30" a="1"/>
  <c r="Y209" i="30" s="1"/>
  <c r="W209" i="30" s="1"/>
  <c r="Z209" i="30"/>
  <c r="Y128" i="30" a="1"/>
  <c r="Y128" i="30" s="1"/>
  <c r="W128" i="30" s="1"/>
  <c r="Z128" i="30"/>
  <c r="Y360" i="30" a="1"/>
  <c r="Y360" i="30" s="1"/>
  <c r="W360" i="30" s="1"/>
  <c r="Z360" i="30"/>
  <c r="Y158" i="30" a="1"/>
  <c r="Y158" i="30" s="1"/>
  <c r="W158" i="30" s="1"/>
  <c r="Z158" i="30"/>
  <c r="Y161" i="30" a="1"/>
  <c r="Y161" i="30" s="1"/>
  <c r="W161" i="30" s="1"/>
  <c r="Z161" i="30"/>
  <c r="Y316" i="30" a="1"/>
  <c r="Y316" i="30" s="1"/>
  <c r="W316" i="30" s="1"/>
  <c r="Z316" i="30"/>
  <c r="Y228" i="30" a="1"/>
  <c r="Y228" i="30" s="1"/>
  <c r="W228" i="30" s="1"/>
  <c r="Z228" i="30"/>
  <c r="Y137" i="30" a="1"/>
  <c r="Y137" i="30" s="1"/>
  <c r="W137" i="30" s="1"/>
  <c r="Z137" i="30"/>
  <c r="Y238" i="30" a="1"/>
  <c r="Y238" i="30" s="1"/>
  <c r="W238" i="30" s="1"/>
  <c r="Z238" i="30"/>
  <c r="Y86" i="30" a="1"/>
  <c r="Y86" i="30" s="1"/>
  <c r="W86" i="30" s="1"/>
  <c r="Z86" i="30"/>
  <c r="Y175" i="30" a="1"/>
  <c r="Y175" i="30" s="1"/>
  <c r="W175" i="30" s="1"/>
  <c r="Z175" i="30"/>
  <c r="Y103" i="30" a="1"/>
  <c r="Y103" i="30" s="1"/>
  <c r="W103" i="30" s="1"/>
  <c r="Z103" i="30"/>
  <c r="Y279" i="30" a="1"/>
  <c r="Y279" i="30" s="1"/>
  <c r="W279" i="30" s="1"/>
  <c r="Z279" i="30"/>
  <c r="Y485" i="30" a="1"/>
  <c r="Y485" i="30" s="1"/>
  <c r="W485" i="30" s="1"/>
  <c r="Z485" i="30"/>
  <c r="Y416" i="30" a="1"/>
  <c r="Y416" i="30" s="1"/>
  <c r="W416" i="30" s="1"/>
  <c r="Z416" i="30"/>
  <c r="Y388" i="30" a="1"/>
  <c r="Y388" i="30" s="1"/>
  <c r="W388" i="30" s="1"/>
  <c r="Z388" i="30"/>
  <c r="Y390" i="30" a="1"/>
  <c r="Y390" i="30" s="1"/>
  <c r="W390" i="30" s="1"/>
  <c r="Z390" i="30"/>
  <c r="Y72" i="30" a="1"/>
  <c r="Y72" i="30" s="1"/>
  <c r="W72" i="30" s="1"/>
  <c r="Z72" i="30"/>
  <c r="Y153" i="30" a="1"/>
  <c r="Y153" i="30" s="1"/>
  <c r="W153" i="30" s="1"/>
  <c r="Z153" i="30"/>
  <c r="Y41" i="30" a="1"/>
  <c r="Y41" i="30" s="1"/>
  <c r="W41" i="30" s="1"/>
  <c r="Z41" i="30"/>
  <c r="Y106" i="30" a="1"/>
  <c r="Y106" i="30" s="1"/>
  <c r="W106" i="30" s="1"/>
  <c r="Z106" i="30"/>
  <c r="Y36" i="30" a="1"/>
  <c r="Y36" i="30" s="1"/>
  <c r="W36" i="30" s="1"/>
  <c r="Z36" i="30"/>
  <c r="Y91" i="30" a="1"/>
  <c r="Y91" i="30" s="1"/>
  <c r="W91" i="30" s="1"/>
  <c r="Z91" i="30"/>
  <c r="Y183" i="30" a="1"/>
  <c r="Y183" i="30" s="1"/>
  <c r="W183" i="30" s="1"/>
  <c r="Z183" i="30"/>
  <c r="Y44" i="30" a="1"/>
  <c r="Y44" i="30" s="1"/>
  <c r="W44" i="30" s="1"/>
  <c r="Z44" i="30"/>
  <c r="Y352" i="30" a="1"/>
  <c r="Y352" i="30" s="1"/>
  <c r="W352" i="30" s="1"/>
  <c r="Z352" i="30"/>
  <c r="Z78" i="30"/>
  <c r="Y202" i="30" a="1"/>
  <c r="Y202" i="30" s="1"/>
  <c r="W202" i="30" s="1"/>
  <c r="Z202" i="30"/>
  <c r="Y13" i="30" a="1"/>
  <c r="Y13" i="30" s="1"/>
  <c r="W13" i="30" s="1"/>
  <c r="Z13" i="30"/>
  <c r="Y244" i="30" a="1"/>
  <c r="Y244" i="30" s="1"/>
  <c r="W244" i="30" s="1"/>
  <c r="Z244" i="30"/>
  <c r="Y201" i="30" a="1"/>
  <c r="Y201" i="30" s="1"/>
  <c r="W201" i="30" s="1"/>
  <c r="Z201" i="30"/>
  <c r="Y155" i="30" a="1"/>
  <c r="Y155" i="30" s="1"/>
  <c r="W155" i="30" s="1"/>
  <c r="Z155" i="30"/>
  <c r="Y263" i="30" a="1"/>
  <c r="Y263" i="30" s="1"/>
  <c r="W263" i="30" s="1"/>
  <c r="Z263" i="30"/>
  <c r="Y257" i="30" a="1"/>
  <c r="Y257" i="30" s="1"/>
  <c r="W257" i="30" s="1"/>
  <c r="Z257" i="30"/>
  <c r="Y301" i="30" a="1"/>
  <c r="Y301" i="30" s="1"/>
  <c r="W301" i="30" s="1"/>
  <c r="Z301" i="30"/>
  <c r="Y94" i="30" a="1"/>
  <c r="Y94" i="30" s="1"/>
  <c r="W94" i="30" s="1"/>
  <c r="Z94" i="30"/>
  <c r="Y139" i="30" a="1"/>
  <c r="Y139" i="30" s="1"/>
  <c r="W139" i="30" s="1"/>
  <c r="Z139" i="30"/>
  <c r="Y65" i="30" a="1"/>
  <c r="Y65" i="30" s="1"/>
  <c r="W65" i="30" s="1"/>
  <c r="Z65" i="30"/>
  <c r="Y174" i="30" a="1"/>
  <c r="Y174" i="30" s="1"/>
  <c r="W174" i="30" s="1"/>
  <c r="Z174" i="30"/>
  <c r="Y168" i="30" a="1"/>
  <c r="Y168" i="30" s="1"/>
  <c r="W168" i="30" s="1"/>
  <c r="Z168" i="30"/>
  <c r="Y178" i="30" a="1"/>
  <c r="Y178" i="30" s="1"/>
  <c r="W178" i="30" s="1"/>
  <c r="Z178" i="30"/>
  <c r="Y204" i="30" a="1"/>
  <c r="Y204" i="30" s="1"/>
  <c r="W204" i="30" s="1"/>
  <c r="Z204" i="30"/>
  <c r="Y284" i="30" a="1"/>
  <c r="Y284" i="30" s="1"/>
  <c r="W284" i="30" s="1"/>
  <c r="Z284" i="30"/>
  <c r="Y328" i="30" a="1"/>
  <c r="Y328" i="30" s="1"/>
  <c r="W328" i="30" s="1"/>
  <c r="Z328" i="30"/>
  <c r="Y399" i="30" a="1"/>
  <c r="Y399" i="30" s="1"/>
  <c r="W399" i="30" s="1"/>
  <c r="Z399" i="30"/>
  <c r="Y34" i="30" a="1"/>
  <c r="Y34" i="30" s="1"/>
  <c r="W34" i="30" s="1"/>
  <c r="Z34" i="30"/>
  <c r="Y222" i="30" a="1"/>
  <c r="Y222" i="30" s="1"/>
  <c r="W222" i="30" s="1"/>
  <c r="Z222" i="30"/>
  <c r="Y348" i="30" a="1"/>
  <c r="Y348" i="30" s="1"/>
  <c r="W348" i="30" s="1"/>
  <c r="Z348" i="30"/>
  <c r="Y145" i="30" a="1"/>
  <c r="Y145" i="30" s="1"/>
  <c r="W145" i="30" s="1"/>
  <c r="Z145" i="30"/>
  <c r="Y288" i="30" a="1"/>
  <c r="Y288" i="30" s="1"/>
  <c r="W288" i="30" s="1"/>
  <c r="Z288" i="30"/>
  <c r="Y118" i="30" a="1"/>
  <c r="Y118" i="30" s="1"/>
  <c r="W118" i="30" s="1"/>
  <c r="Z118" i="30"/>
  <c r="Y405" i="30" a="1"/>
  <c r="Y405" i="30" s="1"/>
  <c r="W405" i="30" s="1"/>
  <c r="Z405" i="30"/>
  <c r="Y356" i="30" a="1"/>
  <c r="Y356" i="30" s="1"/>
  <c r="W356" i="30" s="1"/>
  <c r="Z356" i="30"/>
  <c r="Y214" i="30" a="1"/>
  <c r="Y214" i="30" s="1"/>
  <c r="W214" i="30" s="1"/>
  <c r="Z214" i="30"/>
  <c r="Y295" i="30" a="1"/>
  <c r="Y295" i="30" s="1"/>
  <c r="W295" i="30" s="1"/>
  <c r="Z295" i="30"/>
  <c r="Y85" i="30" a="1"/>
  <c r="Y85" i="30" s="1"/>
  <c r="W85" i="30" s="1"/>
  <c r="Z85" i="30"/>
  <c r="Y126" i="30" a="1"/>
  <c r="Y126" i="30" s="1"/>
  <c r="W126" i="30" s="1"/>
  <c r="Z126" i="30"/>
  <c r="Y258" i="30" a="1"/>
  <c r="Y258" i="30" s="1"/>
  <c r="W258" i="30" s="1"/>
  <c r="Z258" i="30"/>
  <c r="Y412" i="30" a="1"/>
  <c r="Y412" i="30" s="1"/>
  <c r="W412" i="30" s="1"/>
  <c r="Z412" i="30"/>
  <c r="Y438" i="30" a="1"/>
  <c r="Y438" i="30" s="1"/>
  <c r="W438" i="30" s="1"/>
  <c r="Z438" i="30"/>
  <c r="Y135" i="30" a="1"/>
  <c r="Y135" i="30" s="1"/>
  <c r="W135" i="30" s="1"/>
  <c r="Z135" i="30"/>
  <c r="Y19" i="30" a="1"/>
  <c r="Y19" i="30" s="1"/>
  <c r="W19" i="30" s="1"/>
  <c r="Z19" i="30"/>
  <c r="Y154" i="30" a="1"/>
  <c r="Y154" i="30" s="1"/>
  <c r="W154" i="30" s="1"/>
  <c r="Z154" i="30"/>
  <c r="Y105" i="30" a="1"/>
  <c r="Y105" i="30" s="1"/>
  <c r="W105" i="30" s="1"/>
  <c r="Z105" i="30"/>
  <c r="Y45" i="30" a="1"/>
  <c r="Y45" i="30" s="1"/>
  <c r="W45" i="30" s="1"/>
  <c r="Z45" i="30"/>
  <c r="Y23" i="30" a="1"/>
  <c r="Y23" i="30" s="1"/>
  <c r="W23" i="30" s="1"/>
  <c r="Z23" i="30"/>
  <c r="Y156" i="30" a="1"/>
  <c r="Y156" i="30" s="1"/>
  <c r="W156" i="30" s="1"/>
  <c r="Z156" i="30"/>
  <c r="Y266" i="30" a="1"/>
  <c r="Y266" i="30" s="1"/>
  <c r="W266" i="30" s="1"/>
  <c r="Z266" i="30"/>
  <c r="Y84" i="30" a="1"/>
  <c r="Y84" i="30" s="1"/>
  <c r="W84" i="30" s="1"/>
  <c r="Z84" i="30"/>
  <c r="Y165" i="30" a="1"/>
  <c r="Y165" i="30" s="1"/>
  <c r="W165" i="30" s="1"/>
  <c r="Z165" i="30"/>
  <c r="Y123" i="30" a="1"/>
  <c r="Y123" i="30" s="1"/>
  <c r="W123" i="30" s="1"/>
  <c r="Z123" i="30"/>
  <c r="Y331" i="30" a="1"/>
  <c r="Y331" i="30" s="1"/>
  <c r="W331" i="30" s="1"/>
  <c r="Z331" i="30"/>
  <c r="Y189" i="30" a="1"/>
  <c r="Y189" i="30" s="1"/>
  <c r="W189" i="30" s="1"/>
  <c r="Z189" i="30"/>
  <c r="Y265" i="30" a="1"/>
  <c r="Y265" i="30" s="1"/>
  <c r="W265" i="30" s="1"/>
  <c r="Z265" i="30"/>
  <c r="Y477" i="30" a="1"/>
  <c r="Y477" i="30" s="1"/>
  <c r="W477" i="30" s="1"/>
  <c r="Z477" i="30"/>
  <c r="Y33" i="30" a="1"/>
  <c r="Y33" i="30" s="1"/>
  <c r="W33" i="30" s="1"/>
  <c r="Z33" i="30"/>
  <c r="Y111" i="30" a="1"/>
  <c r="Y111" i="30" s="1"/>
  <c r="W111" i="30" s="1"/>
  <c r="Z111" i="30"/>
  <c r="Y62" i="30" a="1"/>
  <c r="Y62" i="30" s="1"/>
  <c r="W62" i="30" s="1"/>
  <c r="Z62" i="30"/>
  <c r="Y246" i="30" a="1"/>
  <c r="Y246" i="30" s="1"/>
  <c r="W246" i="30" s="1"/>
  <c r="Z246" i="30"/>
  <c r="Y375" i="30" a="1"/>
  <c r="Y375" i="30" s="1"/>
  <c r="W375" i="30" s="1"/>
  <c r="Z375" i="30"/>
  <c r="Y413" i="30" a="1"/>
  <c r="Y413" i="30" s="1"/>
  <c r="W413" i="30" s="1"/>
  <c r="Z413" i="30"/>
  <c r="Y323" i="30" a="1"/>
  <c r="Y323" i="30" s="1"/>
  <c r="W323" i="30" s="1"/>
  <c r="Z323" i="30"/>
  <c r="Y458" i="30" a="1"/>
  <c r="Y458" i="30" s="1"/>
  <c r="W458" i="30" s="1"/>
  <c r="Z458" i="30"/>
  <c r="Y223" i="30" a="1"/>
  <c r="Y223" i="30" s="1"/>
  <c r="W223" i="30" s="1"/>
  <c r="Z223" i="30"/>
  <c r="Y278" i="30" a="1"/>
  <c r="Y278" i="30" s="1"/>
  <c r="W278" i="30" s="1"/>
  <c r="Z278" i="30"/>
  <c r="Y210" i="30" a="1"/>
  <c r="Y210" i="30" s="1"/>
  <c r="W210" i="30" s="1"/>
  <c r="Z210" i="30"/>
  <c r="Y46" i="30" a="1"/>
  <c r="Y46" i="30" s="1"/>
  <c r="W46" i="30" s="1"/>
  <c r="Z46" i="30"/>
  <c r="Y40" i="30" a="1"/>
  <c r="Y40" i="30" s="1"/>
  <c r="W40" i="30" s="1"/>
  <c r="Z40" i="30"/>
  <c r="Y408" i="30" a="1"/>
  <c r="Y408" i="30" s="1"/>
  <c r="W408" i="30" s="1"/>
  <c r="Z408" i="30"/>
  <c r="Y370" i="30" a="1"/>
  <c r="Y370" i="30" s="1"/>
  <c r="W370" i="30" s="1"/>
  <c r="Z370" i="30"/>
  <c r="Y319" i="30" a="1"/>
  <c r="Y319" i="30" s="1"/>
  <c r="W319" i="30" s="1"/>
  <c r="Z319" i="30"/>
  <c r="Y272" i="30" a="1"/>
  <c r="Y272" i="30" s="1"/>
  <c r="W272" i="30" s="1"/>
  <c r="Z272" i="30"/>
  <c r="Y50" i="30" a="1"/>
  <c r="Y50" i="30" s="1"/>
  <c r="W50" i="30" s="1"/>
  <c r="Z50" i="30"/>
  <c r="Y121" i="30" a="1"/>
  <c r="Y121" i="30" s="1"/>
  <c r="W121" i="30" s="1"/>
  <c r="Z121" i="30"/>
  <c r="Y177" i="30" a="1"/>
  <c r="Y177" i="30" s="1"/>
  <c r="W177" i="30" s="1"/>
  <c r="Z177" i="30"/>
  <c r="Y472" i="30" a="1"/>
  <c r="Y472" i="30" s="1"/>
  <c r="W472" i="30" s="1"/>
  <c r="Z472" i="30"/>
  <c r="Y131" i="30" a="1"/>
  <c r="Y131" i="30" s="1"/>
  <c r="W131" i="30" s="1"/>
  <c r="Z131" i="30"/>
  <c r="Y308" i="30" a="1"/>
  <c r="Y308" i="30" s="1"/>
  <c r="W308" i="30" s="1"/>
  <c r="Z308" i="30"/>
  <c r="Y212" i="30" a="1"/>
  <c r="Y212" i="30" s="1"/>
  <c r="W212" i="30" s="1"/>
  <c r="Z212" i="30"/>
  <c r="Y68" i="30" a="1"/>
  <c r="Y68" i="30" s="1"/>
  <c r="W68" i="30" s="1"/>
  <c r="Z68" i="30"/>
  <c r="Y143" i="30" a="1"/>
  <c r="Y143" i="30" s="1"/>
  <c r="W143" i="30" s="1"/>
  <c r="Z143" i="30"/>
  <c r="Y481" i="30" a="1"/>
  <c r="Y481" i="30" s="1"/>
  <c r="W481" i="30" s="1"/>
  <c r="Z481" i="30"/>
  <c r="Y351" i="30" a="1"/>
  <c r="Y351" i="30" s="1"/>
  <c r="W351" i="30" s="1"/>
  <c r="Z351" i="30"/>
  <c r="Y274" i="30" a="1"/>
  <c r="Y274" i="30" s="1"/>
  <c r="W274" i="30" s="1"/>
  <c r="Z274" i="30"/>
  <c r="Y215" i="30" a="1"/>
  <c r="Y215" i="30" s="1"/>
  <c r="W215" i="30" s="1"/>
  <c r="Z215" i="30"/>
  <c r="Z66" i="30"/>
  <c r="Y239" i="30" a="1"/>
  <c r="Y239" i="30" s="1"/>
  <c r="W239" i="30" s="1"/>
  <c r="Z239" i="30"/>
  <c r="Y436" i="30" a="1"/>
  <c r="Y436" i="30" s="1"/>
  <c r="W436" i="30" s="1"/>
  <c r="Z436" i="30"/>
  <c r="Y461" i="30" a="1"/>
  <c r="Y461" i="30" s="1"/>
  <c r="W461" i="30" s="1"/>
  <c r="Z461" i="30"/>
  <c r="Y122" i="30" a="1"/>
  <c r="Y122" i="30" s="1"/>
  <c r="W122" i="30" s="1"/>
  <c r="Z122" i="30"/>
  <c r="Y437" i="30" a="1"/>
  <c r="Y437" i="30" s="1"/>
  <c r="W437" i="30" s="1"/>
  <c r="Z437" i="30"/>
  <c r="Z30" i="30"/>
  <c r="Z18" i="30"/>
  <c r="Y180" i="30" a="1"/>
  <c r="Y180" i="30" s="1"/>
  <c r="W180" i="30" s="1"/>
  <c r="Z180" i="30"/>
  <c r="Y317" i="30" a="1"/>
  <c r="Y317" i="30" s="1"/>
  <c r="W317" i="30" s="1"/>
  <c r="Z317" i="30"/>
  <c r="Y235" i="30" a="1"/>
  <c r="Y235" i="30" s="1"/>
  <c r="W235" i="30" s="1"/>
  <c r="Z235" i="30"/>
  <c r="Y162" i="30" a="1"/>
  <c r="Y162" i="30" s="1"/>
  <c r="W162" i="30" s="1"/>
  <c r="Z162" i="30"/>
  <c r="Y346" i="30" a="1"/>
  <c r="Y346" i="30" s="1"/>
  <c r="W346" i="30" s="1"/>
  <c r="Z346" i="30"/>
  <c r="Y48" i="30" a="1"/>
  <c r="Y48" i="30" s="1"/>
  <c r="W48" i="30" s="1"/>
  <c r="Z48" i="30"/>
  <c r="Y467" i="30" a="1"/>
  <c r="Y467" i="30" s="1"/>
  <c r="W467" i="30" s="1"/>
  <c r="Z467" i="30"/>
  <c r="Y431" i="30" a="1"/>
  <c r="Y431" i="30" s="1"/>
  <c r="W431" i="30" s="1"/>
  <c r="Z431" i="30"/>
  <c r="Y387" i="30" a="1"/>
  <c r="Y387" i="30" s="1"/>
  <c r="W387" i="30" s="1"/>
  <c r="Z387" i="30"/>
  <c r="Y367" i="30" a="1"/>
  <c r="Y367" i="30" s="1"/>
  <c r="W367" i="30" s="1"/>
  <c r="Z367" i="30"/>
  <c r="Y248" i="30" a="1"/>
  <c r="Y248" i="30" s="1"/>
  <c r="W248" i="30" s="1"/>
  <c r="Z248" i="30"/>
  <c r="Y372" i="30" a="1"/>
  <c r="Y372" i="30" s="1"/>
  <c r="W372" i="30" s="1"/>
  <c r="Z372" i="30"/>
  <c r="Y120" i="30" a="1"/>
  <c r="Y120" i="30" s="1"/>
  <c r="W120" i="30" s="1"/>
  <c r="Z120" i="30"/>
  <c r="Y188" i="30" a="1"/>
  <c r="Y188" i="30" s="1"/>
  <c r="W188" i="30" s="1"/>
  <c r="Z188" i="30"/>
  <c r="Y281" i="30" a="1"/>
  <c r="Y281" i="30" s="1"/>
  <c r="W281" i="30" s="1"/>
  <c r="Z281" i="30"/>
  <c r="Y82" i="30" a="1"/>
  <c r="Y82" i="30" s="1"/>
  <c r="W82" i="30" s="1"/>
  <c r="Z82" i="30"/>
  <c r="Y304" i="30" a="1"/>
  <c r="Y304" i="30" s="1"/>
  <c r="W304" i="30" s="1"/>
  <c r="Z304" i="30"/>
  <c r="Z90" i="30"/>
  <c r="Y300" i="30" a="1"/>
  <c r="Y300" i="30" s="1"/>
  <c r="W300" i="30" s="1"/>
  <c r="Z300" i="30"/>
  <c r="Y179" i="30" a="1"/>
  <c r="Y179" i="30" s="1"/>
  <c r="W179" i="30" s="1"/>
  <c r="Z179" i="30"/>
  <c r="Y95" i="30" a="1"/>
  <c r="Y95" i="30" s="1"/>
  <c r="Z95" i="30"/>
  <c r="Y327" i="30" a="1"/>
  <c r="Y327" i="30" s="1"/>
  <c r="W327" i="30" s="1"/>
  <c r="Z327" i="30"/>
  <c r="Y226" i="30" a="1"/>
  <c r="Y226" i="30" s="1"/>
  <c r="W226" i="30" s="1"/>
  <c r="Z226" i="30"/>
  <c r="Y117" i="30" a="1"/>
  <c r="Y117" i="30" s="1"/>
  <c r="W117" i="30" s="1"/>
  <c r="Z117" i="30"/>
  <c r="Y419" i="30" a="1"/>
  <c r="Y419" i="30" s="1"/>
  <c r="W419" i="30" s="1"/>
  <c r="Z419" i="30"/>
  <c r="Y312" i="30" a="1"/>
  <c r="Y312" i="30" s="1"/>
  <c r="W312" i="30" s="1"/>
  <c r="Z312" i="30"/>
  <c r="Y171" i="30" a="1"/>
  <c r="Y171" i="30" s="1"/>
  <c r="W171" i="30" s="1"/>
  <c r="Z171" i="30"/>
  <c r="Y324" i="30" a="1"/>
  <c r="Y324" i="30" s="1"/>
  <c r="W324" i="30" s="1"/>
  <c r="Z324" i="30"/>
  <c r="Y314" i="30" a="1"/>
  <c r="Y314" i="30" s="1"/>
  <c r="W314" i="30" s="1"/>
  <c r="Z314" i="30"/>
  <c r="Y146" i="30" a="1"/>
  <c r="Y146" i="30" s="1"/>
  <c r="W146" i="30" s="1"/>
  <c r="Z146" i="30"/>
  <c r="Y138" i="30" a="1"/>
  <c r="Y138" i="30" s="1"/>
  <c r="W138" i="30" s="1"/>
  <c r="Z138" i="30"/>
  <c r="Y14" i="30" a="1"/>
  <c r="Y14" i="30" s="1"/>
  <c r="W14" i="30" s="1"/>
  <c r="Z14" i="30"/>
  <c r="Y418" i="30" a="1"/>
  <c r="Y418" i="30" s="1"/>
  <c r="W418" i="30" s="1"/>
  <c r="Z418" i="30"/>
  <c r="Y233" i="30" a="1"/>
  <c r="Y233" i="30" s="1"/>
  <c r="W233" i="30" s="1"/>
  <c r="Z233" i="30"/>
  <c r="Y200" i="30" a="1"/>
  <c r="Y200" i="30" s="1"/>
  <c r="W200" i="30" s="1"/>
  <c r="Z200" i="30"/>
  <c r="Y394" i="30" a="1"/>
  <c r="Y394" i="30" s="1"/>
  <c r="W394" i="30" s="1"/>
  <c r="Z394" i="30"/>
  <c r="Y267" i="30" a="1"/>
  <c r="Y267" i="30" s="1"/>
  <c r="W267" i="30" s="1"/>
  <c r="Z267" i="30"/>
  <c r="Y22" i="30" a="1"/>
  <c r="Y22" i="30" s="1"/>
  <c r="W22" i="30" s="1"/>
  <c r="Z22" i="30"/>
  <c r="Y448" i="30" a="1"/>
  <c r="Y448" i="30" s="1"/>
  <c r="W448" i="30" s="1"/>
  <c r="Z448" i="30"/>
  <c r="Y435" i="30" a="1"/>
  <c r="Y435" i="30" s="1"/>
  <c r="W435" i="30" s="1"/>
  <c r="Z435" i="30"/>
  <c r="Y256" i="30" a="1"/>
  <c r="Y256" i="30" s="1"/>
  <c r="W256" i="30" s="1"/>
  <c r="Z256" i="30"/>
  <c r="Y271" i="30" a="1"/>
  <c r="Y271" i="30" s="1"/>
  <c r="W271" i="30" s="1"/>
  <c r="Z271" i="30"/>
  <c r="Y486" i="30" a="1"/>
  <c r="Y486" i="30" s="1"/>
  <c r="W486" i="30" s="1"/>
  <c r="Z486" i="30"/>
  <c r="Y415" i="30" a="1"/>
  <c r="Y415" i="30" s="1"/>
  <c r="W415" i="30" s="1"/>
  <c r="Z415" i="30"/>
  <c r="Y321" i="30" a="1"/>
  <c r="Y321" i="30" s="1"/>
  <c r="W321" i="30" s="1"/>
  <c r="Z321" i="30"/>
  <c r="Y411" i="30" a="1"/>
  <c r="Y411" i="30" s="1"/>
  <c r="W411" i="30" s="1"/>
  <c r="Z411" i="30"/>
  <c r="Y293" i="30" a="1"/>
  <c r="Y293" i="30" s="1"/>
  <c r="W293" i="30" s="1"/>
  <c r="Z293" i="30"/>
  <c r="Y150" i="30" a="1"/>
  <c r="Y150" i="30" s="1"/>
  <c r="W150" i="30" s="1"/>
  <c r="Z150" i="30"/>
  <c r="Y330" i="30" a="1"/>
  <c r="Y330" i="30" s="1"/>
  <c r="W330" i="30" s="1"/>
  <c r="Z330" i="30"/>
  <c r="Y55" i="30" a="1"/>
  <c r="Y55" i="30" s="1"/>
  <c r="W55" i="30" s="1"/>
  <c r="Z55" i="30"/>
  <c r="Y385" i="30" a="1"/>
  <c r="Y385" i="30" s="1"/>
  <c r="W385" i="30" s="1"/>
  <c r="Z385" i="30"/>
  <c r="Y51" i="30" a="1"/>
  <c r="Y51" i="30" s="1"/>
  <c r="W51" i="30" s="1"/>
  <c r="Z51" i="30"/>
  <c r="Y457" i="30" a="1"/>
  <c r="Y457" i="30" s="1"/>
  <c r="W457" i="30" s="1"/>
  <c r="Z457" i="30"/>
  <c r="Y198" i="30" a="1"/>
  <c r="Y198" i="30" s="1"/>
  <c r="W198" i="30" s="1"/>
  <c r="Z198" i="30"/>
  <c r="Y389" i="30" a="1"/>
  <c r="Y389" i="30" s="1"/>
  <c r="W389" i="30" s="1"/>
  <c r="Z389" i="30"/>
  <c r="Y460" i="30" a="1"/>
  <c r="Y460" i="30" s="1"/>
  <c r="W460" i="30" s="1"/>
  <c r="Z460" i="30"/>
  <c r="Y493" i="30" a="1"/>
  <c r="Y493" i="30" s="1"/>
  <c r="W493" i="30" s="1"/>
  <c r="Z493" i="30"/>
  <c r="Y27" i="30" a="1"/>
  <c r="Y27" i="30" s="1"/>
  <c r="W27" i="30" s="1"/>
  <c r="Z27" i="30"/>
  <c r="Y142" i="30" a="1"/>
  <c r="Y142" i="30" s="1"/>
  <c r="W142" i="30" s="1"/>
  <c r="Z142" i="30"/>
  <c r="Y339" i="30" a="1"/>
  <c r="Y339" i="30" s="1"/>
  <c r="W339" i="30" s="1"/>
  <c r="Z339" i="30"/>
  <c r="Y78" i="30" a="1"/>
  <c r="Y78" i="30" s="1"/>
  <c r="Y69" i="30" a="1"/>
  <c r="Y69" i="30" s="1"/>
  <c r="W69" i="30" s="1"/>
  <c r="Z69" i="30"/>
  <c r="Y88" i="30" a="1"/>
  <c r="Y88" i="30" s="1"/>
  <c r="W88" i="30" s="1"/>
  <c r="Z88" i="30"/>
  <c r="Y439" i="30" a="1"/>
  <c r="Y439" i="30" s="1"/>
  <c r="W439" i="30" s="1"/>
  <c r="Z439" i="30"/>
  <c r="Z54" i="30"/>
  <c r="Y187" i="30" a="1"/>
  <c r="Y187" i="30" s="1"/>
  <c r="W187" i="30" s="1"/>
  <c r="Z187" i="30"/>
  <c r="Y336" i="30" a="1"/>
  <c r="Y336" i="30" s="1"/>
  <c r="W336" i="30" s="1"/>
  <c r="Z336" i="30"/>
  <c r="Y355" i="30" a="1"/>
  <c r="Y355" i="30" s="1"/>
  <c r="W355" i="30" s="1"/>
  <c r="Z355" i="30"/>
  <c r="Y420" i="30" a="1"/>
  <c r="Y420" i="30" s="1"/>
  <c r="W420" i="30" s="1"/>
  <c r="Z420" i="30"/>
  <c r="Y112" i="30" a="1"/>
  <c r="Y112" i="30" s="1"/>
  <c r="W112" i="30" s="1"/>
  <c r="Z112" i="30"/>
  <c r="Y163" i="30" a="1"/>
  <c r="Y163" i="30" s="1"/>
  <c r="W163" i="30" s="1"/>
  <c r="Z163" i="30"/>
  <c r="Y446" i="30" a="1"/>
  <c r="Y446" i="30" s="1"/>
  <c r="W446" i="30" s="1"/>
  <c r="Z446" i="30"/>
  <c r="Y449" i="30" a="1"/>
  <c r="Y449" i="30" s="1"/>
  <c r="W449" i="30" s="1"/>
  <c r="Z449" i="30"/>
  <c r="Y77" i="30" a="1"/>
  <c r="Y77" i="30" s="1"/>
  <c r="W77" i="30" s="1"/>
  <c r="Z77" i="30"/>
  <c r="Y398" i="30" a="1"/>
  <c r="Y398" i="30" s="1"/>
  <c r="W398" i="30" s="1"/>
  <c r="Z398" i="30"/>
  <c r="Y452" i="30" a="1"/>
  <c r="Y452" i="30" s="1"/>
  <c r="W452" i="30" s="1"/>
  <c r="Z452" i="30"/>
  <c r="Y349" i="30" a="1"/>
  <c r="Y349" i="30" s="1"/>
  <c r="W349" i="30" s="1"/>
  <c r="Z349" i="30"/>
  <c r="Y484" i="30" a="1"/>
  <c r="Y484" i="30" s="1"/>
  <c r="W484" i="30" s="1"/>
  <c r="Z484" i="30"/>
  <c r="Y199" i="30" a="1"/>
  <c r="Y199" i="30" s="1"/>
  <c r="W199" i="30" s="1"/>
  <c r="Z199" i="30"/>
  <c r="Y236" i="30" a="1"/>
  <c r="Y236" i="30" s="1"/>
  <c r="W236" i="30" s="1"/>
  <c r="Z236" i="30"/>
  <c r="Z114" i="30"/>
  <c r="Y335" i="30" a="1"/>
  <c r="Y335" i="30" s="1"/>
  <c r="W335" i="30" s="1"/>
  <c r="Z335" i="30"/>
  <c r="Z397" i="30"/>
  <c r="Y397" i="30" a="1"/>
  <c r="Y397" i="30" s="1"/>
  <c r="W397" i="30" s="1"/>
  <c r="Y184" i="30" a="1"/>
  <c r="Y184" i="30" s="1"/>
  <c r="W184" i="30" s="1"/>
  <c r="Z184" i="30"/>
  <c r="Y409" i="30" a="1"/>
  <c r="Y409" i="30" s="1"/>
  <c r="W409" i="30" s="1"/>
  <c r="Z409" i="30"/>
  <c r="Y329" i="30" a="1"/>
  <c r="Y329" i="30" s="1"/>
  <c r="W329" i="30" s="1"/>
  <c r="Z329" i="30"/>
  <c r="Y211" i="30" a="1"/>
  <c r="Y211" i="30" s="1"/>
  <c r="W211" i="30" s="1"/>
  <c r="Z211" i="30"/>
  <c r="Y170" i="30" a="1"/>
  <c r="Y170" i="30" s="1"/>
  <c r="W170" i="30" s="1"/>
  <c r="Z170" i="30"/>
  <c r="Y32" i="30" a="1"/>
  <c r="Y32" i="30" s="1"/>
  <c r="W32" i="30" s="1"/>
  <c r="Z32" i="30"/>
  <c r="Y468" i="30" a="1"/>
  <c r="Y468" i="30" s="1"/>
  <c r="W468" i="30" s="1"/>
  <c r="Z468" i="30"/>
  <c r="Y129" i="30" a="1"/>
  <c r="Y129" i="30" s="1"/>
  <c r="W129" i="30" s="1"/>
  <c r="Z129" i="30"/>
  <c r="Z216" i="30"/>
  <c r="Y216" i="30" a="1"/>
  <c r="Y216" i="30" s="1"/>
  <c r="W216" i="30" s="1"/>
  <c r="Z341" i="30"/>
  <c r="Y341" i="30" a="1"/>
  <c r="Y341" i="30" s="1"/>
  <c r="W341" i="30" s="1"/>
  <c r="Z230" i="30"/>
  <c r="Y230" i="30" a="1"/>
  <c r="Y230" i="30" s="1"/>
  <c r="W230" i="30" s="1"/>
  <c r="Z24" i="30"/>
  <c r="Y24" i="30" a="1"/>
  <c r="Y24" i="30" s="1"/>
  <c r="W24" i="30" s="1"/>
  <c r="Z218" i="30"/>
  <c r="Y218" i="30" a="1"/>
  <c r="Y218" i="30" s="1"/>
  <c r="W218" i="30" s="1"/>
  <c r="Y152" i="30" a="1"/>
  <c r="Y152" i="30" s="1"/>
  <c r="W152" i="30" s="1"/>
  <c r="Z152" i="30"/>
  <c r="Y141" i="30" a="1"/>
  <c r="Y141" i="30" s="1"/>
  <c r="W141" i="30" s="1"/>
  <c r="Z141" i="30"/>
  <c r="Y276" i="30" a="1"/>
  <c r="Y276" i="30" s="1"/>
  <c r="W276" i="30" s="1"/>
  <c r="Z276" i="30"/>
  <c r="Y496" i="30" a="1"/>
  <c r="Y496" i="30" s="1"/>
  <c r="W496" i="30" s="1"/>
  <c r="Z496" i="30"/>
  <c r="Y98" i="30" a="1"/>
  <c r="Y98" i="30" s="1"/>
  <c r="W98" i="30" s="1"/>
  <c r="Z98" i="30"/>
  <c r="Y190" i="30" a="1"/>
  <c r="Y190" i="30" s="1"/>
  <c r="W190" i="30" s="1"/>
  <c r="Z190" i="30"/>
  <c r="Y80" i="30" a="1"/>
  <c r="Y80" i="30" s="1"/>
  <c r="W80" i="30" s="1"/>
  <c r="Z80" i="30"/>
  <c r="Y157" i="30" a="1"/>
  <c r="Y157" i="30" s="1"/>
  <c r="W157" i="30" s="1"/>
  <c r="Z157" i="30"/>
  <c r="Y492" i="30" a="1"/>
  <c r="Y492" i="30" s="1"/>
  <c r="W492" i="30" s="1"/>
  <c r="Z492" i="30"/>
  <c r="Y371" i="30" a="1"/>
  <c r="Y371" i="30" s="1"/>
  <c r="W371" i="30" s="1"/>
  <c r="Z371" i="30"/>
  <c r="Y10" i="30" a="1"/>
  <c r="Y10" i="30" s="1"/>
  <c r="W10" i="30" s="1"/>
  <c r="Z10" i="30"/>
  <c r="Y395" i="30" a="1"/>
  <c r="Y395" i="30" s="1"/>
  <c r="W395" i="30" s="1"/>
  <c r="Z395" i="30"/>
  <c r="Y406" i="30" a="1"/>
  <c r="Y406" i="30" s="1"/>
  <c r="W406" i="30" s="1"/>
  <c r="Z406" i="30"/>
  <c r="Y433" i="30" a="1"/>
  <c r="Y433" i="30" s="1"/>
  <c r="W433" i="30" s="1"/>
  <c r="Z433" i="30"/>
  <c r="Y213" i="30" a="1"/>
  <c r="Y213" i="30" s="1"/>
  <c r="W213" i="30" s="1"/>
  <c r="Z213" i="30"/>
  <c r="Y396" i="30" a="1"/>
  <c r="Y396" i="30" s="1"/>
  <c r="W396" i="30" s="1"/>
  <c r="Z396" i="30"/>
  <c r="Y63" i="30" a="1"/>
  <c r="Y63" i="30" s="1"/>
  <c r="W63" i="30" s="1"/>
  <c r="Z63" i="30"/>
  <c r="Y497" i="30" a="1"/>
  <c r="Y497" i="30" s="1"/>
  <c r="W497" i="30" s="1"/>
  <c r="Z497" i="30"/>
  <c r="Y400" i="30" a="1"/>
  <c r="Y400" i="30" s="1"/>
  <c r="W400" i="30" s="1"/>
  <c r="Z400" i="30"/>
  <c r="Z21" i="30"/>
  <c r="Y21" i="30" a="1"/>
  <c r="Y21" i="30" s="1"/>
  <c r="Z366" i="30"/>
  <c r="Y366" i="30" a="1"/>
  <c r="Y366" i="30" s="1"/>
  <c r="W366" i="30" s="1"/>
  <c r="Z166" i="30"/>
  <c r="Y166" i="30" a="1"/>
  <c r="Y166" i="30" s="1"/>
  <c r="W166" i="30" s="1"/>
  <c r="Z299" i="30"/>
  <c r="Y299" i="30" a="1"/>
  <c r="Y299" i="30" s="1"/>
  <c r="W299" i="30" s="1"/>
  <c r="Y56" i="30" a="1"/>
  <c r="Y56" i="30" s="1"/>
  <c r="W56" i="30" s="1"/>
  <c r="Z56" i="30"/>
  <c r="Y359" i="30" a="1"/>
  <c r="Y359" i="30" s="1"/>
  <c r="W359" i="30" s="1"/>
  <c r="Z359" i="30"/>
  <c r="Y357" i="30" a="1"/>
  <c r="Y357" i="30" s="1"/>
  <c r="W357" i="30" s="1"/>
  <c r="Z357" i="30"/>
  <c r="Y447" i="30" a="1"/>
  <c r="Y447" i="30" s="1"/>
  <c r="W447" i="30" s="1"/>
  <c r="Z447" i="30"/>
  <c r="Y127" i="30" a="1"/>
  <c r="Y127" i="30" s="1"/>
  <c r="W127" i="30" s="1"/>
  <c r="Z127" i="30"/>
  <c r="Y243" i="30" a="1"/>
  <c r="Y243" i="30" s="1"/>
  <c r="W243" i="30" s="1"/>
  <c r="Z243" i="30"/>
  <c r="Y101" i="30" a="1"/>
  <c r="Y101" i="30" s="1"/>
  <c r="W101" i="30" s="1"/>
  <c r="Z101" i="30"/>
  <c r="Y456" i="30" a="1"/>
  <c r="Y456" i="30" s="1"/>
  <c r="W456" i="30" s="1"/>
  <c r="Z456" i="30"/>
  <c r="Y401" i="30" a="1"/>
  <c r="Y401" i="30" s="1"/>
  <c r="W401" i="30" s="1"/>
  <c r="Z401" i="30"/>
  <c r="Y298" i="30" a="1"/>
  <c r="Y298" i="30" s="1"/>
  <c r="W298" i="30" s="1"/>
  <c r="Z298" i="30"/>
  <c r="Y430" i="30" a="1"/>
  <c r="Y430" i="30" s="1"/>
  <c r="W430" i="30" s="1"/>
  <c r="Z430" i="30"/>
  <c r="Y459" i="30" a="1"/>
  <c r="Y459" i="30" s="1"/>
  <c r="W459" i="30" s="1"/>
  <c r="Z459" i="30"/>
  <c r="Y196" i="30" a="1"/>
  <c r="Y196" i="30" s="1"/>
  <c r="W196" i="30" s="1"/>
  <c r="Z196" i="30"/>
  <c r="Y345" i="30" a="1"/>
  <c r="Y345" i="30" s="1"/>
  <c r="W345" i="30" s="1"/>
  <c r="Z345" i="30"/>
  <c r="Y60" i="30" a="1"/>
  <c r="Y60" i="30" s="1"/>
  <c r="W60" i="30" s="1"/>
  <c r="Z60" i="30"/>
  <c r="Y64" i="30" a="1"/>
  <c r="Y64" i="30" s="1"/>
  <c r="W64" i="30" s="1"/>
  <c r="Z64" i="30"/>
  <c r="Y134" i="30" a="1"/>
  <c r="Y134" i="30" s="1"/>
  <c r="W134" i="30" s="1"/>
  <c r="Z134" i="30"/>
  <c r="Y368" i="30" a="1"/>
  <c r="Y368" i="30" s="1"/>
  <c r="W368" i="30" s="1"/>
  <c r="Z368" i="30"/>
  <c r="Y66" i="30" a="1"/>
  <c r="Y66" i="30" s="1"/>
  <c r="Z440" i="30"/>
  <c r="Y440" i="30" a="1"/>
  <c r="Y440" i="30" s="1"/>
  <c r="W440" i="30" s="1"/>
  <c r="Y87" i="30" a="1"/>
  <c r="Y87" i="30" s="1"/>
  <c r="W87" i="30" s="1"/>
  <c r="Z87" i="30"/>
  <c r="Y109" i="30" a="1"/>
  <c r="Y109" i="30" s="1"/>
  <c r="W109" i="30" s="1"/>
  <c r="Z109" i="30"/>
  <c r="Y289" i="30" a="1"/>
  <c r="Y289" i="30" s="1"/>
  <c r="W289" i="30" s="1"/>
  <c r="Z289" i="30"/>
  <c r="Y241" i="30" a="1"/>
  <c r="Y241" i="30" s="1"/>
  <c r="W241" i="30" s="1"/>
  <c r="Z241" i="30"/>
  <c r="Y136" i="30" a="1"/>
  <c r="Y136" i="30" s="1"/>
  <c r="W136" i="30" s="1"/>
  <c r="Z136" i="30"/>
  <c r="Y282" i="30" a="1"/>
  <c r="Y282" i="30" s="1"/>
  <c r="W282" i="30" s="1"/>
  <c r="Z282" i="30"/>
  <c r="Y292" i="30" a="1"/>
  <c r="Y292" i="30" s="1"/>
  <c r="W292" i="30" s="1"/>
  <c r="Z292" i="30"/>
  <c r="Y39" i="30" a="1"/>
  <c r="Y39" i="30" s="1"/>
  <c r="W39" i="30" s="1"/>
  <c r="Z39" i="30"/>
  <c r="Y227" i="30" a="1"/>
  <c r="Y227" i="30" s="1"/>
  <c r="W227" i="30" s="1"/>
  <c r="Z227" i="30"/>
  <c r="Y83" i="30" a="1"/>
  <c r="Y83" i="30" s="1"/>
  <c r="W83" i="30" s="1"/>
  <c r="Z83" i="30"/>
  <c r="Y232" i="30" a="1"/>
  <c r="Y232" i="30" s="1"/>
  <c r="W232" i="30" s="1"/>
  <c r="Z232" i="30"/>
  <c r="Y12" i="30" a="1"/>
  <c r="Y12" i="30" s="1"/>
  <c r="W12" i="30" s="1"/>
  <c r="Z12" i="30"/>
  <c r="Y253" i="30" a="1"/>
  <c r="Y253" i="30" s="1"/>
  <c r="W253" i="30" s="1"/>
  <c r="Z253" i="30"/>
  <c r="Y469" i="30" a="1"/>
  <c r="Y469" i="30" s="1"/>
  <c r="W469" i="30" s="1"/>
  <c r="Z469" i="30"/>
  <c r="Y489" i="30" a="1"/>
  <c r="Y489" i="30" s="1"/>
  <c r="W489" i="30" s="1"/>
  <c r="Z489" i="30"/>
  <c r="Y286" i="30" a="1"/>
  <c r="Y286" i="30" s="1"/>
  <c r="W286" i="30" s="1"/>
  <c r="Z286" i="30"/>
  <c r="Y310" i="30" a="1"/>
  <c r="Y310" i="30" s="1"/>
  <c r="W310" i="30" s="1"/>
  <c r="Z310" i="30"/>
  <c r="Y113" i="30" a="1"/>
  <c r="Y113" i="30" s="1"/>
  <c r="W113" i="30" s="1"/>
  <c r="Z113" i="30"/>
  <c r="Y386" i="30" a="1"/>
  <c r="Y386" i="30" s="1"/>
  <c r="W386" i="30" s="1"/>
  <c r="Z386" i="30"/>
  <c r="Y70" i="30" a="1"/>
  <c r="Y70" i="30" s="1"/>
  <c r="W70" i="30" s="1"/>
  <c r="Z70" i="30"/>
  <c r="Y403" i="30" a="1"/>
  <c r="Y403" i="30" s="1"/>
  <c r="W403" i="30" s="1"/>
  <c r="Z403" i="30"/>
  <c r="Y42" i="30" a="1"/>
  <c r="Y42" i="30" s="1"/>
  <c r="Z42" i="30"/>
  <c r="Y76" i="30" a="1"/>
  <c r="Y76" i="30" s="1"/>
  <c r="W76" i="30" s="1"/>
  <c r="Z76" i="30"/>
  <c r="Y353" i="30" a="1"/>
  <c r="Y353" i="30" s="1"/>
  <c r="W353" i="30" s="1"/>
  <c r="Z353" i="30"/>
  <c r="Y379" i="30" a="1"/>
  <c r="Y379" i="30" s="1"/>
  <c r="W379" i="30" s="1"/>
  <c r="Z379" i="30"/>
  <c r="Y291" i="30" a="1"/>
  <c r="Y291" i="30" s="1"/>
  <c r="W291" i="30" s="1"/>
  <c r="Z291" i="30"/>
  <c r="Y92" i="30" a="1"/>
  <c r="Y92" i="30" s="1"/>
  <c r="W92" i="30" s="1"/>
  <c r="Z92" i="30"/>
  <c r="Y54" i="30" a="1"/>
  <c r="Y54" i="30" s="1"/>
  <c r="W54" i="30" s="1"/>
  <c r="Y376" i="30" a="1"/>
  <c r="Y376" i="30" s="1"/>
  <c r="W376" i="30" s="1"/>
  <c r="Z376" i="30"/>
  <c r="Y454" i="30" a="1"/>
  <c r="Y454" i="30" s="1"/>
  <c r="W454" i="30" s="1"/>
  <c r="Z454" i="30"/>
  <c r="Y285" i="30" a="1"/>
  <c r="Y285" i="30" s="1"/>
  <c r="W285" i="30" s="1"/>
  <c r="Z285" i="30"/>
  <c r="Y119" i="30" a="1"/>
  <c r="Y119" i="30" s="1"/>
  <c r="W119" i="30" s="1"/>
  <c r="Z119" i="30"/>
  <c r="Y104" i="30" a="1"/>
  <c r="Y104" i="30" s="1"/>
  <c r="W104" i="30" s="1"/>
  <c r="Z104" i="30"/>
  <c r="Y392" i="30" a="1"/>
  <c r="Y392" i="30" s="1"/>
  <c r="W392" i="30" s="1"/>
  <c r="Z392" i="30"/>
  <c r="Y108" i="30" a="1"/>
  <c r="Y108" i="30" s="1"/>
  <c r="W108" i="30" s="1"/>
  <c r="Z108" i="30"/>
  <c r="Y429" i="30" a="1"/>
  <c r="Y429" i="30" s="1"/>
  <c r="W429" i="30" s="1"/>
  <c r="Z429" i="30"/>
  <c r="Y250" i="30" a="1"/>
  <c r="Y250" i="30" s="1"/>
  <c r="W250" i="30" s="1"/>
  <c r="Z250" i="30"/>
  <c r="Y450" i="30" a="1"/>
  <c r="Y450" i="30" s="1"/>
  <c r="W450" i="30" s="1"/>
  <c r="Z450" i="30"/>
  <c r="Y407" i="30" a="1"/>
  <c r="Y407" i="30" s="1"/>
  <c r="W407" i="30" s="1"/>
  <c r="Z407" i="30"/>
  <c r="Z393" i="30"/>
  <c r="Y393" i="30" a="1"/>
  <c r="Y393" i="30" s="1"/>
  <c r="W393" i="30" s="1"/>
  <c r="Z443" i="30"/>
  <c r="Y443" i="30" a="1"/>
  <c r="Y443" i="30" s="1"/>
  <c r="W443" i="30" s="1"/>
  <c r="Z466" i="30"/>
  <c r="Y466" i="30" a="1"/>
  <c r="Y466" i="30" s="1"/>
  <c r="W466" i="30" s="1"/>
  <c r="Z159" i="30"/>
  <c r="Y159" i="30" a="1"/>
  <c r="Y159" i="30" s="1"/>
  <c r="W159" i="30" s="1"/>
  <c r="Z102" i="30"/>
  <c r="Z363" i="30"/>
  <c r="Y363" i="30" a="1"/>
  <c r="Y363" i="30" s="1"/>
  <c r="W363" i="30" s="1"/>
  <c r="Z498" i="30"/>
  <c r="Y498" i="30" a="1"/>
  <c r="Y498" i="30" s="1"/>
  <c r="W498" i="30" s="1"/>
  <c r="Z491" i="30"/>
  <c r="Y491" i="30" a="1"/>
  <c r="Y491" i="30" s="1"/>
  <c r="W491" i="30" s="1"/>
  <c r="Y81" i="30" a="1"/>
  <c r="Y81" i="30" s="1"/>
  <c r="W81" i="30" s="1"/>
  <c r="Z81" i="30"/>
  <c r="Y347" i="30" a="1"/>
  <c r="Y347" i="30" s="1"/>
  <c r="W347" i="30" s="1"/>
  <c r="Z347" i="30"/>
  <c r="Y354" i="30" a="1"/>
  <c r="Y354" i="30" s="1"/>
  <c r="W354" i="30" s="1"/>
  <c r="Z354" i="30"/>
  <c r="Y451" i="30" a="1"/>
  <c r="Y451" i="30" s="1"/>
  <c r="W451" i="30" s="1"/>
  <c r="Z451" i="30"/>
  <c r="Y478" i="30" a="1"/>
  <c r="Y478" i="30" s="1"/>
  <c r="W478" i="30" s="1"/>
  <c r="Z478" i="30"/>
  <c r="Y362" i="30" a="1"/>
  <c r="Y362" i="30" s="1"/>
  <c r="W362" i="30" s="1"/>
  <c r="Z362" i="30"/>
  <c r="Y102" i="30" a="1"/>
  <c r="Y102" i="30" s="1"/>
  <c r="W102" i="30" s="1"/>
  <c r="Y381" i="30" a="1"/>
  <c r="Y381" i="30" s="1"/>
  <c r="W381" i="30" s="1"/>
  <c r="Z381" i="30"/>
  <c r="Y404" i="30" a="1"/>
  <c r="Y404" i="30" s="1"/>
  <c r="W404" i="30" s="1"/>
  <c r="Z404" i="30"/>
  <c r="Y176" i="30" a="1"/>
  <c r="Y176" i="30" s="1"/>
  <c r="W176" i="30" s="1"/>
  <c r="Z176" i="30"/>
  <c r="Y383" i="30" a="1"/>
  <c r="Y383" i="30" s="1"/>
  <c r="W383" i="30" s="1"/>
  <c r="Z383" i="30"/>
  <c r="Y31" i="30" a="1"/>
  <c r="Y31" i="30" s="1"/>
  <c r="Z31" i="30"/>
  <c r="Y426" i="30" a="1"/>
  <c r="Y426" i="30" s="1"/>
  <c r="W426" i="30" s="1"/>
  <c r="Z426" i="30"/>
  <c r="Y463" i="30" a="1"/>
  <c r="Y463" i="30" s="1"/>
  <c r="W463" i="30" s="1"/>
  <c r="Z463" i="30"/>
  <c r="Y114" i="30" a="1"/>
  <c r="Y114" i="30" s="1"/>
  <c r="W114" i="30" s="1"/>
  <c r="Y391" i="30" a="1"/>
  <c r="Y391" i="30" s="1"/>
  <c r="W391" i="30" s="1"/>
  <c r="Z391" i="30"/>
  <c r="Y494" i="30" a="1"/>
  <c r="Y494" i="30" s="1"/>
  <c r="W494" i="30" s="1"/>
  <c r="Z494" i="30"/>
  <c r="Y125" i="30" a="1"/>
  <c r="Y125" i="30" s="1"/>
  <c r="W125" i="30" s="1"/>
  <c r="Z125" i="30"/>
  <c r="Y500" i="30" a="1"/>
  <c r="Y500" i="30" s="1"/>
  <c r="W500" i="30" s="1"/>
  <c r="Z500" i="30"/>
  <c r="Y479" i="30" a="1"/>
  <c r="Y479" i="30" s="1"/>
  <c r="W479" i="30" s="1"/>
  <c r="Z479" i="30"/>
  <c r="Y287" i="30" a="1"/>
  <c r="Y287" i="30" s="1"/>
  <c r="W287" i="30" s="1"/>
  <c r="Z287" i="30"/>
  <c r="Y365" i="30" a="1"/>
  <c r="Y365" i="30" s="1"/>
  <c r="W365" i="30" s="1"/>
  <c r="Z365" i="30"/>
  <c r="Y444" i="30" a="1"/>
  <c r="Y444" i="30" s="1"/>
  <c r="W444" i="30" s="1"/>
  <c r="Z444" i="30"/>
  <c r="Y290" i="30" a="1"/>
  <c r="Y290" i="30" s="1"/>
  <c r="W290" i="30" s="1"/>
  <c r="Z290" i="30"/>
  <c r="Y470" i="30" a="1"/>
  <c r="Y470" i="30" s="1"/>
  <c r="W470" i="30" s="1"/>
  <c r="Z470" i="30"/>
  <c r="Y423" i="30" a="1"/>
  <c r="Y423" i="30" s="1"/>
  <c r="W423" i="30" s="1"/>
  <c r="Z423" i="30"/>
  <c r="Y294" i="30" a="1"/>
  <c r="Y294" i="30" s="1"/>
  <c r="W294" i="30" s="1"/>
  <c r="Z294" i="30"/>
  <c r="Y332" i="30" a="1"/>
  <c r="Y332" i="30" s="1"/>
  <c r="W332" i="30" s="1"/>
  <c r="Z332" i="30"/>
  <c r="Y434" i="30" a="1"/>
  <c r="Y434" i="30" s="1"/>
  <c r="W434" i="30" s="1"/>
  <c r="Z434" i="30"/>
  <c r="Y495" i="30" a="1"/>
  <c r="Y495" i="30" s="1"/>
  <c r="W495" i="30" s="1"/>
  <c r="Z495" i="30"/>
  <c r="Y424" i="30" a="1"/>
  <c r="Y424" i="30" s="1"/>
  <c r="W424" i="30" s="1"/>
  <c r="Z424" i="30"/>
  <c r="Y455" i="30" a="1"/>
  <c r="Y455" i="30" s="1"/>
  <c r="W455" i="30" s="1"/>
  <c r="Z455" i="30"/>
  <c r="Y338" i="30" a="1"/>
  <c r="Y338" i="30" s="1"/>
  <c r="W338" i="30" s="1"/>
  <c r="Z338" i="30"/>
  <c r="Y259" i="30" a="1"/>
  <c r="Y259" i="30" s="1"/>
  <c r="W259" i="30" s="1"/>
  <c r="Z259" i="30"/>
  <c r="Y217" i="30" a="1"/>
  <c r="Y217" i="30" s="1"/>
  <c r="W217" i="30" s="1"/>
  <c r="Z217" i="30"/>
  <c r="Y192" i="30" a="1"/>
  <c r="Y192" i="30" s="1"/>
  <c r="W192" i="30" s="1"/>
  <c r="Z192" i="30"/>
  <c r="Y344" i="30" a="1"/>
  <c r="Y344" i="30" s="1"/>
  <c r="W344" i="30" s="1"/>
  <c r="Z344" i="30"/>
  <c r="Y337" i="30" a="1"/>
  <c r="Y337" i="30" s="1"/>
  <c r="W337" i="30" s="1"/>
  <c r="Z337" i="30"/>
  <c r="Y358" i="30" a="1"/>
  <c r="Y358" i="30" s="1"/>
  <c r="W358" i="30" s="1"/>
  <c r="Z358" i="30"/>
  <c r="Y417" i="30" a="1"/>
  <c r="Y417" i="30" s="1"/>
  <c r="W417" i="30" s="1"/>
  <c r="Z417" i="30"/>
  <c r="Y382" i="30" a="1"/>
  <c r="Y382" i="30" s="1"/>
  <c r="W382" i="30" s="1"/>
  <c r="Z382" i="30"/>
  <c r="Y441" i="30" a="1"/>
  <c r="Y441" i="30" s="1"/>
  <c r="W441" i="30" s="1"/>
  <c r="Z441" i="30"/>
  <c r="Y425" i="30" a="1"/>
  <c r="Y425" i="30" s="1"/>
  <c r="W425" i="30" s="1"/>
  <c r="Z425" i="30"/>
  <c r="Y147" i="30" a="1"/>
  <c r="Y147" i="30" s="1"/>
  <c r="W147" i="30" s="1"/>
  <c r="Z147" i="30"/>
  <c r="Y280" i="30" a="1"/>
  <c r="Y280" i="30" s="1"/>
  <c r="W280" i="30" s="1"/>
  <c r="Z280" i="30"/>
  <c r="Y361" i="30" a="1"/>
  <c r="Y361" i="30" s="1"/>
  <c r="W361" i="30" s="1"/>
  <c r="Z361" i="30"/>
  <c r="Y475" i="30" a="1"/>
  <c r="Y475" i="30" s="1"/>
  <c r="W475" i="30" s="1"/>
  <c r="Z475" i="30"/>
  <c r="Y333" i="30" a="1"/>
  <c r="Y333" i="30" s="1"/>
  <c r="W333" i="30" s="1"/>
  <c r="Z333" i="30"/>
  <c r="Y462" i="30" a="1"/>
  <c r="Y462" i="30" s="1"/>
  <c r="W462" i="30" s="1"/>
  <c r="Z462" i="30"/>
  <c r="Y269" i="30" a="1"/>
  <c r="Y269" i="30" s="1"/>
  <c r="W269" i="30" s="1"/>
  <c r="Z269" i="30"/>
  <c r="Y221" i="30" a="1"/>
  <c r="Y221" i="30" s="1"/>
  <c r="W221" i="30" s="1"/>
  <c r="Z221" i="30"/>
  <c r="Y58" i="30" a="1"/>
  <c r="Y58" i="30" s="1"/>
  <c r="Z58" i="30"/>
  <c r="Y11" i="30" a="1"/>
  <c r="Y11" i="30" s="1"/>
  <c r="W11" i="30" s="1"/>
  <c r="Z11" i="30"/>
  <c r="Y140" i="30" a="1"/>
  <c r="Y140" i="30" s="1"/>
  <c r="W140" i="30" s="1"/>
  <c r="Z140" i="30"/>
  <c r="Y342" i="30" a="1"/>
  <c r="Y342" i="30" s="1"/>
  <c r="W342" i="30" s="1"/>
  <c r="Z342" i="30"/>
  <c r="Y115" i="30" a="1"/>
  <c r="Y115" i="30" s="1"/>
  <c r="Z115" i="30"/>
  <c r="Y480" i="30" a="1"/>
  <c r="Y480" i="30" s="1"/>
  <c r="W480" i="30" s="1"/>
  <c r="Z480" i="30"/>
  <c r="Y191" i="30" a="1"/>
  <c r="Y191" i="30" s="1"/>
  <c r="W191" i="30" s="1"/>
  <c r="Z191" i="30"/>
  <c r="Y340" i="30" a="1"/>
  <c r="Y340" i="30" s="1"/>
  <c r="W340" i="30" s="1"/>
  <c r="Z340" i="30"/>
  <c r="Y476" i="30" a="1"/>
  <c r="Y476" i="30" s="1"/>
  <c r="W476" i="30" s="1"/>
  <c r="Z476" i="30"/>
  <c r="Y305" i="30" a="1"/>
  <c r="Y305" i="30" s="1"/>
  <c r="W305" i="30" s="1"/>
  <c r="Z305" i="30"/>
  <c r="Y378" i="30" a="1"/>
  <c r="Y378" i="30" s="1"/>
  <c r="W378" i="30" s="1"/>
  <c r="Z378" i="30"/>
  <c r="Y185" i="30" a="1"/>
  <c r="Y185" i="30" s="1"/>
  <c r="W185" i="30" s="1"/>
  <c r="Z185" i="30"/>
  <c r="Y432" i="30" a="1"/>
  <c r="Y432" i="30" s="1"/>
  <c r="W432" i="30" s="1"/>
  <c r="Z432" i="30"/>
  <c r="Y445" i="30" a="1"/>
  <c r="Y445" i="30" s="1"/>
  <c r="W445" i="30" s="1"/>
  <c r="Z445" i="30"/>
  <c r="Y315" i="30" a="1"/>
  <c r="Y315" i="30" s="1"/>
  <c r="W315" i="30" s="1"/>
  <c r="Z315" i="30"/>
  <c r="Y350" i="30" a="1"/>
  <c r="Y350" i="30" s="1"/>
  <c r="W350" i="30" s="1"/>
  <c r="Z350" i="30"/>
  <c r="Y18" i="30" a="1"/>
  <c r="Y18" i="30" s="1"/>
  <c r="W18" i="30" s="1"/>
  <c r="Y240" i="30" a="1"/>
  <c r="Y240" i="30" s="1"/>
  <c r="W240" i="30" s="1"/>
  <c r="Z240" i="30"/>
  <c r="Y273" i="30" a="1"/>
  <c r="Y273" i="30" s="1"/>
  <c r="W273" i="30" s="1"/>
  <c r="Z273" i="30"/>
  <c r="Y47" i="30" a="1"/>
  <c r="Y47" i="30" s="1"/>
  <c r="W47" i="30" s="1"/>
  <c r="Z47" i="30"/>
  <c r="Y296" i="30" a="1"/>
  <c r="Y296" i="30" s="1"/>
  <c r="W296" i="30" s="1"/>
  <c r="Z296" i="30"/>
  <c r="Y453" i="30" a="1"/>
  <c r="Y453" i="30" s="1"/>
  <c r="W453" i="30" s="1"/>
  <c r="Z453" i="30"/>
  <c r="Y422" i="30" a="1"/>
  <c r="Y422" i="30" s="1"/>
  <c r="W422" i="30" s="1"/>
  <c r="Z422" i="30"/>
  <c r="Y249" i="30" a="1"/>
  <c r="Y249" i="30" s="1"/>
  <c r="W249" i="30" s="1"/>
  <c r="Z249" i="30"/>
  <c r="Y343" i="30" a="1"/>
  <c r="Y343" i="30" s="1"/>
  <c r="W343" i="30" s="1"/>
  <c r="Z343" i="30"/>
  <c r="Y90" i="30" a="1"/>
  <c r="Y90" i="30" s="1"/>
  <c r="W90" i="30" s="1"/>
  <c r="Y107" i="30" a="1"/>
  <c r="Y107" i="30" s="1"/>
  <c r="W107" i="30" s="1"/>
  <c r="Z107" i="30"/>
  <c r="Y297" i="30" a="1"/>
  <c r="Y297" i="30" s="1"/>
  <c r="W297" i="30" s="1"/>
  <c r="Z297" i="30"/>
  <c r="Y303" i="30" a="1"/>
  <c r="Y303" i="30" s="1"/>
  <c r="W303" i="30" s="1"/>
  <c r="Z303" i="30"/>
  <c r="Y229" i="30" a="1"/>
  <c r="Y229" i="30" s="1"/>
  <c r="W229" i="30" s="1"/>
  <c r="Z229" i="30"/>
  <c r="Y490" i="30" a="1"/>
  <c r="Y490" i="30" s="1"/>
  <c r="W490" i="30" s="1"/>
  <c r="Z490" i="30"/>
  <c r="Y313" i="30" a="1"/>
  <c r="Y313" i="30" s="1"/>
  <c r="W313" i="30" s="1"/>
  <c r="Z313" i="30"/>
  <c r="Y373" i="30" a="1"/>
  <c r="Y373" i="30" s="1"/>
  <c r="W373" i="30" s="1"/>
  <c r="Z373" i="30"/>
  <c r="Y264" i="30" a="1"/>
  <c r="Y264" i="30" s="1"/>
  <c r="W264" i="30" s="1"/>
  <c r="Z264" i="30"/>
  <c r="Y384" i="30" a="1"/>
  <c r="Y384" i="30" s="1"/>
  <c r="W384" i="30" s="1"/>
  <c r="Z384" i="30"/>
  <c r="Y231" i="30" a="1"/>
  <c r="Y231" i="30" s="1"/>
  <c r="W231" i="30" s="1"/>
  <c r="Z231" i="30"/>
  <c r="Y186" i="30" a="1"/>
  <c r="Y186" i="30" s="1"/>
  <c r="W186" i="30" s="1"/>
  <c r="Z186" i="30"/>
  <c r="Y487" i="30" a="1"/>
  <c r="Y487" i="30" s="1"/>
  <c r="W487" i="30" s="1"/>
  <c r="Z487" i="30"/>
  <c r="Y374" i="30" a="1"/>
  <c r="Y374" i="30" s="1"/>
  <c r="W374" i="30" s="1"/>
  <c r="Z374" i="30"/>
  <c r="Y172" i="30" a="1"/>
  <c r="Y172" i="30" s="1"/>
  <c r="W172" i="30" s="1"/>
  <c r="Z172" i="30"/>
  <c r="Y160" i="30" a="1"/>
  <c r="Y160" i="30" s="1"/>
  <c r="W160" i="30" s="1"/>
  <c r="Z160" i="30"/>
  <c r="Y8" i="30" a="1"/>
  <c r="Y8" i="30" s="1"/>
  <c r="Z8" i="30"/>
  <c r="Y428" i="30" a="1"/>
  <c r="Y428" i="30" s="1"/>
  <c r="W428" i="30" s="1"/>
  <c r="Z428" i="30"/>
  <c r="Y483" i="30" a="1"/>
  <c r="Y483" i="30" s="1"/>
  <c r="W483" i="30" s="1"/>
  <c r="Z483" i="30"/>
  <c r="Y30" i="30" a="1"/>
  <c r="Y30" i="30" s="1"/>
  <c r="W30" i="30" s="1"/>
  <c r="Y414" i="30" a="1"/>
  <c r="Y414" i="30" s="1"/>
  <c r="W414" i="30" s="1"/>
  <c r="Z414" i="30"/>
  <c r="Y268" i="30" a="1"/>
  <c r="Y268" i="30" s="1"/>
  <c r="W268" i="30" s="1"/>
  <c r="Z268" i="30"/>
  <c r="Y377" i="30" a="1"/>
  <c r="Y377" i="30" s="1"/>
  <c r="W377" i="30" s="1"/>
  <c r="Z377" i="30"/>
  <c r="Y473" i="30" a="1"/>
  <c r="Y473" i="30" s="1"/>
  <c r="W473" i="30" s="1"/>
  <c r="Z473" i="30"/>
  <c r="Y427" i="30" a="1"/>
  <c r="Y427" i="30" s="1"/>
  <c r="W427" i="30" s="1"/>
  <c r="Z427" i="30"/>
  <c r="Y442" i="30" a="1"/>
  <c r="Y442" i="30" s="1"/>
  <c r="W442" i="30" s="1"/>
  <c r="Z442" i="30"/>
  <c r="Y402" i="30" a="1"/>
  <c r="Y402" i="30" s="1"/>
  <c r="W402" i="30" s="1"/>
  <c r="Z402" i="30"/>
  <c r="Y482" i="30" a="1"/>
  <c r="Y482" i="30" s="1"/>
  <c r="W482" i="30" s="1"/>
  <c r="Z482" i="30"/>
  <c r="Y464" i="30" a="1"/>
  <c r="Y464" i="30" s="1"/>
  <c r="W464" i="30" s="1"/>
  <c r="Z464" i="30"/>
  <c r="Y89" i="30" a="1"/>
  <c r="Y89" i="30" s="1"/>
  <c r="W89" i="30" s="1"/>
  <c r="Z89" i="30"/>
  <c r="Y474" i="30" a="1"/>
  <c r="Y474" i="30" s="1"/>
  <c r="W474" i="30" s="1"/>
  <c r="Z474" i="30"/>
  <c r="Y471" i="30" a="1"/>
  <c r="Y471" i="30" s="1"/>
  <c r="W471" i="30" s="1"/>
  <c r="Z471" i="30"/>
  <c r="W21" i="30" l="1"/>
  <c r="U24" i="11" a="1"/>
  <c r="U24" i="11" s="1"/>
  <c r="AF90" i="30"/>
  <c r="AA27" i="11" a="1"/>
  <c r="AA27" i="11" s="1"/>
  <c r="AF114" i="30"/>
  <c r="AC27" i="11" a="1"/>
  <c r="AC27" i="11" s="1"/>
  <c r="AF54" i="30"/>
  <c r="X27" i="11" a="1"/>
  <c r="X27" i="11" s="1"/>
  <c r="AF18" i="30"/>
  <c r="U27" i="11" a="1"/>
  <c r="U27" i="11" s="1"/>
  <c r="AF42" i="30"/>
  <c r="W27" i="11" a="1"/>
  <c r="W27" i="11" s="1"/>
  <c r="AF66" i="30"/>
  <c r="Y27" i="11" a="1"/>
  <c r="Y27" i="11" s="1"/>
  <c r="AF78" i="30"/>
  <c r="Z27" i="11" a="1"/>
  <c r="Z27" i="11" s="1"/>
  <c r="AF102" i="30"/>
  <c r="AB27" i="11" a="1"/>
  <c r="AB27" i="11" s="1"/>
  <c r="AF30" i="30"/>
  <c r="V27" i="11" a="1"/>
  <c r="V27" i="11" s="1"/>
  <c r="W31" i="30"/>
  <c r="V24" i="11" a="1"/>
  <c r="V24" i="11" s="1"/>
  <c r="W95" i="30"/>
  <c r="AA24" i="11" a="1"/>
  <c r="AA24" i="11" s="1"/>
  <c r="V33" i="11" a="1"/>
  <c r="V33" i="11" s="1"/>
  <c r="V35" i="11" s="1"/>
  <c r="I38" i="28" s="1"/>
  <c r="AC24" i="11" a="1"/>
  <c r="AC24" i="11" s="1"/>
  <c r="W115" i="30"/>
  <c r="X24" i="11" a="1"/>
  <c r="X24" i="11" s="1"/>
  <c r="W58" i="30"/>
  <c r="W8" i="30"/>
  <c r="T24" i="11" a="1"/>
  <c r="T24" i="11" s="1"/>
  <c r="T30" i="11" s="1"/>
  <c r="Z24" i="11" a="1"/>
  <c r="Z24" i="11" s="1"/>
  <c r="W78" i="30"/>
  <c r="AB24" i="11" a="1"/>
  <c r="AB24" i="11" s="1"/>
  <c r="W66" i="30"/>
  <c r="Y24" i="11" a="1"/>
  <c r="Y24" i="11" s="1"/>
  <c r="W42" i="30"/>
  <c r="W24" i="11" a="1"/>
  <c r="W24" i="11" s="1"/>
  <c r="I36" i="28" l="1"/>
  <c r="V30" i="11"/>
  <c r="I40" i="28" s="1"/>
  <c r="I43" i="28" s="1"/>
  <c r="AA30" i="11"/>
  <c r="AA36" i="11" s="1"/>
  <c r="X30" i="11"/>
  <c r="X36" i="11" s="1"/>
  <c r="AC30" i="11"/>
  <c r="V63" i="28" s="1"/>
  <c r="R76" i="28" s="1"/>
  <c r="Y30" i="11"/>
  <c r="Y36" i="11" s="1"/>
  <c r="AB30" i="11"/>
  <c r="O40" i="28" s="1"/>
  <c r="Z30" i="11"/>
  <c r="Z36" i="11" s="1"/>
  <c r="U30" i="11"/>
  <c r="W30" i="11"/>
  <c r="W36" i="11" s="1"/>
  <c r="G40" i="28"/>
  <c r="T36" i="11"/>
  <c r="N40" i="28" l="1"/>
  <c r="I42" i="28"/>
  <c r="J76" i="28" s="1"/>
  <c r="V36" i="11"/>
  <c r="P40" i="28"/>
  <c r="P43" i="28" s="1"/>
  <c r="K40" i="28"/>
  <c r="K42" i="28" s="1"/>
  <c r="M40" i="28"/>
  <c r="M42" i="28" s="1"/>
  <c r="L40" i="28"/>
  <c r="L43" i="28" s="1"/>
  <c r="AC36" i="11"/>
  <c r="AB36" i="11"/>
  <c r="H40" i="28"/>
  <c r="U36" i="11"/>
  <c r="J40" i="28"/>
  <c r="J42" i="28" s="1"/>
  <c r="O42" i="28"/>
  <c r="O43" i="28"/>
  <c r="P15" i="27"/>
  <c r="P16" i="27" s="1"/>
  <c r="N15" i="27"/>
  <c r="G43" i="28"/>
  <c r="G42" i="28"/>
  <c r="Q15" i="27"/>
  <c r="Q16" i="27" s="1"/>
  <c r="J73" i="28" l="1"/>
  <c r="J71" i="28"/>
  <c r="J72" i="28"/>
  <c r="J74" i="28"/>
  <c r="J70" i="28"/>
  <c r="J69" i="28"/>
  <c r="J75" i="28"/>
  <c r="Q68" i="28" s="1"/>
  <c r="J68" i="28" s="1"/>
  <c r="P42" i="28"/>
  <c r="N43" i="28"/>
  <c r="N42" i="28"/>
  <c r="Q76" i="28"/>
  <c r="I79" i="28"/>
  <c r="K43" i="28"/>
  <c r="L42" i="28"/>
  <c r="M76" i="28" s="1"/>
  <c r="M43" i="28"/>
  <c r="J43" i="28"/>
  <c r="H43" i="28"/>
  <c r="H42" i="28"/>
  <c r="H71" i="28"/>
  <c r="H72" i="28"/>
  <c r="H74" i="28"/>
  <c r="H68" i="28"/>
  <c r="H73" i="28"/>
  <c r="H67" i="28"/>
  <c r="H70" i="28"/>
  <c r="H69" i="28"/>
  <c r="G79" i="28"/>
  <c r="H75" i="28"/>
  <c r="G46" i="28"/>
  <c r="N73" i="28"/>
  <c r="N74" i="28"/>
  <c r="N75" i="28"/>
  <c r="Q72" i="28" s="1"/>
  <c r="N72" i="28" s="1"/>
  <c r="M79" i="28"/>
  <c r="N76" i="28"/>
  <c r="N16" i="27"/>
  <c r="G16" i="27"/>
  <c r="C4" i="38"/>
  <c r="P75" i="28"/>
  <c r="Q74" i="28" s="1"/>
  <c r="P74" i="28" s="1"/>
  <c r="O79" i="28"/>
  <c r="P76" i="28"/>
  <c r="P18" i="27"/>
  <c r="O16" i="27"/>
  <c r="H15" i="27" s="1"/>
  <c r="Q18" i="27"/>
  <c r="I15" i="27"/>
  <c r="J79" i="28"/>
  <c r="K72" i="28"/>
  <c r="K74" i="28"/>
  <c r="K73" i="28"/>
  <c r="K76" i="28"/>
  <c r="K75" i="28"/>
  <c r="Q69" i="28" s="1"/>
  <c r="K69" i="28" s="1"/>
  <c r="K70" i="28"/>
  <c r="K71" i="28"/>
  <c r="L73" i="28"/>
  <c r="L71" i="28"/>
  <c r="L76" i="28"/>
  <c r="L75" i="28"/>
  <c r="Q70" i="28" s="1"/>
  <c r="L70" i="28" s="1"/>
  <c r="L74" i="28"/>
  <c r="L72" i="28"/>
  <c r="K79" i="28"/>
  <c r="O76" i="28" l="1"/>
  <c r="O74" i="28"/>
  <c r="O75" i="28"/>
  <c r="Q73" i="28" s="1"/>
  <c r="O73" i="28" s="1"/>
  <c r="N79" i="28"/>
  <c r="M73" i="28"/>
  <c r="M75" i="28"/>
  <c r="Q71" i="28" s="1"/>
  <c r="M71" i="28" s="1"/>
  <c r="L79" i="28"/>
  <c r="M72" i="28"/>
  <c r="M74" i="28"/>
  <c r="I74" i="28"/>
  <c r="I76" i="28"/>
  <c r="I73" i="28"/>
  <c r="I69" i="28"/>
  <c r="F69" i="28" s="1"/>
  <c r="J46" i="28" s="1"/>
  <c r="I75" i="28"/>
  <c r="Q67" i="28" s="1"/>
  <c r="I67" i="28" s="1"/>
  <c r="F67" i="28" s="1"/>
  <c r="I68" i="28"/>
  <c r="F68" i="28" s="1"/>
  <c r="H79" i="28"/>
  <c r="I72" i="28"/>
  <c r="I71" i="28"/>
  <c r="I70" i="28"/>
  <c r="F70" i="28" s="1"/>
  <c r="C5" i="38"/>
  <c r="J6" i="7" a="1"/>
  <c r="J6" i="7" s="1"/>
  <c r="Q66" i="28"/>
  <c r="H66" i="28" s="1"/>
  <c r="F66" i="28" s="1"/>
  <c r="O18" i="27"/>
  <c r="C17" i="38" s="1"/>
  <c r="C15" i="38"/>
  <c r="M16" i="27"/>
  <c r="G15" i="27" s="1"/>
  <c r="N18" i="27"/>
  <c r="F76" i="28" l="1"/>
  <c r="F74" i="28"/>
  <c r="O46" i="28" s="1"/>
  <c r="F73" i="28"/>
  <c r="N46" i="28" s="1"/>
  <c r="F71" i="28"/>
  <c r="L46" i="28" s="1"/>
  <c r="F72" i="28"/>
  <c r="H37" i="27" s="1"/>
  <c r="F75" i="28"/>
  <c r="P46" i="28" s="1"/>
  <c r="M18" i="27"/>
  <c r="C16" i="38" s="1"/>
  <c r="C14" i="38"/>
  <c r="K46" i="28"/>
  <c r="H36" i="27"/>
  <c r="O12" i="7"/>
  <c r="S25" i="1"/>
  <c r="M46" i="28" l="1"/>
  <c r="H38" i="27"/>
  <c r="U25" i="1"/>
  <c r="Q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3" authorId="0" shapeId="0" xr:uid="{B058C694-192B-41F7-B074-2E82CD0CA2C8}">
      <text>
        <r>
          <rPr>
            <sz val="9"/>
            <color rgb="FF000000"/>
            <rFont val="Tahoma"/>
            <family val="2"/>
          </rPr>
          <t>Defaults to Going in Cap Rate. User can adjust this value to calculate value at date of refinance.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06110040-948C-4EDF-BADC-1ED1FE0CF008}">
      <text>
        <r>
          <rPr>
            <sz val="14"/>
            <color rgb="FF000000"/>
            <rFont val="Arial Narrow"/>
            <family val="2"/>
          </rPr>
          <t xml:space="preserve">Provide yearly </t>
        </r>
        <r>
          <rPr>
            <b/>
            <sz val="14"/>
            <color rgb="FF000000"/>
            <rFont val="Arial Narrow"/>
            <family val="2"/>
          </rPr>
          <t>growth rates</t>
        </r>
        <r>
          <rPr>
            <sz val="14"/>
            <color rgb="FF000000"/>
            <rFont val="Arial Narrow"/>
            <family val="2"/>
          </rPr>
          <t xml:space="preserve"> for all the areas shaded in green, this is used to provide a more accurate cash flow model.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<sst xmlns="http://schemas.openxmlformats.org/spreadsheetml/2006/main" count="923" uniqueCount="559">
  <si>
    <t>Named Range</t>
  </si>
  <si>
    <t>UI Name</t>
  </si>
  <si>
    <t>Values</t>
  </si>
  <si>
    <t>Unit mix</t>
  </si>
  <si>
    <t>cap_rate</t>
  </si>
  <si>
    <t>Cap Rate</t>
  </si>
  <si>
    <t>count</t>
  </si>
  <si>
    <t>unit_type</t>
  </si>
  <si>
    <t xml:space="preserve">size </t>
  </si>
  <si>
    <t>rent</t>
  </si>
  <si>
    <t>cap_rate_pro_forma</t>
  </si>
  <si>
    <t>Cap Rate (Pro Forma)</t>
  </si>
  <si>
    <t>debt_service</t>
  </si>
  <si>
    <t>Debt Service (Current)</t>
  </si>
  <si>
    <t>debt_service_pro_forma</t>
  </si>
  <si>
    <t>Debt Service (Pro Forma)</t>
  </si>
  <si>
    <t>down_payment</t>
  </si>
  <si>
    <t>Down Payment</t>
  </si>
  <si>
    <t>net_operating_income</t>
  </si>
  <si>
    <t>Net Operating Income (Current)</t>
  </si>
  <si>
    <t>net_operating_income_pro_forma</t>
  </si>
  <si>
    <t>Net Operating Income (Pro Forma)</t>
  </si>
  <si>
    <t>operating_expenses</t>
  </si>
  <si>
    <t>Expenses (Current)</t>
  </si>
  <si>
    <t>operating_expenses_pro_forma</t>
  </si>
  <si>
    <t>Expenses (Pro Forma)</t>
  </si>
  <si>
    <t>principal_reduction_yr_1</t>
  </si>
  <si>
    <t>Principal Reduction (Current)</t>
  </si>
  <si>
    <t>principal_reduction_pro_forma</t>
  </si>
  <si>
    <t>Principal Reduction (Pro Forma)</t>
  </si>
  <si>
    <t>sale_price</t>
  </si>
  <si>
    <t>Proposal Price / Listing Price</t>
  </si>
  <si>
    <t>cash_on_cash</t>
  </si>
  <si>
    <t>Total Return $ (Current)</t>
  </si>
  <si>
    <t>cash_on_cash_pro_forma</t>
  </si>
  <si>
    <t>Total Return $ (Pro Forma)</t>
  </si>
  <si>
    <t>total_return</t>
  </si>
  <si>
    <t>Total Return % (Current)</t>
  </si>
  <si>
    <t>total_return_pro_forma</t>
  </si>
  <si>
    <t>Total Return % (Pro Forma)</t>
  </si>
  <si>
    <t>loan_type</t>
  </si>
  <si>
    <t>Loan Type</t>
  </si>
  <si>
    <t>gross_scheduled_income</t>
  </si>
  <si>
    <t>Gross Potential Rent (Current)</t>
  </si>
  <si>
    <t>gross_scheduled_income_pro_forma</t>
  </si>
  <si>
    <t>Gross Potential Rent (Pro Forma)</t>
  </si>
  <si>
    <t>other_income</t>
  </si>
  <si>
    <t>Total Other Income (Current)</t>
  </si>
  <si>
    <t>other_income_pro_forma</t>
  </si>
  <si>
    <t>Total Other Income (Pro Forma)</t>
  </si>
  <si>
    <t>vacancy_cost</t>
  </si>
  <si>
    <t>Total Vacancy Cost (Current)</t>
  </si>
  <si>
    <t>vacancy_cost_pro_forma</t>
  </si>
  <si>
    <t>Total Vacancy Cost (Pro Forma)</t>
  </si>
  <si>
    <t>vacancy_percent</t>
  </si>
  <si>
    <t>Occupancy (Current)</t>
  </si>
  <si>
    <t>vacancy_percent_pro_forma</t>
  </si>
  <si>
    <t>Occupancy (Pro Forma)</t>
  </si>
  <si>
    <t>unit_count</t>
  </si>
  <si>
    <t>Number of Units</t>
  </si>
  <si>
    <t>exp_reimbursement</t>
  </si>
  <si>
    <t>Expense Reimbursement (Current)</t>
  </si>
  <si>
    <t>exp_reimbursement_pro_forma</t>
  </si>
  <si>
    <t>Expense Reimbursement (Pro Forma)</t>
  </si>
  <si>
    <t>leasing_commissions</t>
  </si>
  <si>
    <t>Leasing Commissions (Current)</t>
  </si>
  <si>
    <t>leasing_commissions_pro_forma</t>
  </si>
  <si>
    <t>Leasing Commissions (Pro Forma)</t>
  </si>
  <si>
    <t>tenant_improvements</t>
  </si>
  <si>
    <t>Tenant Improvements (Current)</t>
  </si>
  <si>
    <t>Tenant</t>
  </si>
  <si>
    <t>tenant_improvements_pro_forma</t>
  </si>
  <si>
    <t>Tenant Improvements (Pro Forma)</t>
  </si>
  <si>
    <t>number_of_lots</t>
  </si>
  <si>
    <t>Number of Lots</t>
  </si>
  <si>
    <t>tenant_name</t>
  </si>
  <si>
    <t>anchor_tenant</t>
  </si>
  <si>
    <t>tenant_type</t>
  </si>
  <si>
    <t>development_type</t>
  </si>
  <si>
    <t>Development Type</t>
  </si>
  <si>
    <t>buildable_sq_ft</t>
  </si>
  <si>
    <t>Buildable Square Feet</t>
  </si>
  <si>
    <t>buildable_units</t>
  </si>
  <si>
    <t>Buildable Units</t>
  </si>
  <si>
    <t>density</t>
  </si>
  <si>
    <t>Density</t>
  </si>
  <si>
    <t>floor_area_ratio</t>
  </si>
  <si>
    <t>Floor Area Ratio (FAR)</t>
  </si>
  <si>
    <t>home_inventory_cost</t>
  </si>
  <si>
    <t>Home Inventory Cost</t>
  </si>
  <si>
    <t>home_rent</t>
  </si>
  <si>
    <t>Gross Potential Home Rent (Current)</t>
  </si>
  <si>
    <t>home_rent_pro_forma</t>
  </si>
  <si>
    <t>Gross Potential Home Rent (Pro Forma)</t>
  </si>
  <si>
    <t>Tenant Type</t>
  </si>
  <si>
    <t>guarantor</t>
  </si>
  <si>
    <t>Guarantor</t>
  </si>
  <si>
    <t>lease_end</t>
  </si>
  <si>
    <t>Lease Expiration</t>
  </si>
  <si>
    <t>lease_term</t>
  </si>
  <si>
    <t>lease_type</t>
  </si>
  <si>
    <t>Lease Type</t>
  </si>
  <si>
    <t>sale_leaseback</t>
  </si>
  <si>
    <t>Sale/Leaseback</t>
  </si>
  <si>
    <t>tenant</t>
  </si>
  <si>
    <t>acquisition_cost</t>
  </si>
  <si>
    <t>Acquisition Cost</t>
  </si>
  <si>
    <t>adr</t>
  </si>
  <si>
    <t>ADR (Current)</t>
  </si>
  <si>
    <t>adr_pro_forma</t>
  </si>
  <si>
    <t>ADR (Pro Forma)</t>
  </si>
  <si>
    <t>revpar</t>
  </si>
  <si>
    <t>RevPAR (Current)</t>
  </si>
  <si>
    <t>revpar_pro_forma</t>
  </si>
  <si>
    <t>RevPAR (Pro Forma)</t>
  </si>
  <si>
    <t>franchise_fee</t>
  </si>
  <si>
    <t>Franchise Fee</t>
  </si>
  <si>
    <t>pip</t>
  </si>
  <si>
    <t>PIP</t>
  </si>
  <si>
    <t>rrm</t>
  </si>
  <si>
    <t>RRM (Current)</t>
  </si>
  <si>
    <t>rrm_pro_forma</t>
  </si>
  <si>
    <t>RRM (Pro Forma)</t>
  </si>
  <si>
    <t>cap_over_lease</t>
  </si>
  <si>
    <t>Cap Over Lease</t>
  </si>
  <si>
    <t>Marcus &amp; Millichap - NMHG - Financial Model</t>
  </si>
  <si>
    <t>Property Information</t>
  </si>
  <si>
    <t>Price</t>
  </si>
  <si>
    <t>Priced or Unpriced Listing</t>
  </si>
  <si>
    <t>Priced</t>
  </si>
  <si>
    <t>Date of Analysis/Acquisition</t>
  </si>
  <si>
    <t>Proposal Purchase Price Increments</t>
  </si>
  <si>
    <t>Property Description Input</t>
  </si>
  <si>
    <t>Property Name</t>
  </si>
  <si>
    <t>Property Address</t>
  </si>
  <si>
    <t>Property City</t>
  </si>
  <si>
    <t>Property State</t>
  </si>
  <si>
    <t>Year Built</t>
  </si>
  <si>
    <t>Net Residual Value</t>
  </si>
  <si>
    <t>10 year Cash Flow analysis/IRR calculation?</t>
  </si>
  <si>
    <t>Rent Roll</t>
  </si>
  <si>
    <t xml:space="preserve">Rent Roll Analysis Start Date </t>
  </si>
  <si>
    <t>Rent Roll Input Type</t>
  </si>
  <si>
    <t>Include Loss/Gain to Lease</t>
  </si>
  <si>
    <t>Total Units</t>
  </si>
  <si>
    <t>Initial Cash-</t>
  </si>
  <si>
    <t>Total Occupied Units</t>
  </si>
  <si>
    <t>Year One</t>
  </si>
  <si>
    <t>on-Cash</t>
  </si>
  <si>
    <t>Unleveraged</t>
  </si>
  <si>
    <t>Leveraged</t>
  </si>
  <si>
    <t>Year 1 Rent Growth</t>
  </si>
  <si>
    <t>Return</t>
  </si>
  <si>
    <t xml:space="preserve"> IRR</t>
  </si>
  <si>
    <t>IRR</t>
  </si>
  <si>
    <t>Per SF</t>
  </si>
  <si>
    <t>Per Unit</t>
  </si>
  <si>
    <t>GRM</t>
  </si>
  <si>
    <t>Capital Expenditures (ie. Renovation Costs, major replacement, etc.)</t>
  </si>
  <si>
    <t>CapEx Schedule</t>
  </si>
  <si>
    <t>If using capital expenditure, then select Yes</t>
  </si>
  <si>
    <t>Years</t>
  </si>
  <si>
    <t>Annual Amount</t>
  </si>
  <si>
    <t xml:space="preserve"> Exit Capitalization Rate</t>
  </si>
  <si>
    <t xml:space="preserve"> Cost of Sale</t>
  </si>
  <si>
    <t>Seller's Existing Debt</t>
  </si>
  <si>
    <t>New Loan</t>
  </si>
  <si>
    <t>Mezzanine Loan</t>
  </si>
  <si>
    <t>Refinanced Loan</t>
  </si>
  <si>
    <t>Loan</t>
  </si>
  <si>
    <t>Beginning</t>
  </si>
  <si>
    <t>Ending</t>
  </si>
  <si>
    <t>Year</t>
  </si>
  <si>
    <t>PMT</t>
  </si>
  <si>
    <t>Date</t>
  </si>
  <si>
    <t>Loan Balance</t>
  </si>
  <si>
    <t>Payment</t>
  </si>
  <si>
    <t>Principal</t>
  </si>
  <si>
    <t>Interest</t>
  </si>
  <si>
    <t>-</t>
  </si>
  <si>
    <t>Buyer's Acquisition Financing</t>
  </si>
  <si>
    <t>Acquisition Financing Type</t>
  </si>
  <si>
    <t>Financed - New Loan</t>
  </si>
  <si>
    <t>Navigation Bar</t>
  </si>
  <si>
    <t>Mezzanine Financing</t>
  </si>
  <si>
    <t>Yes</t>
  </si>
  <si>
    <t>Input</t>
  </si>
  <si>
    <t>Include Refinancing?</t>
  </si>
  <si>
    <t>Debt Input</t>
  </si>
  <si>
    <t>Rent Roll Input</t>
  </si>
  <si>
    <t>Does The Seller Have Existing Debt</t>
  </si>
  <si>
    <t>No</t>
  </si>
  <si>
    <t>Equity Returns Input</t>
  </si>
  <si>
    <t>Rent Roll Detail</t>
  </si>
  <si>
    <t>DEBT FINANCING</t>
  </si>
  <si>
    <t>Loan Cash Flow Summary</t>
  </si>
  <si>
    <t>Rent Roll Summary</t>
  </si>
  <si>
    <t>Operating Statement</t>
  </si>
  <si>
    <t>Existing Debt</t>
  </si>
  <si>
    <t>Refinance Loan</t>
  </si>
  <si>
    <t>Refinance Loan Options</t>
  </si>
  <si>
    <t>Notes</t>
  </si>
  <si>
    <t>Pricing Detail</t>
  </si>
  <si>
    <t>Loan Name/Type*</t>
  </si>
  <si>
    <t>Refinance Ballon Amount from Loan(s)</t>
  </si>
  <si>
    <t>Growth Rates</t>
  </si>
  <si>
    <t>Origination Date</t>
  </si>
  <si>
    <t>Cash Flow</t>
  </si>
  <si>
    <t>Original Loan Amount</t>
  </si>
  <si>
    <t>Proposal Price IRR</t>
  </si>
  <si>
    <t>LTV</t>
  </si>
  <si>
    <t>Equity Returns Options</t>
  </si>
  <si>
    <t>Equity Returns Chart</t>
  </si>
  <si>
    <t>Interest Rate</t>
  </si>
  <si>
    <t>Compounding</t>
  </si>
  <si>
    <t>Cap Rate at Refi</t>
  </si>
  <si>
    <t>Term (Years)</t>
  </si>
  <si>
    <t>Maturity Date</t>
  </si>
  <si>
    <t>Cash Out</t>
  </si>
  <si>
    <t>Interest Only Period (Months)</t>
  </si>
  <si>
    <t>Amortization Period (Years)</t>
  </si>
  <si>
    <t>Loan Constant</t>
  </si>
  <si>
    <t>Monthly Payment (After Interest Only Period)</t>
  </si>
  <si>
    <t>Monthly Payment (Interest Only)</t>
  </si>
  <si>
    <t>Total Interest</t>
  </si>
  <si>
    <t>Annual Debt Service Payment (P&amp;I only)</t>
  </si>
  <si>
    <t>Total Principal</t>
  </si>
  <si>
    <t>Outstanding Loan Balance at Maturity</t>
  </si>
  <si>
    <t>Take-Out Loan</t>
  </si>
  <si>
    <t>Term Remaining (Months)</t>
  </si>
  <si>
    <t>Remaining Balance</t>
  </si>
  <si>
    <t>Loan Origination Fee (0.00%)</t>
  </si>
  <si>
    <t>Loan Origination Fee</t>
  </si>
  <si>
    <t>Prepayment Penalty ($)</t>
  </si>
  <si>
    <t>Cash Flow From Financing</t>
  </si>
  <si>
    <t>User Input</t>
  </si>
  <si>
    <t>Calculation</t>
  </si>
  <si>
    <t>Bed</t>
  </si>
  <si>
    <t>Bath</t>
  </si>
  <si>
    <t>Unit No.</t>
  </si>
  <si>
    <t>Unit Description</t>
  </si>
  <si>
    <t>Units</t>
  </si>
  <si>
    <t>Square Feet</t>
  </si>
  <si>
    <t>Currrent Rent / Unit / Month</t>
  </si>
  <si>
    <t>Potential Rent / Unit / Month</t>
  </si>
  <si>
    <t>Reno Rent / Unit / Month</t>
  </si>
  <si>
    <t>Scheduled Rent / Unit / Month</t>
  </si>
  <si>
    <t>Current Rent / SF / Month</t>
  </si>
  <si>
    <t>Potential Rent / SF / Month</t>
  </si>
  <si>
    <t>Reno Rent / SF / Month</t>
  </si>
  <si>
    <t>Scheduled Rent / SF / Month</t>
  </si>
  <si>
    <t>Current Rent / SF / Year</t>
  </si>
  <si>
    <t>Potential Rent / SF / Year</t>
  </si>
  <si>
    <t>Reno Rent / SF / Year</t>
  </si>
  <si>
    <t>Scheduled Rent / SF / Year</t>
  </si>
  <si>
    <t>Total Sq Ft</t>
  </si>
  <si>
    <t>Unit Type</t>
  </si>
  <si>
    <t>HIDE</t>
  </si>
  <si>
    <t>Totals/Weighted Averages</t>
  </si>
  <si>
    <t>SED_</t>
  </si>
  <si>
    <t>NEW_</t>
  </si>
  <si>
    <t>Mezz_</t>
  </si>
  <si>
    <t>Refi_</t>
  </si>
  <si>
    <t>Operating Statement Columns</t>
  </si>
  <si>
    <t>Variable</t>
  </si>
  <si>
    <t>Current</t>
  </si>
  <si>
    <t>Value</t>
  </si>
  <si>
    <t>Stored Value</t>
  </si>
  <si>
    <t>NumColumns</t>
  </si>
  <si>
    <t>Rate_Compounding_Switch</t>
  </si>
  <si>
    <t>Variable_Rent_Roll_Detail</t>
  </si>
  <si>
    <t>Year 10</t>
  </si>
  <si>
    <t>Value 1</t>
  </si>
  <si>
    <t>Prior 2</t>
  </si>
  <si>
    <t>Rate_Period_Switch</t>
  </si>
  <si>
    <t>hide_sale_price</t>
  </si>
  <si>
    <t>Purchase</t>
  </si>
  <si>
    <t>Unlevered</t>
  </si>
  <si>
    <t>Levered</t>
  </si>
  <si>
    <t>Value 2</t>
  </si>
  <si>
    <t>Prior 1</t>
  </si>
  <si>
    <t>I_Adj</t>
  </si>
  <si>
    <t>NewIncrement</t>
  </si>
  <si>
    <t>Value 3</t>
  </si>
  <si>
    <t>Amort_Periods</t>
  </si>
  <si>
    <t>Value 4</t>
  </si>
  <si>
    <t>Year 1</t>
  </si>
  <si>
    <t>Amort_P_Adj</t>
  </si>
  <si>
    <t>Value 5</t>
  </si>
  <si>
    <t>Year 2</t>
  </si>
  <si>
    <t>Int_Only_Period</t>
  </si>
  <si>
    <t>Orig_Loan_Amount</t>
  </si>
  <si>
    <t>CUMPRINC</t>
  </si>
  <si>
    <t>Loan_Balance</t>
  </si>
  <si>
    <t>Loan_Payment</t>
  </si>
  <si>
    <t>Loan_Due_Date</t>
  </si>
  <si>
    <t>IPMT</t>
  </si>
  <si>
    <t>PPMT</t>
  </si>
  <si>
    <t>FV</t>
  </si>
  <si>
    <t>Time Remaining</t>
  </si>
  <si>
    <t>CUMIPMT</t>
  </si>
  <si>
    <t>Refi_Term</t>
  </si>
  <si>
    <t>FV_Refi</t>
  </si>
  <si>
    <t>Priciple Reduction 1st Year</t>
  </si>
  <si>
    <t>Gross Annualized Rents</t>
  </si>
  <si>
    <t>_Term</t>
  </si>
  <si>
    <t>_Begin_PMT</t>
  </si>
  <si>
    <t>Total_Sq_Ft</t>
  </si>
  <si>
    <t>Loan_Origination_Fee</t>
  </si>
  <si>
    <t>SED_to_Refi_Period</t>
  </si>
  <si>
    <t>Interest_Only_PMT</t>
  </si>
  <si>
    <t>Monthly Income - Current</t>
  </si>
  <si>
    <t>Gross Current Rent</t>
  </si>
  <si>
    <t>Monthly Income - Scheduled</t>
  </si>
  <si>
    <t>Gross Scheduled Rent</t>
  </si>
  <si>
    <t>Monthly Income - Potential</t>
  </si>
  <si>
    <t>Gross Potential Rent</t>
  </si>
  <si>
    <t>Monthly Income - Reno</t>
  </si>
  <si>
    <t>Gross Reno Rent</t>
  </si>
  <si>
    <t>Scheduled</t>
  </si>
  <si>
    <t>Potential</t>
  </si>
  <si>
    <t>Reno</t>
  </si>
  <si>
    <t>Avg Sq Ft</t>
  </si>
  <si>
    <t>Min Rent - Scheduled</t>
  </si>
  <si>
    <t>Max Rent - Scheduled</t>
  </si>
  <si>
    <t>Rental Range - Scheduled</t>
  </si>
  <si>
    <t>Min Rent - Current</t>
  </si>
  <si>
    <t>Max Rent - Current</t>
  </si>
  <si>
    <t>Rental Range - Current</t>
  </si>
  <si>
    <t>Avg Rent Mo - Current</t>
  </si>
  <si>
    <t>Avg Rent Yr - Current</t>
  </si>
  <si>
    <t>Yearly Income - Current</t>
  </si>
  <si>
    <t>Avg Rent Mo - Scheduled</t>
  </si>
  <si>
    <t>Avg Rent Yr - Scheduled</t>
  </si>
  <si>
    <t>Yearly Income - Scheduled</t>
  </si>
  <si>
    <t>Avg Rent Mo - Potential</t>
  </si>
  <si>
    <t>Avg Rent Yr - Potential</t>
  </si>
  <si>
    <t>Yearly Income - Potential</t>
  </si>
  <si>
    <t>Total Rent Mo - Reno</t>
  </si>
  <si>
    <t>Avg Rent Mo - Reno</t>
  </si>
  <si>
    <t>Avg Rent Yr - Reno</t>
  </si>
  <si>
    <t>Avg Rent / SF / Mo - Current</t>
  </si>
  <si>
    <t>Avg Rent / SF / Mo - Scheduled</t>
  </si>
  <si>
    <t>Avg Rent / SF / Mo - Potential</t>
  </si>
  <si>
    <t>Avg Rent / SF / Mo - Reno</t>
  </si>
  <si>
    <t>Avg Rent / SF / Yr - Current</t>
  </si>
  <si>
    <t>Avg Rent / SF / Yr - Scheduled</t>
  </si>
  <si>
    <t>Avg Rent / SF / Yr - Potential</t>
  </si>
  <si>
    <t>Avg Rent / SF / Yr - Reno</t>
  </si>
  <si>
    <t>STRATEGIC OWNERSHIP OPTIONS</t>
  </si>
  <si>
    <t>SALE</t>
  </si>
  <si>
    <t>Sale Price</t>
  </si>
  <si>
    <t>Less: Commissions/Adjustments</t>
  </si>
  <si>
    <t>Less: Mortgage Balance</t>
  </si>
  <si>
    <t>Less: Prepayment Penalty</t>
  </si>
  <si>
    <t>Seller's Net Proceeds</t>
  </si>
  <si>
    <t>NOI to use for Hold &amp; Refinance Scenarios:</t>
  </si>
  <si>
    <t>SELL &amp; EXCHANGE</t>
  </si>
  <si>
    <t>HOLD</t>
  </si>
  <si>
    <t>REFINANCE</t>
  </si>
  <si>
    <t>SELL</t>
  </si>
  <si>
    <t>Property Type</t>
  </si>
  <si>
    <t>Multifamily</t>
  </si>
  <si>
    <t>Address</t>
  </si>
  <si>
    <t>Less: Prepayment Penalty/Defeasance</t>
  </si>
  <si>
    <t>City, State</t>
  </si>
  <si>
    <t>Price (Appraised Value)</t>
  </si>
  <si>
    <t>Gross Sales Proceeds</t>
  </si>
  <si>
    <t>CAP Rate</t>
  </si>
  <si>
    <t>Fees/Transfer Taxes</t>
  </si>
  <si>
    <t>Current Loan Balance</t>
  </si>
  <si>
    <t>Down Payment*</t>
  </si>
  <si>
    <t>Current Equity</t>
  </si>
  <si>
    <t>New Loan Amount</t>
  </si>
  <si>
    <t>Loan Amount</t>
  </si>
  <si>
    <t>Mortgage Balance</t>
  </si>
  <si>
    <t>Net Proceeds From New Loan</t>
  </si>
  <si>
    <t>Amortization</t>
  </si>
  <si>
    <t>Capital Gains Taxes</t>
  </si>
  <si>
    <t>Term</t>
  </si>
  <si>
    <t>Net Operating Income</t>
  </si>
  <si>
    <t>Less: Debt Service</t>
  </si>
  <si>
    <t>Net Cash Flow After Debt Service</t>
  </si>
  <si>
    <t>Sale without 1031 Exchange</t>
  </si>
  <si>
    <t>Return on Equity</t>
  </si>
  <si>
    <t>Sale with 1031 Exchange</t>
  </si>
  <si>
    <t xml:space="preserve">Notes: </t>
  </si>
  <si>
    <t>All Cash</t>
  </si>
  <si>
    <t>Hide</t>
  </si>
  <si>
    <t>Yes, Loan Amount is Known</t>
  </si>
  <si>
    <t>Financed - Assumed Loan</t>
  </si>
  <si>
    <t>Yes, Loan Amount is Estimated</t>
  </si>
  <si>
    <t>Highlight Alternating rows?</t>
  </si>
  <si>
    <t>Select Columns for output</t>
  </si>
  <si>
    <t>Show Annualized Rents</t>
  </si>
  <si>
    <t>OPERATING STATEMENT</t>
  </si>
  <si>
    <t>Remove Input Shading</t>
  </si>
  <si>
    <t>INCOME</t>
  </si>
  <si>
    <t>Prior 3</t>
  </si>
  <si>
    <t>CURRENT</t>
  </si>
  <si>
    <t>YEAR 1</t>
  </si>
  <si>
    <t>NOTES</t>
  </si>
  <si>
    <t>PER UNIT</t>
  </si>
  <si>
    <t>PER SF</t>
  </si>
  <si>
    <t>Rental Income</t>
  </si>
  <si>
    <t>Loss / Gain to Lease</t>
  </si>
  <si>
    <t>Physical Vacancy</t>
  </si>
  <si>
    <t>Economic Vacancy</t>
  </si>
  <si>
    <t>Non-Revenue Units</t>
  </si>
  <si>
    <t>Bad Debt</t>
  </si>
  <si>
    <t>Concession</t>
  </si>
  <si>
    <t>TOTAL VACANCY</t>
  </si>
  <si>
    <t>Economic Occupancy</t>
  </si>
  <si>
    <t>Effective Rental Income</t>
  </si>
  <si>
    <t>Other Income</t>
  </si>
  <si>
    <t>Utility Bill-Back</t>
  </si>
  <si>
    <t>All Other Income</t>
  </si>
  <si>
    <t>TOTAL OTHER INCOME</t>
  </si>
  <si>
    <t>EFFECTIVE GROSS INCOME</t>
  </si>
  <si>
    <t>EXPENSES</t>
  </si>
  <si>
    <t>Real Estate Taxes</t>
  </si>
  <si>
    <t>Insurance</t>
  </si>
  <si>
    <t>Utilities</t>
  </si>
  <si>
    <t>Utilities - Electric</t>
  </si>
  <si>
    <t>Utilities - Water &amp; Sewer</t>
  </si>
  <si>
    <t>Utilities - Gas</t>
  </si>
  <si>
    <t>Operating Expenses</t>
  </si>
  <si>
    <t>Trash Removal</t>
  </si>
  <si>
    <t>Repairs &amp; Maintenance</t>
  </si>
  <si>
    <t>Landscaping</t>
  </si>
  <si>
    <t>Marketing &amp; Advertising</t>
  </si>
  <si>
    <t>Payroll</t>
  </si>
  <si>
    <t>Alarm Monitoring/Inspection</t>
  </si>
  <si>
    <t>General &amp; Administrative</t>
  </si>
  <si>
    <t>Misc. Expenses</t>
  </si>
  <si>
    <t>Operating Reserves</t>
  </si>
  <si>
    <t>Management Fee</t>
  </si>
  <si>
    <t>TOTAL EXPENSES</t>
  </si>
  <si>
    <t>EXPENSES AS % OF EGI</t>
  </si>
  <si>
    <t>NET OPERATING INCOME</t>
  </si>
  <si>
    <t>Notes and assumptions to the above analysis are on the following page.</t>
  </si>
  <si>
    <t>NOTES TO OPERATING STATEMENT</t>
  </si>
  <si>
    <t>PRICING DETAILS</t>
  </si>
  <si>
    <t xml:space="preserve">SUMMARY </t>
  </si>
  <si>
    <t>OPERATING DATA</t>
  </si>
  <si>
    <t xml:space="preserve">Rent Multiplier: </t>
  </si>
  <si>
    <t xml:space="preserve">Price </t>
  </si>
  <si>
    <t xml:space="preserve">Number of Units </t>
  </si>
  <si>
    <t xml:space="preserve">Price Per Unit </t>
  </si>
  <si>
    <t xml:space="preserve">Price Per SqFt </t>
  </si>
  <si>
    <t>Less: Vacancy/Deductions</t>
  </si>
  <si>
    <t>Total Effective Rental Income</t>
  </si>
  <si>
    <t xml:space="preserve">Other Income </t>
  </si>
  <si>
    <t xml:space="preserve">Effective Gross Income </t>
  </si>
  <si>
    <t>RETURNS</t>
  </si>
  <si>
    <t xml:space="preserve">Less: Expenses </t>
  </si>
  <si>
    <t xml:space="preserve">Net Operating Income </t>
  </si>
  <si>
    <t>Cash-on-Cash</t>
  </si>
  <si>
    <t xml:space="preserve">Debt Service </t>
  </si>
  <si>
    <t xml:space="preserve">Debt Coverage Ratio </t>
  </si>
  <si>
    <t xml:space="preserve">Net Cash Flow After Debt Service </t>
  </si>
  <si>
    <t xml:space="preserve">Principal Reduction </t>
  </si>
  <si>
    <t>TOTAL RETURN</t>
  </si>
  <si>
    <t xml:space="preserve">FINANCING </t>
  </si>
  <si>
    <t>1st Loan</t>
  </si>
  <si>
    <t xml:space="preserve">Loan Amount </t>
  </si>
  <si>
    <t xml:space="preserve">Loan Type </t>
  </si>
  <si>
    <t xml:space="preserve">Interest Rate </t>
  </si>
  <si>
    <t xml:space="preserve">Amortization </t>
  </si>
  <si>
    <t xml:space="preserve">Year Due </t>
  </si>
  <si>
    <t xml:space="preserve">  Loan information is subject to change. Contact your Marcus &amp; Millichap Capital Corporation representative.</t>
  </si>
  <si>
    <t># OF UNITS</t>
  </si>
  <si>
    <t>UNIT TYPE</t>
  </si>
  <si>
    <t xml:space="preserve">SQFT/UNIT </t>
  </si>
  <si>
    <t>SCHEDULED RENTS</t>
  </si>
  <si>
    <t>MARKET RENTS</t>
  </si>
  <si>
    <t>IRR Year</t>
  </si>
  <si>
    <t>IRR Unlevered</t>
  </si>
  <si>
    <t>Expenses/Unit</t>
  </si>
  <si>
    <t>Expenses/SF</t>
  </si>
  <si>
    <t>GROWTH RATE PROJECTIONS</t>
  </si>
  <si>
    <t>Income</t>
  </si>
  <si>
    <t>Economic Vacancy (1)</t>
  </si>
  <si>
    <t>Total Vacancy</t>
  </si>
  <si>
    <t>(1) Displayed as a % of Gross Potential Rent</t>
  </si>
  <si>
    <t>(2) Management Fees Calculated by % of EGR</t>
  </si>
  <si>
    <t>CASH FLOW</t>
  </si>
  <si>
    <t>Total Expenses</t>
  </si>
  <si>
    <t>PURCHASE PRICE / NET RESIDUAL VALUE</t>
  </si>
  <si>
    <t>Purchase Price/Net Residual Value</t>
  </si>
  <si>
    <t>Cash Flow Before Debt Financing</t>
  </si>
  <si>
    <t>Loan Origination Fees</t>
  </si>
  <si>
    <t>Prepayment Penalty</t>
  </si>
  <si>
    <t>Closing Costs</t>
  </si>
  <si>
    <t>Debt Service - Interest</t>
  </si>
  <si>
    <t>Debt Service - Principal</t>
  </si>
  <si>
    <t>Cash Flow After Debt Financing</t>
  </si>
  <si>
    <t>Debt Coverage Ratio</t>
  </si>
  <si>
    <t>INVESTOR RETURN</t>
  </si>
  <si>
    <t>IRR-Unleveraged</t>
  </si>
  <si>
    <t>IRR-Leveraged</t>
  </si>
  <si>
    <t xml:space="preserve">Capitalization Rate </t>
  </si>
  <si>
    <t>Cashflow</t>
  </si>
  <si>
    <t>Disposition - Cost of Sale + NOI</t>
  </si>
  <si>
    <t>10/Net</t>
  </si>
  <si>
    <t>Cost of Sale</t>
  </si>
  <si>
    <t>Disposition</t>
  </si>
  <si>
    <t>Pro Forma Pricing CF Scenarios</t>
  </si>
  <si>
    <t>Year 11 Unleveraged CF</t>
  </si>
  <si>
    <t>Year 11 Leveraged CF</t>
  </si>
  <si>
    <t>Cash flow</t>
  </si>
  <si>
    <t>10 Net</t>
  </si>
  <si>
    <t>11 Net</t>
  </si>
  <si>
    <t>Balloon</t>
  </si>
  <si>
    <t>Disposition based on Exit Cap from Input Tab</t>
  </si>
  <si>
    <t>PROPOSAL PRICE IRR</t>
  </si>
  <si>
    <t>A TRADE PRICE IN THE CURRENT INVESTMENT ENVIRONMENT OF</t>
  </si>
  <si>
    <t xml:space="preserve">Number of Increments: </t>
  </si>
  <si>
    <t xml:space="preserve">Display Increments for: </t>
  </si>
  <si>
    <t>Both</t>
  </si>
  <si>
    <t>to</t>
  </si>
  <si>
    <t>NET RESIDUAL VALUE</t>
  </si>
  <si>
    <t>MARKET LOAN</t>
  </si>
  <si>
    <t>Mezzanine</t>
  </si>
  <si>
    <t>Year Capitalized</t>
  </si>
  <si>
    <t>Capitalization Rate - Terminal</t>
  </si>
  <si>
    <t>Amortization Period</t>
  </si>
  <si>
    <t>Months of Interest Only</t>
  </si>
  <si>
    <t>Annual Loan Constant</t>
  </si>
  <si>
    <t>Loan Term</t>
  </si>
  <si>
    <t>Loan to Value</t>
  </si>
  <si>
    <t>PROPERTY DETAILS</t>
  </si>
  <si>
    <t>Total Number of Units</t>
  </si>
  <si>
    <t>Total Square Feet</t>
  </si>
  <si>
    <t>Average Monthly Rent Per Unit</t>
  </si>
  <si>
    <t>Average Square Feet Per Unit</t>
  </si>
  <si>
    <t>Asset Type</t>
  </si>
  <si>
    <t>* Calculated as gross selling price minus loan balance, commission, applicable prepayment and/or miscellaneous amounts</t>
  </si>
  <si>
    <t>SCENARIO RETURNS ANALYSIS</t>
  </si>
  <si>
    <t>Property</t>
  </si>
  <si>
    <t>Price/SF</t>
  </si>
  <si>
    <t>1 Bed Avg Rent</t>
  </si>
  <si>
    <t>2 Bed Avg Rent</t>
  </si>
  <si>
    <t>3 Bed Avg Rent</t>
  </si>
  <si>
    <t>4 Bed Avg Rent</t>
  </si>
  <si>
    <t>Subject</t>
  </si>
  <si>
    <t>Comp 1</t>
  </si>
  <si>
    <t>Comp 2</t>
  </si>
  <si>
    <t>Comp 3</t>
  </si>
  <si>
    <t>Comp 4</t>
  </si>
  <si>
    <t>Price/Unit</t>
  </si>
  <si>
    <t>Type of value</t>
  </si>
  <si>
    <t>missing</t>
  </si>
  <si>
    <t>formula</t>
  </si>
  <si>
    <t>cell reference</t>
  </si>
  <si>
    <t>cell reference (once removed)</t>
  </si>
  <si>
    <t>Refers to Annual_Rent</t>
  </si>
  <si>
    <t>Refers to AF_Type</t>
  </si>
  <si>
    <t>rfo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</si>
</sst>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numFmt numFmtId="165" formatCode="0.000%"/>
    <numFmt numFmtId="166" formatCode="0.0000"/>
    <numFmt numFmtId="167" formatCode="&quot;$&quot;#,##0.00"/>
    <numFmt numFmtId="168" formatCode="#,##0\ &quot;SF&quot;"/>
    <numFmt numFmtId="169" formatCode="#,##0.00\ &quot;Acres&quot;"/>
    <numFmt numFmtId="170" formatCode="0.00&quot;%&quot;"/>
    <numFmt numFmtId="171" formatCode="0.0%"/>
    <numFmt numFmtId="172" formatCode="0.0000%"/>
    <numFmt numFmtId="173" formatCode="_(* #,##0_);_(* \(#,##0\);_(* &quot;-&quot;??_);_(@_)"/>
    <numFmt numFmtId="174" formatCode="&quot;[&quot;0\]"/>
    <numFmt numFmtId="175" formatCode="&quot;[&quot;\ #\ &quot;]&quot;"/>
    <numFmt numFmtId="176" formatCode="0\ &quot;Years&quot;"/>
    <numFmt numFmtId="177" formatCode="yyyy"/>
    <numFmt numFmtId="178" formatCode="_(* #,##0.0000_);_(* \(#,##0.0000\);_(* &quot;-&quot;????_);_(@_)"/>
    <numFmt numFmtId="179" formatCode="mmm\-yyyy"/>
    <numFmt numFmtId="180" formatCode="0\ &quot;Months&quot;"/>
    <numFmt numFmtId="181" formatCode="dd\-mmm\-yyyy"/>
  </numFmts>
  <fonts count="96" x14ac:knownFonts="1">
    <font>
      <sz val="11"/>
      <color theme="1"/>
      <name val="Calibri"/>
      <family val="2"/>
      <scheme val="minor"/>
    </font>
    <font>
      <sz val="10"/>
      <color theme="1"/>
      <name val="Frank Ruhl Libre"/>
      <charset val="177"/>
    </font>
    <font>
      <sz val="11"/>
      <color theme="1"/>
      <name val="Frank Ruhl Libre"/>
      <charset val="177"/>
    </font>
    <font>
      <sz val="9"/>
      <color theme="1"/>
      <name val="Frank Ruhl Libre"/>
      <charset val="177"/>
    </font>
    <font>
      <b/>
      <sz val="18"/>
      <color rgb="FFFFFFFF"/>
      <name val="Frank Ruhl Libre"/>
      <charset val="177"/>
    </font>
    <font>
      <b/>
      <sz val="9"/>
      <color rgb="FFFFFFFF"/>
      <name val="Frank Ruhl Libre"/>
      <charset val="177"/>
    </font>
    <font>
      <sz val="9"/>
      <color rgb="FF000000"/>
      <name val="Frank Ruhl Libre"/>
      <charset val="177"/>
    </font>
    <font>
      <sz val="10"/>
      <color theme="1"/>
      <name val="Arial"/>
      <family val="2"/>
    </font>
    <font>
      <sz val="10"/>
      <color indexed="8"/>
      <name val="Arial"/>
      <family val="2"/>
    </font>
    <font>
      <sz val="11"/>
      <color rgb="FF9C6500"/>
      <name val="Calibri"/>
      <family val="2"/>
      <scheme val="minor"/>
    </font>
    <font>
      <sz val="10"/>
      <color theme="1"/>
      <name val="Calibri"/>
      <family val="2"/>
      <scheme val="minor"/>
    </font>
    <font>
      <b/>
      <sz val="11"/>
      <color rgb="FFFF7F00"/>
      <name val="Calibri"/>
      <family val="2"/>
      <scheme val="minor"/>
    </font>
    <font>
      <sz val="11"/>
      <color rgb="FF000000"/>
      <name val="Calibri"/>
      <family val="2"/>
      <scheme val="minor"/>
    </font>
    <font>
      <sz val="11"/>
      <color theme="1"/>
      <name val="Calibri"/>
      <family val="2"/>
      <scheme val="minor"/>
    </font>
    <font>
      <b/>
      <sz val="10"/>
      <color rgb="FFFFFFFF"/>
      <name val="Frank Ruhl Libre"/>
      <charset val="177"/>
    </font>
    <font>
      <sz val="9"/>
      <name val="Frank Ruhl Libre"/>
      <charset val="177"/>
    </font>
    <font>
      <b/>
      <u/>
      <sz val="9"/>
      <color theme="1"/>
      <name val="Frank Ruhl Libre"/>
      <charset val="177"/>
    </font>
    <font>
      <b/>
      <u/>
      <sz val="9"/>
      <color rgb="FF000000"/>
      <name val="Frank Ruhl Libre"/>
      <charset val="177"/>
    </font>
    <font>
      <b/>
      <sz val="11"/>
      <color theme="1"/>
      <name val="Calibri"/>
      <family val="2"/>
      <scheme val="minor"/>
    </font>
    <font>
      <sz val="10"/>
      <color rgb="FF002855"/>
      <name val="Frank Ruhl Libre"/>
      <charset val="177"/>
    </font>
    <font>
      <sz val="10"/>
      <color rgb="FF4D4D4D"/>
      <name val="Frank Ruhl Libre"/>
      <charset val="177"/>
    </font>
    <font>
      <sz val="6.5"/>
      <color theme="3"/>
      <name val="Frank Ruhl Libre Regular"/>
    </font>
    <font>
      <sz val="6.5"/>
      <color indexed="8"/>
      <name val="Frank Ruhl Libre Regular"/>
    </font>
    <font>
      <sz val="6.5"/>
      <color rgb="FF000000"/>
      <name val="Frank Ruhl Libre Regular"/>
    </font>
    <font>
      <sz val="6.5"/>
      <color rgb="FFFF0000"/>
      <name val="Frank Ruhl Libre Regular"/>
    </font>
    <font>
      <sz val="6.5"/>
      <color theme="1"/>
      <name val="Frank Ruhl Libre Regular"/>
    </font>
    <font>
      <sz val="6.5"/>
      <color rgb="FF404040"/>
      <name val="Frank Ruhl Libre Regular"/>
    </font>
    <font>
      <sz val="6.5"/>
      <color rgb="FF002855"/>
      <name val="Frank Ruhl Libre Regular"/>
    </font>
    <font>
      <sz val="6.5"/>
      <color theme="0"/>
      <name val="Frank Ruhl Libre Regular"/>
    </font>
    <font>
      <sz val="6.5"/>
      <name val="Frank Ruhl Libre Regular"/>
    </font>
    <font>
      <sz val="6.5"/>
      <color theme="2"/>
      <name val="Frank Ruhl Libre Regular"/>
    </font>
    <font>
      <b/>
      <sz val="6.5"/>
      <color rgb="FF404040"/>
      <name val="Frank Ruhl Libre Regular"/>
    </font>
    <font>
      <b/>
      <sz val="6.5"/>
      <color indexed="8"/>
      <name val="Frank Ruhl Libre Regular"/>
    </font>
    <font>
      <b/>
      <sz val="6.5"/>
      <name val="Frank Ruhl Libre Regular"/>
    </font>
    <font>
      <sz val="10"/>
      <name val="Times New Roman"/>
      <family val="1"/>
    </font>
    <font>
      <sz val="9"/>
      <color rgb="FF404040"/>
      <name val="Frank Ruhl Libre Regular"/>
    </font>
    <font>
      <sz val="6.5"/>
      <color rgb="FFD0CECE"/>
      <name val="Frank Ruhl Libre Regular"/>
    </font>
    <font>
      <sz val="9"/>
      <color theme="1"/>
      <name val="Frank Ruhl Libre Regular"/>
    </font>
    <font>
      <sz val="9"/>
      <color rgb="FF000000"/>
      <name val="Frank Ruhl Libre Regular"/>
    </font>
    <font>
      <b/>
      <sz val="9"/>
      <color theme="0"/>
      <name val="Frank Ruhl Libre"/>
      <charset val="177"/>
    </font>
    <font>
      <sz val="7"/>
      <color rgb="FF002855"/>
      <name val="Frank Ruhl Libre Regular"/>
    </font>
    <font>
      <sz val="7"/>
      <color indexed="8"/>
      <name val="Frank Ruhl Libre Regular"/>
    </font>
    <font>
      <sz val="7"/>
      <color theme="3"/>
      <name val="Frank Ruhl Libre Regular"/>
    </font>
    <font>
      <b/>
      <sz val="7"/>
      <color indexed="9"/>
      <name val="Frank Ruhl Libre Regular"/>
    </font>
    <font>
      <sz val="7"/>
      <color rgb="FF000000"/>
      <name val="Frank Ruhl Libre Regular"/>
    </font>
    <font>
      <sz val="7"/>
      <color rgb="FF404040"/>
      <name val="Frank Ruhl Libre Regular"/>
    </font>
    <font>
      <sz val="7"/>
      <color theme="1"/>
      <name val="Frank Ruhl Libre Regular"/>
    </font>
    <font>
      <b/>
      <sz val="7"/>
      <color rgb="FF404040"/>
      <name val="Frank Ruhl Libre Regular"/>
    </font>
    <font>
      <u/>
      <sz val="10"/>
      <color theme="10"/>
      <name val="Arial"/>
      <family val="2"/>
    </font>
    <font>
      <b/>
      <sz val="7"/>
      <color theme="1"/>
      <name val="Frank Ruhl Libre Regular"/>
    </font>
    <font>
      <b/>
      <sz val="7"/>
      <name val="Frank Ruhl Libre Regular"/>
    </font>
    <font>
      <sz val="7"/>
      <name val="Frank Ruhl Libre Regular"/>
    </font>
    <font>
      <b/>
      <sz val="7"/>
      <color theme="0"/>
      <name val="Frank Ruhl Libre Regular"/>
    </font>
    <font>
      <sz val="14"/>
      <color rgb="FF000000"/>
      <name val="Arial Narrow"/>
      <family val="2"/>
    </font>
    <font>
      <b/>
      <sz val="14"/>
      <color rgb="FF000000"/>
      <name val="Arial Narrow"/>
      <family val="2"/>
    </font>
    <font>
      <b/>
      <sz val="9"/>
      <color rgb="FF404040"/>
      <name val="Frank Ruhl Libre Regular"/>
    </font>
    <font>
      <b/>
      <sz val="10"/>
      <color theme="0"/>
      <name val="Times New Roman"/>
      <family val="1"/>
    </font>
    <font>
      <b/>
      <sz val="9"/>
      <color theme="1"/>
      <name val="Frank Ruhl Libre"/>
      <charset val="177"/>
    </font>
    <font>
      <sz val="11"/>
      <color theme="0"/>
      <name val="Times New Roman"/>
      <family val="1"/>
    </font>
    <font>
      <sz val="7"/>
      <name val="Calibri"/>
      <family val="2"/>
      <scheme val="minor"/>
    </font>
    <font>
      <sz val="8"/>
      <name val="Calibri"/>
      <family val="2"/>
      <scheme val="minor"/>
    </font>
    <font>
      <sz val="7"/>
      <color indexed="8"/>
      <name val="Calibri"/>
      <family val="2"/>
      <scheme val="minor"/>
    </font>
    <font>
      <sz val="7"/>
      <color theme="0"/>
      <name val="Calibri"/>
      <family val="2"/>
      <scheme val="minor"/>
    </font>
    <font>
      <sz val="12"/>
      <name val="Frank Ruhl Libre Regular"/>
    </font>
    <font>
      <sz val="7"/>
      <color rgb="FF031E3F"/>
      <name val="Frank Ruhl Libre Regular"/>
    </font>
    <font>
      <b/>
      <sz val="7"/>
      <color rgb="FF031E3F"/>
      <name val="Frank Ruhl Libre Regular"/>
    </font>
    <font>
      <b/>
      <sz val="7"/>
      <color rgb="FF003268"/>
      <name val="Frank Ruhl Libre Regular"/>
    </font>
    <font>
      <sz val="7"/>
      <color rgb="FF003268"/>
      <name val="Frank Ruhl Libre Regular"/>
    </font>
    <font>
      <b/>
      <sz val="7"/>
      <color rgb="FF002855"/>
      <name val="Frank Ruhl Libre Regular"/>
    </font>
    <font>
      <b/>
      <sz val="7"/>
      <color indexed="44"/>
      <name val="Frank Ruhl Libre Regular"/>
    </font>
    <font>
      <sz val="9"/>
      <name val="Frank Ruhl Libre Regular"/>
    </font>
    <font>
      <sz val="9"/>
      <name val="Calibri"/>
      <family val="2"/>
      <scheme val="minor"/>
    </font>
    <font>
      <sz val="12"/>
      <color theme="3"/>
      <name val="Frank Ruhl Libre Regular"/>
    </font>
    <font>
      <sz val="7"/>
      <color theme="0"/>
      <name val="Frank Ruhl Libre Regular"/>
    </font>
    <font>
      <sz val="10"/>
      <color theme="1"/>
      <name val="Frank Ruhl Libre Regular"/>
    </font>
    <font>
      <sz val="7"/>
      <color theme="1"/>
      <name val="Calibri"/>
      <family val="2"/>
      <scheme val="minor"/>
    </font>
    <font>
      <b/>
      <u/>
      <sz val="7"/>
      <color indexed="8"/>
      <name val="Frank Ruhl Libre Regular"/>
    </font>
    <font>
      <b/>
      <u/>
      <sz val="7"/>
      <name val="Frank Ruhl Libre Regular"/>
    </font>
    <font>
      <sz val="10"/>
      <color theme="0"/>
      <name val="Frank Ruhl Libre Regular"/>
    </font>
    <font>
      <sz val="7"/>
      <color rgb="FFD0CECE"/>
      <name val="Frank Ruhl Libre Regular"/>
    </font>
    <font>
      <u/>
      <sz val="8"/>
      <color theme="10"/>
      <name val="Frank Ruhl Libre"/>
      <charset val="177"/>
    </font>
    <font>
      <sz val="8"/>
      <color rgb="FF002855"/>
      <name val="Frank Ruhl Libre"/>
      <charset val="177"/>
    </font>
    <font>
      <sz val="10"/>
      <name val="Frank Ruhl Libre Regular"/>
    </font>
    <font>
      <b/>
      <u/>
      <sz val="10"/>
      <name val="Times New Roman"/>
      <family val="1"/>
    </font>
    <font>
      <b/>
      <sz val="9"/>
      <name val="Frank Ruhl Libre"/>
      <charset val="177"/>
    </font>
    <font>
      <sz val="9"/>
      <color theme="0"/>
      <name val="Frank Ruhl Libre"/>
      <charset val="177"/>
    </font>
    <font>
      <sz val="10"/>
      <color theme="1"/>
      <name val="FrankRuehl"/>
      <family val="2"/>
      <charset val="177"/>
    </font>
    <font>
      <sz val="11"/>
      <color theme="1"/>
      <name val="FrankRuehl"/>
      <family val="2"/>
      <charset val="177"/>
    </font>
    <font>
      <sz val="10"/>
      <color theme="0"/>
      <name val="FrankRuehl"/>
      <family val="2"/>
      <charset val="177"/>
    </font>
    <font>
      <sz val="18"/>
      <color theme="1"/>
      <name val="Frank Ruhl Libre"/>
      <charset val="177"/>
    </font>
    <font>
      <i/>
      <sz val="7"/>
      <color theme="1"/>
      <name val="Frank Ruhl Libre Regular"/>
    </font>
    <font>
      <i/>
      <sz val="11"/>
      <color theme="1"/>
      <name val="Calibri"/>
      <family val="2"/>
      <scheme val="minor"/>
    </font>
    <font>
      <i/>
      <sz val="7"/>
      <color indexed="8"/>
      <name val="Frank Ruhl Libre Regular"/>
    </font>
    <font>
      <i/>
      <sz val="7"/>
      <color rgb="FF404040"/>
      <name val="Frank Ruhl Libre Regular"/>
    </font>
    <font>
      <sz val="9"/>
      <color rgb="FF000000"/>
      <name val="Tahoma"/>
      <family val="2"/>
    </font>
    <font>
      <sz val="11"/>
      <color theme="0"/>
      <name val="Calibri"/>
      <family val="2"/>
      <scheme val="minor"/>
    </font>
  </fonts>
  <fills count="29">
    <fill>
      <patternFill patternType="none"/>
    </fill>
    <fill>
      <patternFill patternType="gray125"/>
    </fill>
    <fill>
      <patternFill patternType="solid">
        <fgColor rgb="FF003268"/>
        <bgColor indexed="64"/>
      </patternFill>
    </fill>
    <fill>
      <patternFill patternType="solid">
        <fgColor rgb="FFF58025"/>
        <bgColor indexed="64"/>
      </patternFill>
    </fill>
    <fill>
      <patternFill patternType="solid">
        <fgColor rgb="FFF2F2F2"/>
        <bgColor indexed="64"/>
      </patternFill>
    </fill>
    <fill>
      <patternFill patternType="solid">
        <fgColor rgb="FF1F3864"/>
        <bgColor indexed="64"/>
      </patternFill>
    </fill>
    <fill>
      <patternFill patternType="solid">
        <fgColor rgb="FFD8E2EC"/>
        <bgColor indexed="64"/>
      </patternFill>
    </fill>
    <fill>
      <patternFill patternType="solid">
        <fgColor rgb="FFFFFFFF"/>
        <bgColor indexed="64"/>
      </patternFill>
    </fill>
    <fill>
      <patternFill patternType="solid">
        <fgColor rgb="FF203764"/>
        <bgColor indexed="64"/>
      </patternFill>
    </fill>
    <fill>
      <patternFill patternType="solid">
        <fgColor rgb="FFEEEEEE"/>
        <bgColor indexed="64"/>
      </patternFill>
    </fill>
    <fill>
      <patternFill patternType="solid">
        <fgColor rgb="FFFFEB9C"/>
      </patternFill>
    </fill>
    <fill>
      <patternFill patternType="solid">
        <fgColor rgb="FF002855"/>
        <bgColor indexed="64"/>
      </patternFill>
    </fill>
    <fill>
      <patternFill patternType="solid">
        <fgColor theme="0" tint="-4.9989318521683403E-2"/>
        <bgColor indexed="64"/>
      </patternFill>
    </fill>
    <fill>
      <patternFill patternType="solid">
        <fgColor theme="0"/>
        <bgColor indexed="64"/>
      </patternFill>
    </fill>
    <fill>
      <patternFill patternType="solid">
        <fgColor rgb="FFCCCCCC"/>
        <bgColor indexed="64"/>
      </patternFill>
    </fill>
    <fill>
      <patternFill patternType="solid">
        <fgColor rgb="FFFFFFCC"/>
      </patternFill>
    </fill>
    <fill>
      <patternFill patternType="solid">
        <fgColor rgb="FFFFFFCC"/>
        <bgColor indexed="64"/>
      </patternFill>
    </fill>
    <fill>
      <patternFill patternType="solid">
        <fgColor rgb="FFD0CECE"/>
        <bgColor indexed="64"/>
      </patternFill>
    </fill>
    <fill>
      <patternFill patternType="solid">
        <fgColor rgb="FFE7E6E6"/>
        <bgColor indexed="64"/>
      </patternFill>
    </fill>
    <fill>
      <patternFill patternType="solid">
        <fgColor theme="0" tint="-0.14999847407452621"/>
        <bgColor indexed="64"/>
      </patternFill>
    </fill>
    <fill>
      <patternFill patternType="solid">
        <fgColor rgb="FFFFDFC0"/>
        <bgColor indexed="64"/>
      </patternFill>
    </fill>
    <fill>
      <patternFill patternType="solid">
        <fgColor theme="3" tint="0.89999084444715716"/>
        <bgColor indexed="64"/>
      </patternFill>
    </fill>
    <fill>
      <patternFill patternType="solid">
        <fgColor theme="0" tint="-0.499984740745262"/>
        <bgColor indexed="64"/>
      </patternFill>
    </fill>
    <fill>
      <patternFill patternType="solid">
        <fgColor rgb="FF00B0F0"/>
        <bgColor indexed="64"/>
      </patternFill>
    </fill>
    <fill>
      <patternFill patternType="solid">
        <fgColor rgb="FF002060"/>
        <bgColor indexed="64"/>
      </patternFill>
    </fill>
    <fill>
      <patternFill patternType="solid">
        <fgColor rgb="FF031E3F"/>
        <bgColor indexed="64"/>
      </patternFill>
    </fill>
    <fill>
      <patternFill patternType="solid">
        <fgColor rgb="FFD9D9D9"/>
        <bgColor indexed="64"/>
      </patternFill>
    </fill>
    <fill>
      <patternFill patternType="solid">
        <fgColor rgb="FF92D050"/>
        <bgColor indexed="64"/>
      </patternFill>
    </fill>
    <fill>
      <patternFill patternType="solid">
        <fgColor rgb="FF0070C0"/>
        <bgColor indexed="64"/>
      </patternFill>
    </fill>
  </fills>
  <borders count="124">
    <border>
      <left/>
      <right/>
      <top/>
      <bottom/>
      <diagonal/>
    </border>
    <border>
      <left style="medium">
        <color rgb="FFCCCCCC"/>
      </left>
      <right/>
      <top/>
      <bottom style="medium">
        <color rgb="FFCCCCCC"/>
      </bottom>
      <diagonal/>
    </border>
    <border>
      <left/>
      <right/>
      <top/>
      <bottom style="medium">
        <color rgb="FFCCCCCC"/>
      </bottom>
      <diagonal/>
    </border>
    <border>
      <left style="medium">
        <color rgb="FFFFFFFF"/>
      </left>
      <right style="medium">
        <color rgb="FFFFFFFF"/>
      </right>
      <top/>
      <bottom style="medium">
        <color rgb="FFFFFFFF"/>
      </bottom>
      <diagonal/>
    </border>
    <border>
      <left/>
      <right/>
      <top/>
      <bottom style="medium">
        <color rgb="FFFFFFFF"/>
      </bottom>
      <diagonal/>
    </border>
    <border>
      <left style="medium">
        <color rgb="FFFFFFFF"/>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top style="medium">
        <color rgb="FFFFFFFF"/>
      </top>
      <bottom/>
      <diagonal/>
    </border>
    <border>
      <left/>
      <right style="medium">
        <color rgb="FFFFFFFF"/>
      </right>
      <top style="medium">
        <color rgb="FFFFFFFF"/>
      </top>
      <bottom style="medium">
        <color rgb="FFFFFFF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rgb="FF003268"/>
      </left>
      <right style="medium">
        <color rgb="FF003268"/>
      </right>
      <top style="medium">
        <color rgb="FF003268"/>
      </top>
      <bottom style="medium">
        <color rgb="FF003268"/>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medium">
        <color rgb="FFFFFFFF"/>
      </left>
      <right style="medium">
        <color rgb="FFFFFFFF"/>
      </right>
      <top/>
      <bottom/>
      <diagonal/>
    </border>
    <border>
      <left style="medium">
        <color rgb="FF003268"/>
      </left>
      <right/>
      <top style="medium">
        <color rgb="FF003268"/>
      </top>
      <bottom style="medium">
        <color rgb="FF003268"/>
      </bottom>
      <diagonal/>
    </border>
    <border>
      <left/>
      <right style="medium">
        <color rgb="FF003268"/>
      </right>
      <top style="medium">
        <color rgb="FF003268"/>
      </top>
      <bottom style="medium">
        <color rgb="FF003268"/>
      </bottom>
      <diagonal/>
    </border>
    <border>
      <left style="medium">
        <color rgb="FFCCCCCC"/>
      </left>
      <right/>
      <top/>
      <bottom/>
      <diagonal/>
    </border>
    <border>
      <left/>
      <right style="thin">
        <color theme="0"/>
      </right>
      <top/>
      <bottom/>
      <diagonal/>
    </border>
    <border>
      <left style="thin">
        <color theme="0"/>
      </left>
      <right style="thin">
        <color theme="0"/>
      </right>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thin">
        <color theme="0"/>
      </left>
      <right style="thin">
        <color theme="0"/>
      </right>
      <top style="thin">
        <color theme="0" tint="-0.24994659260841701"/>
      </top>
      <bottom style="thin">
        <color theme="0"/>
      </bottom>
      <diagonal/>
    </border>
    <border>
      <left style="thin">
        <color rgb="FF003268"/>
      </left>
      <right/>
      <top style="thin">
        <color rgb="FF003268"/>
      </top>
      <bottom style="thin">
        <color rgb="FF003268"/>
      </bottom>
      <diagonal/>
    </border>
    <border>
      <left/>
      <right/>
      <top style="thin">
        <color rgb="FF003268"/>
      </top>
      <bottom style="thin">
        <color rgb="FF003268"/>
      </bottom>
      <diagonal/>
    </border>
    <border>
      <left/>
      <right style="thin">
        <color rgb="FF003268"/>
      </right>
      <top style="thin">
        <color rgb="FF003268"/>
      </top>
      <bottom style="thin">
        <color rgb="FF003268"/>
      </bottom>
      <diagonal/>
    </border>
    <border>
      <left/>
      <right/>
      <top style="medium">
        <color theme="0"/>
      </top>
      <bottom style="medium">
        <color theme="0"/>
      </bottom>
      <diagonal/>
    </border>
    <border>
      <left style="thin">
        <color theme="0"/>
      </left>
      <right/>
      <top style="thin">
        <color theme="0" tint="-0.24994659260841701"/>
      </top>
      <bottom style="thin">
        <color theme="0"/>
      </bottom>
      <diagonal/>
    </border>
    <border>
      <left style="thin">
        <color rgb="FF002855"/>
      </left>
      <right style="thin">
        <color rgb="FF002855"/>
      </right>
      <top style="thin">
        <color rgb="FF002855"/>
      </top>
      <bottom style="thin">
        <color rgb="FF002855"/>
      </bottom>
      <diagonal/>
    </border>
    <border>
      <left/>
      <right/>
      <top style="thin">
        <color theme="0"/>
      </top>
      <bottom/>
      <diagonal/>
    </border>
    <border>
      <left style="medium">
        <color rgb="FFCCCCCC"/>
      </left>
      <right style="medium">
        <color rgb="FFCCCCCC"/>
      </right>
      <top style="medium">
        <color rgb="FFCCCCCC"/>
      </top>
      <bottom style="medium">
        <color rgb="FF4D4D4D"/>
      </bottom>
      <diagonal/>
    </border>
    <border>
      <left style="thin">
        <color rgb="FF4D4D4D"/>
      </left>
      <right style="thin">
        <color rgb="FF4D4D4D"/>
      </right>
      <top style="medium">
        <color rgb="FF4D4D4D"/>
      </top>
      <bottom style="thin">
        <color rgb="FF4D4D4D"/>
      </bottom>
      <diagonal/>
    </border>
    <border>
      <left style="thin">
        <color rgb="FF4D4D4D"/>
      </left>
      <right style="thin">
        <color rgb="FF4D4D4D"/>
      </right>
      <top style="thin">
        <color rgb="FF4D4D4D"/>
      </top>
      <bottom style="thin">
        <color rgb="FF4D4D4D"/>
      </bottom>
      <diagonal/>
    </border>
    <border>
      <left style="medium">
        <color theme="0"/>
      </left>
      <right style="medium">
        <color theme="0"/>
      </right>
      <top style="medium">
        <color theme="0"/>
      </top>
      <bottom style="medium">
        <color theme="0"/>
      </bottom>
      <diagonal/>
    </border>
    <border>
      <left style="medium">
        <color rgb="FFCCCCCC"/>
      </left>
      <right style="medium">
        <color rgb="FFCCCCCC"/>
      </right>
      <top/>
      <bottom/>
      <diagonal/>
    </border>
    <border>
      <left style="thin">
        <color auto="1"/>
      </left>
      <right style="thin">
        <color auto="1"/>
      </right>
      <top style="thin">
        <color auto="1"/>
      </top>
      <bottom style="thin">
        <color auto="1"/>
      </bottom>
      <diagonal/>
    </border>
    <border>
      <left/>
      <right style="thin">
        <color rgb="FF4D4D4D"/>
      </right>
      <top style="thin">
        <color rgb="FF4D4D4D"/>
      </top>
      <bottom style="thin">
        <color rgb="FF4D4D4D"/>
      </bottom>
      <diagonal/>
    </border>
    <border>
      <left style="medium">
        <color theme="0"/>
      </left>
      <right style="medium">
        <color theme="0"/>
      </right>
      <top/>
      <bottom style="medium">
        <color theme="0"/>
      </bottom>
      <diagonal/>
    </border>
    <border>
      <left style="thin">
        <color rgb="FFB2B2B2"/>
      </left>
      <right style="thin">
        <color rgb="FFB2B2B2"/>
      </right>
      <top style="thin">
        <color rgb="FFB2B2B2"/>
      </top>
      <bottom style="thin">
        <color rgb="FFB2B2B2"/>
      </bottom>
      <diagonal/>
    </border>
    <border>
      <left style="thin">
        <color rgb="FFCCCCCC"/>
      </left>
      <right style="thin">
        <color rgb="FFCCCCCC"/>
      </right>
      <top style="thin">
        <color rgb="FFCCCCCC"/>
      </top>
      <bottom style="thin">
        <color rgb="FFCCCCCC"/>
      </bottom>
      <diagonal/>
    </border>
    <border>
      <left style="thin">
        <color theme="0"/>
      </left>
      <right style="thin">
        <color theme="0"/>
      </right>
      <top style="thin">
        <color theme="0"/>
      </top>
      <bottom style="thin">
        <color auto="1"/>
      </bottom>
      <diagonal/>
    </border>
    <border>
      <left style="thin">
        <color rgb="FFD0CECE"/>
      </left>
      <right style="thin">
        <color rgb="FFD0CECE"/>
      </right>
      <top style="thin">
        <color rgb="FFD0CECE"/>
      </top>
      <bottom style="thin">
        <color rgb="FF4D4D4D"/>
      </bottom>
      <diagonal/>
    </border>
    <border>
      <left style="thin">
        <color rgb="FFF2F2F2"/>
      </left>
      <right style="thin">
        <color rgb="FFF2F2F2"/>
      </right>
      <top style="thin">
        <color rgb="FFF2F2F2"/>
      </top>
      <bottom style="thin">
        <color rgb="FFF2F2F2"/>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4D4D4D"/>
      </top>
      <bottom style="thin">
        <color rgb="FF4D4D4D"/>
      </bottom>
      <diagonal/>
    </border>
    <border>
      <left style="thin">
        <color rgb="FFE7E6E6"/>
      </left>
      <right style="thin">
        <color rgb="FFE7E6E6"/>
      </right>
      <top style="thin">
        <color rgb="FF4D4D4D"/>
      </top>
      <bottom style="thin">
        <color rgb="FFE7E6E6"/>
      </bottom>
      <diagonal/>
    </border>
    <border>
      <left style="thin">
        <color rgb="FFE7E6E6"/>
      </left>
      <right style="thin">
        <color rgb="FFE7E6E6"/>
      </right>
      <top style="thin">
        <color rgb="FFE7E6E6"/>
      </top>
      <bottom style="thin">
        <color rgb="FF4D4D4D"/>
      </bottom>
      <diagonal/>
    </border>
    <border>
      <left style="thin">
        <color rgb="FFD0CECE"/>
      </left>
      <right style="thin">
        <color rgb="FFD0CECE"/>
      </right>
      <top style="thin">
        <color rgb="FFD0CECE"/>
      </top>
      <bottom style="thin">
        <color indexed="64"/>
      </bottom>
      <diagonal/>
    </border>
    <border>
      <left style="thin">
        <color rgb="FFE7E6E6"/>
      </left>
      <right style="thin">
        <color rgb="FFE7E6E6"/>
      </right>
      <top style="thin">
        <color indexed="64"/>
      </top>
      <bottom style="thin">
        <color rgb="FFE7E6E6"/>
      </bottom>
      <diagonal/>
    </border>
    <border>
      <left style="thin">
        <color rgb="FFE7E6E6"/>
      </left>
      <right style="thin">
        <color rgb="FFE7E6E6"/>
      </right>
      <top style="thin">
        <color rgb="FFE7E6E6"/>
      </top>
      <bottom style="thin">
        <color indexed="64"/>
      </bottom>
      <diagonal/>
    </border>
    <border>
      <left style="thin">
        <color theme="0"/>
      </left>
      <right style="thin">
        <color theme="0"/>
      </right>
      <top style="thin">
        <color indexed="64"/>
      </top>
      <bottom style="thin">
        <color theme="0"/>
      </bottom>
      <diagonal/>
    </border>
    <border>
      <left style="thin">
        <color theme="0" tint="-4.9989318521683403E-2"/>
      </left>
      <right style="thin">
        <color theme="0" tint="-4.9989318521683403E-2"/>
      </right>
      <top style="thin">
        <color rgb="FF4D4D4D"/>
      </top>
      <bottom style="thin">
        <color rgb="FF4D4D4D"/>
      </bottom>
      <diagonal/>
    </border>
    <border>
      <left/>
      <right/>
      <top style="medium">
        <color auto="1"/>
      </top>
      <bottom style="medium">
        <color auto="1"/>
      </bottom>
      <diagonal/>
    </border>
    <border>
      <left style="medium">
        <color rgb="FFCCCCCC"/>
      </left>
      <right style="medium">
        <color rgb="FFCCCCCC"/>
      </right>
      <top style="medium">
        <color rgb="FFCCCCCC"/>
      </top>
      <bottom/>
      <diagonal/>
    </border>
    <border>
      <left style="thin">
        <color auto="1"/>
      </left>
      <right style="thin">
        <color auto="1"/>
      </right>
      <top/>
      <bottom style="thin">
        <color auto="1"/>
      </bottom>
      <diagonal/>
    </border>
    <border>
      <left/>
      <right style="thin">
        <color rgb="FF4D4D4D"/>
      </right>
      <top/>
      <bottom style="thin">
        <color rgb="FF4D4D4D"/>
      </bottom>
      <diagonal/>
    </border>
    <border>
      <left style="thin">
        <color theme="0"/>
      </left>
      <right style="thin">
        <color theme="0"/>
      </right>
      <top style="thin">
        <color theme="0"/>
      </top>
      <bottom style="thin">
        <color rgb="FF4D4D4D"/>
      </bottom>
      <diagonal/>
    </border>
    <border>
      <left/>
      <right/>
      <top/>
      <bottom style="thin">
        <color auto="1"/>
      </bottom>
      <diagonal/>
    </border>
    <border>
      <left/>
      <right/>
      <top style="hair">
        <color auto="1"/>
      </top>
      <bottom/>
      <diagonal/>
    </border>
    <border>
      <left/>
      <right/>
      <top style="thin">
        <color auto="1"/>
      </top>
      <bottom/>
      <diagonal/>
    </border>
    <border>
      <left style="thin">
        <color rgb="FFD0CECE"/>
      </left>
      <right style="thin">
        <color rgb="FFD0CECE"/>
      </right>
      <top style="thin">
        <color rgb="FFD0CECE"/>
      </top>
      <bottom style="medium">
        <color rgb="FF4D4D4D"/>
      </bottom>
      <diagonal/>
    </border>
    <border>
      <left style="thin">
        <color rgb="FFD0CECE"/>
      </left>
      <right style="thin">
        <color rgb="FFD0CECE"/>
      </right>
      <top style="thin">
        <color rgb="FFD0CECE"/>
      </top>
      <bottom style="thin">
        <color rgb="FFD0CECE"/>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rgb="FFCCCCCC"/>
      </left>
      <right/>
      <top style="thin">
        <color rgb="FFCCCCCC"/>
      </top>
      <bottom style="thin">
        <color rgb="FFCCCCCC"/>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theme="0"/>
      </left>
      <right style="thin">
        <color theme="0"/>
      </right>
      <top style="thin">
        <color rgb="FF4D4D4D"/>
      </top>
      <bottom style="thin">
        <color rgb="FF4D4D4D"/>
      </bottom>
      <diagonal/>
    </border>
    <border>
      <left style="thin">
        <color auto="1"/>
      </left>
      <right/>
      <top style="thin">
        <color auto="1"/>
      </top>
      <bottom style="thin">
        <color auto="1"/>
      </bottom>
      <diagonal/>
    </border>
    <border>
      <left/>
      <right style="thin">
        <color rgb="FFB2B2B2"/>
      </right>
      <top style="thin">
        <color rgb="FFB2B2B2"/>
      </top>
      <bottom style="thin">
        <color rgb="FFB2B2B2"/>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E7E6E6"/>
      </left>
      <right style="thin">
        <color rgb="FFE7E6E6"/>
      </right>
      <top style="thin">
        <color rgb="FFE7E6E6"/>
      </top>
      <bottom/>
      <diagonal/>
    </border>
    <border>
      <left style="thin">
        <color rgb="FFD8E2EC"/>
      </left>
      <right style="thin">
        <color rgb="FFD8E2EC"/>
      </right>
      <top style="thin">
        <color rgb="FFD8E2EC"/>
      </top>
      <bottom style="thin">
        <color rgb="FFD8E2EC"/>
      </bottom>
      <diagonal/>
    </border>
    <border>
      <left style="thin">
        <color rgb="FFE7E6E6"/>
      </left>
      <right style="thin">
        <color rgb="FFE7E6E6"/>
      </right>
      <top/>
      <bottom style="thin">
        <color rgb="FFE7E6E6"/>
      </bottom>
      <diagonal/>
    </border>
    <border>
      <left style="thin">
        <color rgb="FFE7E6E6"/>
      </left>
      <right style="thin">
        <color rgb="FFE7E6E6"/>
      </right>
      <top style="thin">
        <color auto="1"/>
      </top>
      <bottom style="thin">
        <color auto="1"/>
      </bottom>
      <diagonal/>
    </border>
    <border>
      <left style="thin">
        <color rgb="FFD8E2EC"/>
      </left>
      <right style="thin">
        <color rgb="FFD8E2EC"/>
      </right>
      <top/>
      <bottom style="thin">
        <color rgb="FFD8E2EC"/>
      </bottom>
      <diagonal/>
    </border>
    <border>
      <left style="thin">
        <color rgb="FFD8E2EC"/>
      </left>
      <right style="thin">
        <color rgb="FFD8E2EC"/>
      </right>
      <top style="thin">
        <color auto="1"/>
      </top>
      <bottom style="thin">
        <color rgb="FFD8E2EC"/>
      </bottom>
      <diagonal/>
    </border>
    <border>
      <left style="thin">
        <color rgb="FF4D4D4D"/>
      </left>
      <right style="thin">
        <color theme="0"/>
      </right>
      <top style="thin">
        <color rgb="FF4D4D4D"/>
      </top>
      <bottom style="thin">
        <color rgb="FF4D4D4D"/>
      </bottom>
      <diagonal/>
    </border>
    <border>
      <left style="thin">
        <color theme="0"/>
      </left>
      <right style="thin">
        <color rgb="FF4D4D4D"/>
      </right>
      <top style="thin">
        <color rgb="FF4D4D4D"/>
      </top>
      <bottom style="thin">
        <color rgb="FF4D4D4D"/>
      </bottom>
      <diagonal/>
    </border>
    <border>
      <left style="thin">
        <color rgb="FF4D4D4D"/>
      </left>
      <right style="thin">
        <color theme="0"/>
      </right>
      <top style="thin">
        <color theme="0"/>
      </top>
      <bottom style="thin">
        <color theme="0"/>
      </bottom>
      <diagonal/>
    </border>
    <border>
      <left style="thin">
        <color rgb="FFD0CECE"/>
      </left>
      <right style="thin">
        <color theme="0"/>
      </right>
      <top style="thin">
        <color rgb="FFD8E2EC"/>
      </top>
      <bottom style="thin">
        <color rgb="FFD0CECE"/>
      </bottom>
      <diagonal/>
    </border>
    <border>
      <left style="thin">
        <color theme="0"/>
      </left>
      <right style="thin">
        <color theme="0"/>
      </right>
      <top style="thin">
        <color rgb="FFD8E2EC"/>
      </top>
      <bottom style="thin">
        <color rgb="FFD0CECE"/>
      </bottom>
      <diagonal/>
    </border>
    <border>
      <left style="thin">
        <color theme="0"/>
      </left>
      <right style="thin">
        <color rgb="FFD0CECE"/>
      </right>
      <top style="thin">
        <color rgb="FFD8E2EC"/>
      </top>
      <bottom style="thin">
        <color rgb="FFD0CECE"/>
      </bottom>
      <diagonal/>
    </border>
    <border>
      <left style="thin">
        <color rgb="FFD0CECE"/>
      </left>
      <right style="thin">
        <color theme="0"/>
      </right>
      <top style="thin">
        <color rgb="FFD0CECE"/>
      </top>
      <bottom style="thin">
        <color rgb="FFD0CECE"/>
      </bottom>
      <diagonal/>
    </border>
    <border>
      <left style="thin">
        <color theme="0"/>
      </left>
      <right style="thin">
        <color theme="0"/>
      </right>
      <top style="thin">
        <color rgb="FFD0CECE"/>
      </top>
      <bottom style="thin">
        <color rgb="FFD0CECE"/>
      </bottom>
      <diagonal/>
    </border>
    <border>
      <left style="thin">
        <color theme="0"/>
      </left>
      <right style="thin">
        <color rgb="FFD0CECE"/>
      </right>
      <top style="thin">
        <color rgb="FFD0CECE"/>
      </top>
      <bottom style="thin">
        <color rgb="FFD0CECE"/>
      </bottom>
      <diagonal/>
    </border>
    <border>
      <left/>
      <right style="thin">
        <color theme="0"/>
      </right>
      <top style="thin">
        <color rgb="FF4D4D4D"/>
      </top>
      <bottom style="thin">
        <color rgb="FF4D4D4D"/>
      </bottom>
      <diagonal/>
    </border>
    <border>
      <left/>
      <right/>
      <top style="thin">
        <color auto="1"/>
      </top>
      <bottom style="thin">
        <color auto="1"/>
      </bottom>
      <diagonal/>
    </border>
    <border>
      <left style="thin">
        <color rgb="FFD0CECE"/>
      </left>
      <right style="thin">
        <color rgb="FFD0CECE"/>
      </right>
      <top style="thin">
        <color rgb="FFD0CECE"/>
      </top>
      <bottom style="thin">
        <color theme="0"/>
      </bottom>
      <diagonal/>
    </border>
    <border>
      <left style="thin">
        <color rgb="FFD0CECE"/>
      </left>
      <right style="thin">
        <color rgb="FFD0CECE"/>
      </right>
      <top style="thin">
        <color theme="0"/>
      </top>
      <bottom style="thin">
        <color theme="0"/>
      </bottom>
      <diagonal/>
    </border>
    <border>
      <left style="thin">
        <color rgb="FFD0CECE"/>
      </left>
      <right style="thin">
        <color rgb="FFD0CECE"/>
      </right>
      <top style="thin">
        <color theme="0"/>
      </top>
      <bottom style="thin">
        <color rgb="FFD0CECE"/>
      </bottom>
      <diagonal/>
    </border>
    <border>
      <left style="thin">
        <color rgb="FF4D4D4D"/>
      </left>
      <right/>
      <top style="thin">
        <color rgb="FF4D4D4D"/>
      </top>
      <bottom/>
      <diagonal/>
    </border>
    <border>
      <left/>
      <right/>
      <top style="thin">
        <color rgb="FF4D4D4D"/>
      </top>
      <bottom/>
      <diagonal/>
    </border>
    <border>
      <left/>
      <right style="thin">
        <color rgb="FF4D4D4D"/>
      </right>
      <top style="thin">
        <color rgb="FF4D4D4D"/>
      </top>
      <bottom/>
      <diagonal/>
    </border>
    <border>
      <left style="thin">
        <color rgb="FF4D4D4D"/>
      </left>
      <right/>
      <top/>
      <bottom/>
      <diagonal/>
    </border>
    <border>
      <left/>
      <right style="thin">
        <color rgb="FF4D4D4D"/>
      </right>
      <top/>
      <bottom/>
      <diagonal/>
    </border>
    <border>
      <left style="thin">
        <color rgb="FF4D4D4D"/>
      </left>
      <right/>
      <top/>
      <bottom style="thin">
        <color rgb="FF4D4D4D"/>
      </bottom>
      <diagonal/>
    </border>
    <border>
      <left/>
      <right/>
      <top/>
      <bottom style="thin">
        <color rgb="FF4D4D4D"/>
      </bottom>
      <diagonal/>
    </border>
    <border>
      <left/>
      <right style="thin">
        <color theme="0"/>
      </right>
      <top style="thin">
        <color theme="0"/>
      </top>
      <bottom style="medium">
        <color rgb="FF4D4D4D"/>
      </bottom>
      <diagonal/>
    </border>
    <border>
      <left/>
      <right style="thin">
        <color theme="0" tint="-4.9989318521683403E-2"/>
      </right>
      <top style="thin">
        <color rgb="FF4D4D4D"/>
      </top>
      <bottom style="thin">
        <color rgb="FF4D4D4D"/>
      </bottom>
      <diagonal/>
    </border>
    <border>
      <left style="thin">
        <color theme="0"/>
      </left>
      <right style="thin">
        <color theme="0"/>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diagonal/>
    </border>
    <border>
      <left style="thin">
        <color theme="0" tint="-0.24994659260841701"/>
      </left>
      <right style="medium">
        <color rgb="FFFFFFFF"/>
      </right>
      <top style="medium">
        <color rgb="FFFFFFFF"/>
      </top>
      <bottom style="thin">
        <color theme="0"/>
      </bottom>
      <diagonal/>
    </border>
    <border>
      <left style="thin">
        <color theme="0" tint="-0.24994659260841701"/>
      </left>
      <right style="medium">
        <color rgb="FFFFFFFF"/>
      </right>
      <top style="thin">
        <color theme="0"/>
      </top>
      <bottom style="medium">
        <color rgb="FFFFFFFF"/>
      </bottom>
      <diagonal/>
    </border>
    <border>
      <left style="medium">
        <color rgb="FFFFFFFF"/>
      </left>
      <right/>
      <top/>
      <bottom/>
      <diagonal/>
    </border>
  </borders>
  <cellStyleXfs count="22">
    <xf numFmtId="0" fontId="0" fillId="0" borderId="0"/>
    <xf numFmtId="0" fontId="7" fillId="0" borderId="0"/>
    <xf numFmtId="9" fontId="8" fillId="0" borderId="0" applyFont="0" applyFill="0" applyBorder="0" applyAlignment="0" applyProtection="0"/>
    <xf numFmtId="43" fontId="7" fillId="0" borderId="0" applyFont="0" applyFill="0" applyBorder="0" applyAlignment="0" applyProtection="0"/>
    <xf numFmtId="0" fontId="9" fillId="10" borderId="0" applyNumberFormat="0" applyBorder="0" applyAlignment="0" applyProtection="0"/>
    <xf numFmtId="9" fontId="13" fillId="0" borderId="0" applyFont="0" applyFill="0" applyBorder="0" applyAlignment="0" applyProtection="0"/>
    <xf numFmtId="43" fontId="13" fillId="0" borderId="0" applyFont="0" applyFill="0" applyBorder="0" applyAlignment="0" applyProtection="0"/>
    <xf numFmtId="0" fontId="13" fillId="15" borderId="47" applyNumberFormat="0" applyFont="0" applyAlignment="0" applyProtection="0"/>
    <xf numFmtId="0" fontId="35" fillId="20" borderId="47" applyNumberFormat="0" applyBorder="0" applyAlignment="0" applyProtection="0"/>
    <xf numFmtId="0" fontId="34" fillId="0" borderId="0"/>
    <xf numFmtId="0" fontId="19" fillId="14" borderId="48" applyNumberFormat="0" applyAlignment="0" applyProtection="0">
      <alignment horizontal="center" vertical="center" wrapText="1"/>
    </xf>
    <xf numFmtId="44" fontId="13" fillId="0" borderId="0" applyFont="0" applyFill="0" applyBorder="0" applyAlignment="0" applyProtection="0"/>
    <xf numFmtId="0" fontId="34" fillId="0" borderId="0"/>
    <xf numFmtId="0" fontId="48" fillId="0" borderId="0" applyNumberFormat="0" applyFill="0" applyBorder="0" applyAlignment="0" applyProtection="0"/>
    <xf numFmtId="38" fontId="34" fillId="0" borderId="0"/>
    <xf numFmtId="0" fontId="34" fillId="0" borderId="0"/>
    <xf numFmtId="43" fontId="8" fillId="0" borderId="0" applyFont="0" applyFill="0" applyBorder="0" applyAlignment="0" applyProtection="0"/>
    <xf numFmtId="44" fontId="8" fillId="0" borderId="0" applyFont="0" applyFill="0" applyBorder="0" applyAlignment="0" applyProtection="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cellStyleXfs>
  <cellXfs count="1142">
    <xf numFmtId="0" fontId="0" fillId="0" borderId="0" xfId="0"/>
    <xf numFmtId="0" fontId="2" fillId="0" borderId="12" xfId="0" applyFont="1" applyBorder="1"/>
    <xf numFmtId="0" fontId="2" fillId="0" borderId="14" xfId="0" applyFont="1" applyBorder="1"/>
    <xf numFmtId="0" fontId="2" fillId="0" borderId="0" xfId="0" applyFont="1"/>
    <xf numFmtId="0" fontId="1" fillId="3" borderId="25" xfId="0" applyFont="1" applyFill="1" applyBorder="1"/>
    <xf numFmtId="0" fontId="1" fillId="3" borderId="0" xfId="0" applyFont="1" applyFill="1"/>
    <xf numFmtId="0" fontId="2" fillId="0" borderId="13" xfId="0" applyFont="1" applyBorder="1"/>
    <xf numFmtId="0" fontId="2" fillId="0" borderId="15" xfId="0" applyFont="1" applyBorder="1"/>
    <xf numFmtId="0" fontId="1" fillId="4" borderId="1" xfId="0" applyFont="1" applyFill="1" applyBorder="1"/>
    <xf numFmtId="0" fontId="1" fillId="4" borderId="2" xfId="0" applyFont="1" applyFill="1" applyBorder="1"/>
    <xf numFmtId="0" fontId="1" fillId="0" borderId="22" xfId="0" applyFont="1" applyBorder="1"/>
    <xf numFmtId="0" fontId="1" fillId="0" borderId="3" xfId="0" applyFont="1" applyBorder="1"/>
    <xf numFmtId="0" fontId="5" fillId="5" borderId="23" xfId="0" applyFont="1" applyFill="1" applyBorder="1"/>
    <xf numFmtId="0" fontId="3" fillId="5" borderId="24" xfId="0" applyFont="1" applyFill="1" applyBorder="1"/>
    <xf numFmtId="0" fontId="3" fillId="0" borderId="4" xfId="0" applyFont="1" applyBorder="1"/>
    <xf numFmtId="0" fontId="3" fillId="0" borderId="5" xfId="0" applyFont="1" applyBorder="1"/>
    <xf numFmtId="0" fontId="3" fillId="0" borderId="13" xfId="0" applyFont="1" applyBorder="1"/>
    <xf numFmtId="0" fontId="3" fillId="0" borderId="9" xfId="0" applyFont="1" applyBorder="1" applyAlignment="1">
      <alignment vertical="center"/>
    </xf>
    <xf numFmtId="0" fontId="3" fillId="0" borderId="6" xfId="0" applyFont="1" applyBorder="1"/>
    <xf numFmtId="0" fontId="6" fillId="7" borderId="9" xfId="0" applyFont="1" applyFill="1" applyBorder="1" applyAlignment="1">
      <alignment vertical="center"/>
    </xf>
    <xf numFmtId="0" fontId="3" fillId="0" borderId="20" xfId="0" applyFont="1" applyBorder="1" applyAlignment="1">
      <alignment vertical="center"/>
    </xf>
    <xf numFmtId="0" fontId="5" fillId="5" borderId="23" xfId="0" applyFont="1" applyFill="1" applyBorder="1" applyAlignment="1">
      <alignment vertical="center"/>
    </xf>
    <xf numFmtId="0" fontId="3" fillId="5" borderId="24" xfId="0" applyFont="1" applyFill="1" applyBorder="1" applyAlignment="1">
      <alignment horizontal="left"/>
    </xf>
    <xf numFmtId="0" fontId="3" fillId="0" borderId="7" xfId="0" applyFont="1" applyBorder="1"/>
    <xf numFmtId="0" fontId="5" fillId="5" borderId="19" xfId="0" applyFont="1" applyFill="1" applyBorder="1" applyAlignment="1">
      <alignment vertical="center"/>
    </xf>
    <xf numFmtId="0" fontId="3" fillId="8" borderId="23" xfId="0" applyFont="1" applyFill="1" applyBorder="1" applyAlignment="1">
      <alignment horizontal="left"/>
    </xf>
    <xf numFmtId="0" fontId="3" fillId="8" borderId="19" xfId="0" applyFont="1" applyFill="1" applyBorder="1"/>
    <xf numFmtId="0" fontId="3" fillId="0" borderId="16" xfId="0" applyFont="1" applyBorder="1"/>
    <xf numFmtId="0" fontId="3" fillId="0" borderId="21" xfId="0" applyFont="1" applyBorder="1" applyAlignment="1">
      <alignment vertical="center"/>
    </xf>
    <xf numFmtId="0" fontId="3" fillId="0" borderId="8" xfId="0" applyFont="1" applyBorder="1"/>
    <xf numFmtId="0" fontId="3" fillId="0" borderId="10" xfId="0" applyFont="1" applyBorder="1"/>
    <xf numFmtId="0" fontId="3" fillId="5" borderId="19" xfId="0" applyFont="1" applyFill="1" applyBorder="1" applyAlignment="1">
      <alignment horizontal="left"/>
    </xf>
    <xf numFmtId="0" fontId="2" fillId="0" borderId="11" xfId="0" applyFont="1" applyBorder="1"/>
    <xf numFmtId="0" fontId="2" fillId="0" borderId="16" xfId="0" applyFont="1" applyBorder="1"/>
    <xf numFmtId="0" fontId="2" fillId="0" borderId="17" xfId="0" applyFont="1" applyBorder="1"/>
    <xf numFmtId="0" fontId="2" fillId="0" borderId="18" xfId="0" applyFont="1" applyBorder="1"/>
    <xf numFmtId="0" fontId="3" fillId="0" borderId="5" xfId="0" applyFont="1" applyBorder="1" applyAlignment="1">
      <alignment vertical="center"/>
    </xf>
    <xf numFmtId="0" fontId="0" fillId="0" borderId="0" xfId="0" applyAlignment="1">
      <alignment vertical="center" wrapText="1"/>
    </xf>
    <xf numFmtId="0" fontId="10" fillId="0" borderId="0" xfId="0" applyFont="1" applyAlignment="1">
      <alignment vertical="center" wrapText="1"/>
    </xf>
    <xf numFmtId="0" fontId="11" fillId="11" borderId="0" xfId="0" applyFont="1" applyFill="1" applyAlignment="1">
      <alignment wrapText="1"/>
    </xf>
    <xf numFmtId="0" fontId="12" fillId="0" borderId="0" xfId="0" applyFont="1" applyAlignment="1">
      <alignment wrapText="1"/>
    </xf>
    <xf numFmtId="0" fontId="0" fillId="0" borderId="0" xfId="0" applyAlignment="1">
      <alignment horizontal="right" wrapText="1"/>
    </xf>
    <xf numFmtId="0" fontId="12" fillId="0" borderId="0" xfId="0" applyFont="1" applyAlignment="1">
      <alignment horizontal="right" wrapText="1"/>
    </xf>
    <xf numFmtId="165" fontId="0" fillId="0" borderId="0" xfId="0" applyNumberFormat="1" applyAlignment="1">
      <alignment horizontal="right" wrapText="1"/>
    </xf>
    <xf numFmtId="1" fontId="12" fillId="0" borderId="0" xfId="0" applyNumberFormat="1" applyFont="1" applyAlignment="1">
      <alignment horizontal="right" wrapText="1"/>
    </xf>
    <xf numFmtId="167" fontId="0" fillId="0" borderId="0" xfId="0" applyNumberFormat="1"/>
    <xf numFmtId="8" fontId="0" fillId="0" borderId="0" xfId="0" applyNumberFormat="1"/>
    <xf numFmtId="164" fontId="0" fillId="0" borderId="0" xfId="0" applyNumberFormat="1"/>
    <xf numFmtId="0" fontId="0" fillId="0" borderId="0" xfId="0" quotePrefix="1"/>
    <xf numFmtId="14" fontId="0" fillId="0" borderId="0" xfId="0" applyNumberFormat="1"/>
    <xf numFmtId="14" fontId="0" fillId="0" borderId="0" xfId="0" quotePrefix="1" applyNumberFormat="1"/>
    <xf numFmtId="0" fontId="2" fillId="0" borderId="3" xfId="0" applyFont="1" applyBorder="1"/>
    <xf numFmtId="0" fontId="3" fillId="0" borderId="14" xfId="0" applyFont="1" applyBorder="1"/>
    <xf numFmtId="0" fontId="3" fillId="0" borderId="35" xfId="0" applyFont="1" applyBorder="1"/>
    <xf numFmtId="0" fontId="6" fillId="0" borderId="27" xfId="0" applyFont="1" applyBorder="1" applyAlignment="1">
      <alignment vertical="center"/>
    </xf>
    <xf numFmtId="0" fontId="6" fillId="0" borderId="27" xfId="0" applyFont="1" applyBorder="1" applyAlignment="1">
      <alignment horizontal="left"/>
    </xf>
    <xf numFmtId="0" fontId="2" fillId="0" borderId="5" xfId="0" applyFont="1" applyBorder="1"/>
    <xf numFmtId="0" fontId="3" fillId="0" borderId="5" xfId="0" applyFont="1" applyBorder="1" applyAlignment="1">
      <alignment horizontal="left"/>
    </xf>
    <xf numFmtId="0" fontId="6" fillId="0" borderId="5" xfId="0" applyFont="1" applyBorder="1" applyAlignment="1">
      <alignment horizontal="left"/>
    </xf>
    <xf numFmtId="0" fontId="2" fillId="0" borderId="31" xfId="0" applyFont="1" applyBorder="1"/>
    <xf numFmtId="0" fontId="2" fillId="0" borderId="36" xfId="0" applyFont="1" applyBorder="1"/>
    <xf numFmtId="0" fontId="2" fillId="0" borderId="29" xfId="0" applyFont="1" applyBorder="1"/>
    <xf numFmtId="9" fontId="2" fillId="0" borderId="18" xfId="0" applyNumberFormat="1" applyFont="1" applyBorder="1"/>
    <xf numFmtId="0" fontId="3" fillId="0" borderId="26" xfId="0" applyFont="1" applyBorder="1"/>
    <xf numFmtId="0" fontId="2" fillId="0" borderId="30" xfId="0" applyFont="1" applyBorder="1"/>
    <xf numFmtId="0" fontId="2" fillId="0" borderId="27" xfId="0" applyFont="1" applyBorder="1"/>
    <xf numFmtId="2" fontId="0" fillId="0" borderId="0" xfId="0" applyNumberFormat="1" applyAlignment="1">
      <alignment horizontal="right" wrapText="1"/>
    </xf>
    <xf numFmtId="6" fontId="12" fillId="0" borderId="0" xfId="0" applyNumberFormat="1" applyFont="1" applyAlignment="1">
      <alignment horizontal="right" wrapText="1"/>
    </xf>
    <xf numFmtId="14" fontId="0" fillId="0" borderId="0" xfId="0" applyNumberFormat="1" applyAlignment="1">
      <alignment horizontal="right" wrapText="1"/>
    </xf>
    <xf numFmtId="14" fontId="12" fillId="0" borderId="0" xfId="0" applyNumberFormat="1" applyFont="1" applyAlignment="1">
      <alignment horizontal="right" wrapText="1"/>
    </xf>
    <xf numFmtId="166" fontId="0" fillId="0" borderId="0" xfId="0" applyNumberFormat="1" applyAlignment="1">
      <alignment horizontal="right" wrapText="1"/>
    </xf>
    <xf numFmtId="0" fontId="0" fillId="0" borderId="0" xfId="0" applyAlignment="1">
      <alignment wrapText="1"/>
    </xf>
    <xf numFmtId="6" fontId="0" fillId="0" borderId="0" xfId="0" applyNumberFormat="1" applyAlignment="1">
      <alignment wrapText="1"/>
    </xf>
    <xf numFmtId="0" fontId="10" fillId="0" borderId="0" xfId="0" applyFont="1" applyAlignment="1">
      <alignment wrapText="1"/>
    </xf>
    <xf numFmtId="0" fontId="10" fillId="0" borderId="0" xfId="0" applyFont="1" applyAlignment="1">
      <alignment horizontal="right" wrapText="1"/>
    </xf>
    <xf numFmtId="6" fontId="10" fillId="0" borderId="0" xfId="0" applyNumberFormat="1" applyFont="1" applyAlignment="1">
      <alignment vertical="center" wrapText="1"/>
    </xf>
    <xf numFmtId="165" fontId="12" fillId="0" borderId="0" xfId="0" applyNumberFormat="1" applyFont="1" applyAlignment="1">
      <alignment horizontal="right" wrapText="1"/>
    </xf>
    <xf numFmtId="6" fontId="0" fillId="0" borderId="0" xfId="0" applyNumberFormat="1" applyAlignment="1">
      <alignment horizontal="right" wrapText="1"/>
    </xf>
    <xf numFmtId="6" fontId="0" fillId="0" borderId="0" xfId="0" applyNumberFormat="1"/>
    <xf numFmtId="6" fontId="0" fillId="0" borderId="0" xfId="0" applyNumberFormat="1" applyAlignment="1">
      <alignment vertical="center" wrapText="1"/>
    </xf>
    <xf numFmtId="6" fontId="12" fillId="0" borderId="0" xfId="0" applyNumberFormat="1" applyFont="1" applyAlignment="1">
      <alignment vertical="center" wrapText="1"/>
    </xf>
    <xf numFmtId="0" fontId="15" fillId="9" borderId="21" xfId="0" applyFont="1" applyFill="1" applyBorder="1" applyAlignment="1">
      <alignment horizontal="center" vertical="center"/>
    </xf>
    <xf numFmtId="0" fontId="15" fillId="9" borderId="9" xfId="0" applyFont="1" applyFill="1" applyBorder="1" applyAlignment="1">
      <alignment horizontal="center" vertical="center"/>
    </xf>
    <xf numFmtId="10" fontId="0" fillId="0" borderId="0" xfId="5" applyNumberFormat="1" applyFont="1"/>
    <xf numFmtId="0" fontId="10" fillId="0" borderId="14" xfId="0" applyFont="1" applyBorder="1" applyAlignment="1">
      <alignment wrapText="1"/>
    </xf>
    <xf numFmtId="0" fontId="0" fillId="0" borderId="14" xfId="0" applyBorder="1"/>
    <xf numFmtId="0" fontId="0" fillId="0" borderId="14" xfId="0" applyBorder="1" applyAlignment="1">
      <alignment vertical="center" wrapText="1"/>
    </xf>
    <xf numFmtId="0" fontId="0" fillId="0" borderId="12"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1" xfId="0" applyBorder="1"/>
    <xf numFmtId="0" fontId="0" fillId="0" borderId="15" xfId="0" applyBorder="1" applyAlignment="1">
      <alignment vertical="center" wrapText="1"/>
    </xf>
    <xf numFmtId="0" fontId="0" fillId="0" borderId="13" xfId="0" applyBorder="1" applyAlignment="1">
      <alignment vertical="center" wrapText="1"/>
    </xf>
    <xf numFmtId="0" fontId="10" fillId="0" borderId="17" xfId="0" applyFont="1" applyBorder="1" applyAlignment="1">
      <alignment wrapText="1"/>
    </xf>
    <xf numFmtId="0" fontId="3" fillId="0" borderId="14" xfId="0" applyFont="1" applyBorder="1" applyAlignment="1">
      <alignment horizontal="right" vertical="center"/>
    </xf>
    <xf numFmtId="0" fontId="3" fillId="0" borderId="17" xfId="0" applyFont="1" applyBorder="1" applyAlignment="1">
      <alignment horizontal="right" vertical="center"/>
    </xf>
    <xf numFmtId="0" fontId="3" fillId="0" borderId="11" xfId="0" applyFont="1" applyBorder="1" applyAlignment="1">
      <alignment horizontal="right" vertical="center"/>
    </xf>
    <xf numFmtId="0" fontId="5" fillId="5" borderId="37" xfId="0" applyFont="1" applyFill="1" applyBorder="1" applyAlignment="1">
      <alignment horizontal="right"/>
    </xf>
    <xf numFmtId="0" fontId="19" fillId="14" borderId="39" xfId="0" applyFont="1" applyFill="1" applyBorder="1" applyAlignment="1">
      <alignment horizontal="center" vertical="center"/>
    </xf>
    <xf numFmtId="0" fontId="19" fillId="14" borderId="39" xfId="0" applyFont="1" applyFill="1" applyBorder="1" applyAlignment="1">
      <alignment horizontal="center" vertical="center" wrapText="1"/>
    </xf>
    <xf numFmtId="0" fontId="0" fillId="0" borderId="0" xfId="0" applyAlignment="1">
      <alignment horizontal="center"/>
    </xf>
    <xf numFmtId="0" fontId="0" fillId="12" borderId="0" xfId="0" applyFill="1" applyAlignment="1">
      <alignment horizontal="center"/>
    </xf>
    <xf numFmtId="2" fontId="0" fillId="0" borderId="0" xfId="0" applyNumberFormat="1"/>
    <xf numFmtId="1" fontId="0" fillId="12" borderId="0" xfId="0" applyNumberFormat="1" applyFill="1" applyAlignment="1">
      <alignment horizontal="center"/>
    </xf>
    <xf numFmtId="164" fontId="0" fillId="12" borderId="0" xfId="0" applyNumberFormat="1" applyFill="1" applyAlignment="1">
      <alignment horizontal="center"/>
    </xf>
    <xf numFmtId="0" fontId="20" fillId="0" borderId="42" xfId="0" applyFont="1" applyBorder="1" applyAlignment="1">
      <alignment horizontal="center" vertical="center"/>
    </xf>
    <xf numFmtId="0" fontId="19" fillId="14" borderId="43" xfId="0" applyFont="1" applyFill="1" applyBorder="1" applyAlignment="1">
      <alignment horizontal="center" vertical="center" wrapText="1"/>
    </xf>
    <xf numFmtId="0" fontId="19" fillId="14" borderId="0" xfId="0" applyFont="1" applyFill="1" applyAlignment="1">
      <alignment horizontal="center" vertical="center"/>
    </xf>
    <xf numFmtId="0" fontId="19" fillId="14" borderId="0" xfId="0" applyFont="1" applyFill="1" applyAlignment="1">
      <alignment horizontal="center" vertical="center" wrapText="1"/>
    </xf>
    <xf numFmtId="0" fontId="18" fillId="0" borderId="0" xfId="0" applyFont="1"/>
    <xf numFmtId="164" fontId="19" fillId="14" borderId="0" xfId="0" applyNumberFormat="1" applyFont="1" applyFill="1" applyAlignment="1">
      <alignment horizontal="center" vertical="center"/>
    </xf>
    <xf numFmtId="0" fontId="20" fillId="0" borderId="46" xfId="0" applyFont="1" applyBorder="1" applyAlignment="1">
      <alignment horizontal="center" vertical="center"/>
    </xf>
    <xf numFmtId="0" fontId="20" fillId="0" borderId="14" xfId="0" applyFont="1" applyBorder="1" applyAlignment="1">
      <alignment horizontal="center" vertical="center"/>
    </xf>
    <xf numFmtId="164" fontId="20" fillId="0" borderId="14" xfId="0" applyNumberFormat="1" applyFont="1" applyBorder="1" applyAlignment="1">
      <alignment horizontal="center" vertical="center"/>
    </xf>
    <xf numFmtId="167" fontId="20" fillId="0" borderId="14" xfId="0" applyNumberFormat="1" applyFont="1" applyBorder="1" applyAlignment="1">
      <alignment horizontal="center" vertical="center"/>
    </xf>
    <xf numFmtId="0" fontId="20" fillId="0" borderId="11" xfId="0" applyFont="1" applyBorder="1" applyAlignment="1">
      <alignment horizontal="center" vertical="center"/>
    </xf>
    <xf numFmtId="0" fontId="0" fillId="0" borderId="17" xfId="0" applyBorder="1" applyAlignment="1">
      <alignment wrapText="1"/>
    </xf>
    <xf numFmtId="0" fontId="0" fillId="0" borderId="11" xfId="0" applyBorder="1" applyAlignment="1">
      <alignment wrapText="1"/>
    </xf>
    <xf numFmtId="167" fontId="20" fillId="0" borderId="11" xfId="0" applyNumberFormat="1" applyFont="1" applyBorder="1" applyAlignment="1">
      <alignment horizontal="center" vertical="center"/>
    </xf>
    <xf numFmtId="164" fontId="20" fillId="0" borderId="11" xfId="0" applyNumberFormat="1" applyFont="1" applyBorder="1" applyAlignment="1">
      <alignment horizontal="center" vertical="center"/>
    </xf>
    <xf numFmtId="1" fontId="20" fillId="0" borderId="14" xfId="0" applyNumberFormat="1" applyFont="1" applyBorder="1" applyAlignment="1">
      <alignment horizontal="center" vertical="center"/>
    </xf>
    <xf numFmtId="0" fontId="20" fillId="13" borderId="14" xfId="0" applyFont="1" applyFill="1" applyBorder="1" applyAlignment="1">
      <alignment horizontal="center" vertical="center"/>
    </xf>
    <xf numFmtId="1" fontId="20" fillId="0" borderId="11" xfId="0" applyNumberFormat="1" applyFont="1" applyBorder="1" applyAlignment="1">
      <alignment horizontal="center" vertical="center"/>
    </xf>
    <xf numFmtId="0" fontId="0" fillId="16" borderId="14" xfId="0" applyFill="1" applyBorder="1" applyAlignment="1">
      <alignment horizontal="center" vertical="center" wrapText="1"/>
    </xf>
    <xf numFmtId="0" fontId="35" fillId="20" borderId="14" xfId="8" applyBorder="1" applyAlignment="1">
      <alignment horizontal="center" vertical="center" wrapText="1"/>
    </xf>
    <xf numFmtId="0" fontId="35" fillId="20" borderId="40" xfId="8" applyBorder="1" applyAlignment="1">
      <alignment horizontal="center"/>
    </xf>
    <xf numFmtId="1" fontId="35" fillId="20" borderId="40" xfId="8" applyNumberFormat="1" applyBorder="1" applyAlignment="1">
      <alignment horizontal="center"/>
    </xf>
    <xf numFmtId="164" fontId="35" fillId="20" borderId="40" xfId="8" applyNumberFormat="1" applyBorder="1" applyAlignment="1">
      <alignment horizontal="center"/>
    </xf>
    <xf numFmtId="0" fontId="35" fillId="20" borderId="41" xfId="8" applyBorder="1" applyAlignment="1">
      <alignment horizontal="center"/>
    </xf>
    <xf numFmtId="164" fontId="35" fillId="20" borderId="41" xfId="8" applyNumberFormat="1" applyBorder="1" applyAlignment="1">
      <alignment horizontal="center"/>
    </xf>
    <xf numFmtId="0" fontId="35" fillId="20" borderId="9" xfId="8" applyBorder="1" applyAlignment="1">
      <alignment horizontal="left"/>
    </xf>
    <xf numFmtId="14" fontId="35" fillId="20" borderId="9" xfId="8" applyNumberFormat="1" applyBorder="1" applyAlignment="1">
      <alignment horizontal="left"/>
    </xf>
    <xf numFmtId="164" fontId="35" fillId="20" borderId="9" xfId="8" applyNumberFormat="1" applyBorder="1" applyAlignment="1">
      <alignment horizontal="left"/>
    </xf>
    <xf numFmtId="0" fontId="35" fillId="20" borderId="21" xfId="8" applyBorder="1" applyAlignment="1">
      <alignment horizontal="left"/>
    </xf>
    <xf numFmtId="14" fontId="35" fillId="20" borderId="20" xfId="8" applyNumberFormat="1" applyBorder="1" applyAlignment="1">
      <alignment horizontal="left"/>
    </xf>
    <xf numFmtId="169" fontId="35" fillId="20" borderId="20" xfId="8" applyNumberFormat="1" applyBorder="1" applyAlignment="1">
      <alignment horizontal="left"/>
    </xf>
    <xf numFmtId="168" fontId="35" fillId="20" borderId="20" xfId="8" applyNumberFormat="1" applyBorder="1" applyAlignment="1">
      <alignment horizontal="left"/>
    </xf>
    <xf numFmtId="0" fontId="35" fillId="20" borderId="20" xfId="8" applyBorder="1" applyAlignment="1">
      <alignment horizontal="left"/>
    </xf>
    <xf numFmtId="171" fontId="35" fillId="20" borderId="9" xfId="8" applyNumberFormat="1" applyBorder="1" applyAlignment="1">
      <alignment horizontal="left"/>
    </xf>
    <xf numFmtId="0" fontId="31" fillId="0" borderId="11" xfId="0" applyFont="1" applyBorder="1" applyAlignment="1">
      <alignment vertical="center"/>
    </xf>
    <xf numFmtId="173" fontId="31" fillId="0" borderId="11" xfId="6" applyNumberFormat="1" applyFont="1" applyFill="1" applyBorder="1" applyAlignment="1" applyProtection="1">
      <alignment horizontal="center" vertical="center"/>
    </xf>
    <xf numFmtId="0" fontId="22" fillId="0" borderId="14" xfId="0" applyFont="1" applyBorder="1" applyAlignment="1">
      <alignment vertical="center"/>
    </xf>
    <xf numFmtId="0" fontId="26" fillId="0" borderId="14" xfId="0" applyFont="1" applyBorder="1" applyAlignment="1">
      <alignment vertical="center"/>
    </xf>
    <xf numFmtId="37" fontId="26" fillId="13" borderId="14" xfId="6" applyNumberFormat="1" applyFont="1" applyFill="1" applyBorder="1" applyAlignment="1" applyProtection="1">
      <alignment horizontal="center" vertical="center"/>
    </xf>
    <xf numFmtId="174" fontId="26" fillId="20" borderId="14" xfId="8" applyNumberFormat="1" applyFont="1" applyBorder="1" applyAlignment="1" applyProtection="1">
      <alignment horizontal="center" vertical="center"/>
      <protection locked="0"/>
    </xf>
    <xf numFmtId="37" fontId="26" fillId="0" borderId="14" xfId="0" applyNumberFormat="1" applyFont="1" applyBorder="1" applyAlignment="1">
      <alignment horizontal="center" vertical="center"/>
    </xf>
    <xf numFmtId="39" fontId="26" fillId="0" borderId="14" xfId="6" applyNumberFormat="1" applyFont="1" applyFill="1" applyBorder="1" applyAlignment="1" applyProtection="1">
      <alignment horizontal="center" vertical="center"/>
    </xf>
    <xf numFmtId="0" fontId="29" fillId="0" borderId="14" xfId="0" applyFont="1" applyBorder="1" applyAlignment="1">
      <alignment horizontal="right" vertical="center" indent="1"/>
    </xf>
    <xf numFmtId="0" fontId="32" fillId="0" borderId="14" xfId="0" applyFont="1" applyBorder="1" applyAlignment="1">
      <alignment horizontal="right" vertical="center"/>
    </xf>
    <xf numFmtId="0" fontId="22" fillId="0" borderId="14" xfId="0" applyFont="1" applyBorder="1" applyAlignment="1" applyProtection="1">
      <alignment horizontal="center" vertical="center"/>
      <protection locked="0"/>
    </xf>
    <xf numFmtId="0" fontId="29" fillId="0" borderId="14" xfId="0" applyFont="1" applyBorder="1" applyAlignment="1">
      <alignment vertical="center"/>
    </xf>
    <xf numFmtId="37" fontId="26" fillId="0" borderId="14" xfId="0" applyNumberFormat="1" applyFont="1" applyBorder="1" applyAlignment="1">
      <alignment vertical="center"/>
    </xf>
    <xf numFmtId="0" fontId="31" fillId="0" borderId="14" xfId="0" applyFont="1" applyBorder="1" applyAlignment="1">
      <alignment vertical="center"/>
    </xf>
    <xf numFmtId="171" fontId="26" fillId="13" borderId="14" xfId="2" applyNumberFormat="1" applyFont="1" applyFill="1" applyBorder="1" applyAlignment="1" applyProtection="1">
      <alignment horizontal="center" vertical="center"/>
    </xf>
    <xf numFmtId="37" fontId="26" fillId="0" borderId="14" xfId="6" applyNumberFormat="1" applyFont="1" applyFill="1" applyBorder="1" applyAlignment="1" applyProtection="1">
      <alignment horizontal="center" vertical="center"/>
    </xf>
    <xf numFmtId="0" fontId="26" fillId="0" borderId="14" xfId="0" applyFont="1" applyBorder="1" applyAlignment="1">
      <alignment horizontal="center" vertical="center"/>
    </xf>
    <xf numFmtId="171" fontId="26" fillId="0" borderId="14" xfId="6" applyNumberFormat="1" applyFont="1" applyFill="1" applyBorder="1" applyAlignment="1" applyProtection="1">
      <alignment horizontal="center" vertical="center"/>
    </xf>
    <xf numFmtId="37" fontId="26" fillId="20" borderId="14" xfId="8" applyNumberFormat="1" applyFont="1" applyBorder="1" applyAlignment="1" applyProtection="1">
      <alignment horizontal="center" vertical="center"/>
      <protection locked="0"/>
    </xf>
    <xf numFmtId="37" fontId="26" fillId="13" borderId="14" xfId="0" applyNumberFormat="1" applyFont="1" applyFill="1" applyBorder="1" applyAlignment="1">
      <alignment horizontal="center" vertical="center"/>
    </xf>
    <xf numFmtId="37" fontId="26" fillId="20" borderId="49" xfId="8" applyNumberFormat="1" applyFont="1" applyBorder="1" applyAlignment="1" applyProtection="1">
      <alignment horizontal="center" vertical="center"/>
      <protection locked="0"/>
    </xf>
    <xf numFmtId="37" fontId="26" fillId="13" borderId="49" xfId="6" applyNumberFormat="1" applyFont="1" applyFill="1" applyBorder="1" applyAlignment="1" applyProtection="1">
      <alignment horizontal="center" vertical="center"/>
    </xf>
    <xf numFmtId="174" fontId="26" fillId="20" borderId="49" xfId="8" applyNumberFormat="1" applyFont="1" applyBorder="1" applyAlignment="1" applyProtection="1">
      <alignment horizontal="center" vertical="center"/>
      <protection locked="0"/>
    </xf>
    <xf numFmtId="39" fontId="26" fillId="0" borderId="49" xfId="6" applyNumberFormat="1" applyFont="1" applyFill="1" applyBorder="1" applyAlignment="1" applyProtection="1">
      <alignment horizontal="center" vertical="center"/>
    </xf>
    <xf numFmtId="0" fontId="21" fillId="0" borderId="14" xfId="0" applyFont="1" applyBorder="1" applyAlignment="1">
      <alignment horizontal="left" vertical="center" indent="1"/>
    </xf>
    <xf numFmtId="0" fontId="22" fillId="0" borderId="14" xfId="0" applyFont="1" applyBorder="1"/>
    <xf numFmtId="0" fontId="21" fillId="0" borderId="14" xfId="0" applyFont="1" applyBorder="1" applyAlignment="1">
      <alignment vertical="center"/>
    </xf>
    <xf numFmtId="0" fontId="22" fillId="0" borderId="14" xfId="0" applyFont="1" applyBorder="1" applyAlignment="1">
      <alignment horizontal="right" indent="1"/>
    </xf>
    <xf numFmtId="0" fontId="23" fillId="0" borderId="14" xfId="0" applyFont="1" applyBorder="1" applyAlignment="1">
      <alignment horizontal="left" vertical="center"/>
    </xf>
    <xf numFmtId="0" fontId="35" fillId="20" borderId="14" xfId="8" applyBorder="1" applyAlignment="1" applyProtection="1">
      <alignment horizontal="center" vertical="center"/>
      <protection locked="0"/>
    </xf>
    <xf numFmtId="0" fontId="22" fillId="0" borderId="14" xfId="0" applyFont="1" applyBorder="1" applyAlignment="1">
      <alignment horizontal="center" vertical="center"/>
    </xf>
    <xf numFmtId="37" fontId="22" fillId="0" borderId="14" xfId="0" applyNumberFormat="1" applyFont="1" applyBorder="1" applyAlignment="1">
      <alignment vertical="center"/>
    </xf>
    <xf numFmtId="0" fontId="25" fillId="0" borderId="14" xfId="0" applyFont="1" applyBorder="1" applyAlignment="1">
      <alignment vertical="center"/>
    </xf>
    <xf numFmtId="0" fontId="22" fillId="0" borderId="14" xfId="0" applyFont="1" applyBorder="1" applyAlignment="1">
      <alignment horizontal="right" vertical="center" indent="1"/>
    </xf>
    <xf numFmtId="0" fontId="32" fillId="0" borderId="14" xfId="0" applyFont="1" applyBorder="1" applyAlignment="1">
      <alignment horizontal="right" vertical="center" indent="1"/>
    </xf>
    <xf numFmtId="0" fontId="26" fillId="0" borderId="14" xfId="0" applyFont="1" applyBorder="1"/>
    <xf numFmtId="0" fontId="29" fillId="0" borderId="14" xfId="0" applyFont="1" applyBorder="1" applyAlignment="1">
      <alignment horizontal="right" indent="1"/>
    </xf>
    <xf numFmtId="0" fontId="32" fillId="0" borderId="14" xfId="0" applyFont="1" applyBorder="1"/>
    <xf numFmtId="0" fontId="22" fillId="0" borderId="15" xfId="0" applyFont="1" applyBorder="1" applyAlignment="1">
      <alignment vertical="center"/>
    </xf>
    <xf numFmtId="0" fontId="29" fillId="0" borderId="13" xfId="0" applyFont="1" applyBorder="1" applyAlignment="1">
      <alignment horizontal="right" vertical="center" indent="1"/>
    </xf>
    <xf numFmtId="0" fontId="22" fillId="0" borderId="17" xfId="0" applyFont="1" applyBorder="1"/>
    <xf numFmtId="0" fontId="26" fillId="13" borderId="17" xfId="0" applyFont="1" applyFill="1" applyBorder="1" applyAlignment="1">
      <alignment vertical="center"/>
    </xf>
    <xf numFmtId="0" fontId="26" fillId="0" borderId="17" xfId="0" applyFont="1" applyBorder="1" applyAlignment="1">
      <alignment vertical="center"/>
    </xf>
    <xf numFmtId="171" fontId="26" fillId="13" borderId="17" xfId="6" applyNumberFormat="1" applyFont="1" applyFill="1" applyBorder="1" applyAlignment="1" applyProtection="1">
      <alignment horizontal="center" vertical="center"/>
    </xf>
    <xf numFmtId="37" fontId="26" fillId="13" borderId="17" xfId="6" applyNumberFormat="1" applyFont="1" applyFill="1" applyBorder="1" applyAlignment="1" applyProtection="1">
      <alignment horizontal="center" vertical="center"/>
    </xf>
    <xf numFmtId="37" fontId="26" fillId="0" borderId="17" xfId="0" applyNumberFormat="1" applyFont="1" applyBorder="1" applyAlignment="1">
      <alignment horizontal="center" vertical="center"/>
    </xf>
    <xf numFmtId="39" fontId="26" fillId="0" borderId="17" xfId="6" applyNumberFormat="1" applyFont="1" applyFill="1" applyBorder="1" applyAlignment="1" applyProtection="1">
      <alignment horizontal="center" vertical="center"/>
    </xf>
    <xf numFmtId="0" fontId="26" fillId="0" borderId="11" xfId="0" applyFont="1" applyBorder="1" applyAlignment="1">
      <alignment vertical="center"/>
    </xf>
    <xf numFmtId="171" fontId="26" fillId="13" borderId="11" xfId="2" applyNumberFormat="1" applyFont="1" applyFill="1" applyBorder="1" applyAlignment="1" applyProtection="1">
      <alignment horizontal="center" vertical="center"/>
    </xf>
    <xf numFmtId="37" fontId="26" fillId="13" borderId="11" xfId="6" applyNumberFormat="1" applyFont="1" applyFill="1" applyBorder="1" applyAlignment="1" applyProtection="1">
      <alignment horizontal="center" vertical="center"/>
    </xf>
    <xf numFmtId="37" fontId="26" fillId="0" borderId="11" xfId="0" applyNumberFormat="1" applyFont="1" applyBorder="1" applyAlignment="1">
      <alignment horizontal="center" vertical="center"/>
    </xf>
    <xf numFmtId="39" fontId="26" fillId="0" borderId="11" xfId="6" applyNumberFormat="1" applyFont="1" applyFill="1" applyBorder="1" applyAlignment="1" applyProtection="1">
      <alignment horizontal="center" vertical="center"/>
    </xf>
    <xf numFmtId="37" fontId="31" fillId="0" borderId="11" xfId="6" applyNumberFormat="1" applyFont="1" applyFill="1" applyBorder="1" applyAlignment="1" applyProtection="1">
      <alignment horizontal="center" vertical="center"/>
    </xf>
    <xf numFmtId="37" fontId="31" fillId="0" borderId="11" xfId="0" applyNumberFormat="1" applyFont="1" applyBorder="1" applyAlignment="1">
      <alignment horizontal="center" vertical="center"/>
    </xf>
    <xf numFmtId="39" fontId="31" fillId="0" borderId="11" xfId="6" applyNumberFormat="1" applyFont="1" applyFill="1" applyBorder="1" applyAlignment="1" applyProtection="1">
      <alignment horizontal="center" vertical="center"/>
    </xf>
    <xf numFmtId="0" fontId="26" fillId="4" borderId="51" xfId="0" applyFont="1" applyFill="1" applyBorder="1" applyAlignment="1">
      <alignment vertical="center"/>
    </xf>
    <xf numFmtId="0" fontId="31" fillId="4" borderId="51" xfId="0" applyFont="1" applyFill="1" applyBorder="1" applyAlignment="1">
      <alignment vertical="center"/>
    </xf>
    <xf numFmtId="37" fontId="26" fillId="4" borderId="51" xfId="6" applyNumberFormat="1" applyFont="1" applyFill="1" applyBorder="1" applyAlignment="1" applyProtection="1">
      <alignment horizontal="center" vertical="center"/>
    </xf>
    <xf numFmtId="37" fontId="26" fillId="4" borderId="51" xfId="0" applyNumberFormat="1" applyFont="1" applyFill="1" applyBorder="1" applyAlignment="1">
      <alignment horizontal="center" vertical="center"/>
    </xf>
    <xf numFmtId="39" fontId="26" fillId="4" borderId="51" xfId="6" applyNumberFormat="1" applyFont="1" applyFill="1" applyBorder="1" applyAlignment="1" applyProtection="1">
      <alignment horizontal="center" vertical="center"/>
    </xf>
    <xf numFmtId="0" fontId="22" fillId="0" borderId="15" xfId="0" applyFont="1" applyBorder="1" applyAlignment="1">
      <alignment horizontal="right" vertical="center" indent="1"/>
    </xf>
    <xf numFmtId="0" fontId="33" fillId="0" borderId="13" xfId="0" applyFont="1" applyBorder="1" applyAlignment="1">
      <alignment horizontal="right" vertical="center" indent="1"/>
    </xf>
    <xf numFmtId="37" fontId="26" fillId="20" borderId="17" xfId="8" applyNumberFormat="1" applyFont="1" applyBorder="1" applyAlignment="1" applyProtection="1">
      <alignment horizontal="center" vertical="center"/>
      <protection locked="0"/>
    </xf>
    <xf numFmtId="174" fontId="26" fillId="20" borderId="17" xfId="8" applyNumberFormat="1" applyFont="1" applyBorder="1" applyAlignment="1" applyProtection="1">
      <alignment horizontal="center" vertical="center"/>
      <protection locked="0"/>
    </xf>
    <xf numFmtId="0" fontId="26" fillId="0" borderId="27" xfId="0" applyFont="1" applyBorder="1" applyAlignment="1">
      <alignment vertical="center"/>
    </xf>
    <xf numFmtId="0" fontId="31" fillId="0" borderId="27" xfId="0" applyFont="1" applyBorder="1" applyAlignment="1">
      <alignment vertical="center"/>
    </xf>
    <xf numFmtId="171" fontId="26" fillId="0" borderId="27" xfId="2" applyNumberFormat="1" applyFont="1" applyFill="1" applyBorder="1" applyAlignment="1" applyProtection="1">
      <alignment horizontal="center" vertical="center"/>
    </xf>
    <xf numFmtId="10" fontId="26" fillId="0" borderId="27" xfId="6" applyNumberFormat="1" applyFont="1" applyFill="1" applyBorder="1" applyAlignment="1" applyProtection="1">
      <alignment horizontal="center" vertical="center"/>
    </xf>
    <xf numFmtId="174" fontId="26" fillId="20" borderId="11" xfId="8" applyNumberFormat="1" applyFont="1" applyBorder="1" applyAlignment="1" applyProtection="1">
      <alignment horizontal="center" vertical="center"/>
      <protection locked="0"/>
    </xf>
    <xf numFmtId="37" fontId="26" fillId="0" borderId="27" xfId="6" applyNumberFormat="1" applyFont="1" applyFill="1" applyBorder="1" applyAlignment="1" applyProtection="1">
      <alignment horizontal="center" vertical="center"/>
    </xf>
    <xf numFmtId="39" fontId="26" fillId="0" borderId="27" xfId="6" applyNumberFormat="1" applyFont="1" applyFill="1" applyBorder="1" applyAlignment="1" applyProtection="1">
      <alignment horizontal="center" vertical="center"/>
    </xf>
    <xf numFmtId="38" fontId="26" fillId="0" borderId="11" xfId="9" applyNumberFormat="1" applyFont="1" applyBorder="1" applyAlignment="1">
      <alignment vertical="center"/>
    </xf>
    <xf numFmtId="0" fontId="26" fillId="0" borderId="11" xfId="0" applyFont="1" applyBorder="1" applyAlignment="1">
      <alignment horizontal="right" vertical="center" indent="1"/>
    </xf>
    <xf numFmtId="0" fontId="26" fillId="18" borderId="52" xfId="0" applyFont="1" applyFill="1" applyBorder="1" applyAlignment="1">
      <alignment vertical="center"/>
    </xf>
    <xf numFmtId="171" fontId="26" fillId="18" borderId="52" xfId="2" applyNumberFormat="1" applyFont="1" applyFill="1" applyBorder="1" applyAlignment="1" applyProtection="1">
      <alignment horizontal="center" vertical="center"/>
    </xf>
    <xf numFmtId="164" fontId="26" fillId="18" borderId="52" xfId="6" applyNumberFormat="1" applyFont="1" applyFill="1" applyBorder="1" applyAlignment="1" applyProtection="1">
      <alignment horizontal="center" vertical="center"/>
    </xf>
    <xf numFmtId="164" fontId="26" fillId="18" borderId="52" xfId="0" applyNumberFormat="1" applyFont="1" applyFill="1" applyBorder="1" applyAlignment="1">
      <alignment horizontal="center" vertical="center"/>
    </xf>
    <xf numFmtId="7" fontId="26" fillId="18" borderId="52" xfId="6" applyNumberFormat="1" applyFont="1" applyFill="1" applyBorder="1" applyAlignment="1" applyProtection="1">
      <alignment horizontal="center" vertical="center"/>
    </xf>
    <xf numFmtId="0" fontId="29" fillId="0" borderId="27" xfId="0" applyFont="1" applyBorder="1" applyAlignment="1">
      <alignment vertical="center"/>
    </xf>
    <xf numFmtId="0" fontId="29" fillId="0" borderId="27" xfId="0" applyFont="1" applyBorder="1" applyAlignment="1">
      <alignment horizontal="center" vertical="center"/>
    </xf>
    <xf numFmtId="174" fontId="29" fillId="0" borderId="27" xfId="0" applyNumberFormat="1" applyFont="1" applyBorder="1" applyAlignment="1">
      <alignment horizontal="center" vertical="center"/>
    </xf>
    <xf numFmtId="37" fontId="26" fillId="20" borderId="11" xfId="8" applyNumberFormat="1" applyFont="1" applyBorder="1" applyAlignment="1" applyProtection="1">
      <alignment horizontal="center" vertical="center"/>
      <protection locked="0"/>
    </xf>
    <xf numFmtId="0" fontId="26" fillId="18" borderId="53" xfId="0" applyFont="1" applyFill="1" applyBorder="1" applyAlignment="1">
      <alignment vertical="center"/>
    </xf>
    <xf numFmtId="0" fontId="31" fillId="18" borderId="53" xfId="0" applyFont="1" applyFill="1" applyBorder="1" applyAlignment="1">
      <alignment vertical="center"/>
    </xf>
    <xf numFmtId="171" fontId="26" fillId="18" borderId="53" xfId="2" applyNumberFormat="1" applyFont="1" applyFill="1" applyBorder="1" applyAlignment="1" applyProtection="1">
      <alignment horizontal="center" vertical="center"/>
    </xf>
    <xf numFmtId="5" fontId="26" fillId="18" borderId="53" xfId="6" applyNumberFormat="1" applyFont="1" applyFill="1" applyBorder="1" applyAlignment="1" applyProtection="1">
      <alignment horizontal="center" vertical="center"/>
    </xf>
    <xf numFmtId="174" fontId="26" fillId="18" borderId="53" xfId="7" applyNumberFormat="1" applyFont="1" applyFill="1" applyBorder="1" applyAlignment="1" applyProtection="1">
      <alignment horizontal="center" vertical="center"/>
    </xf>
    <xf numFmtId="5" fontId="26" fillId="18" borderId="53" xfId="0" applyNumberFormat="1" applyFont="1" applyFill="1" applyBorder="1" applyAlignment="1">
      <alignment horizontal="center" vertical="center"/>
    </xf>
    <xf numFmtId="0" fontId="26" fillId="18" borderId="54" xfId="0" applyFont="1" applyFill="1" applyBorder="1" applyAlignment="1">
      <alignment vertical="center"/>
    </xf>
    <xf numFmtId="164" fontId="26" fillId="18" borderId="54" xfId="6" applyNumberFormat="1" applyFont="1" applyFill="1" applyBorder="1" applyAlignment="1" applyProtection="1">
      <alignment horizontal="center" vertical="center"/>
    </xf>
    <xf numFmtId="164" fontId="26" fillId="18" borderId="54" xfId="0" applyNumberFormat="1" applyFont="1" applyFill="1" applyBorder="1" applyAlignment="1">
      <alignment horizontal="center" vertical="center"/>
    </xf>
    <xf numFmtId="7" fontId="26" fillId="18" borderId="54" xfId="6" applyNumberFormat="1" applyFont="1" applyFill="1" applyBorder="1" applyAlignment="1" applyProtection="1">
      <alignment horizontal="center" vertical="center"/>
    </xf>
    <xf numFmtId="0" fontId="26" fillId="18" borderId="55" xfId="0" applyFont="1" applyFill="1" applyBorder="1" applyAlignment="1">
      <alignment vertical="center"/>
    </xf>
    <xf numFmtId="164" fontId="26" fillId="18" borderId="55" xfId="6" applyNumberFormat="1" applyFont="1" applyFill="1" applyBorder="1" applyAlignment="1" applyProtection="1">
      <alignment horizontal="center" vertical="center"/>
    </xf>
    <xf numFmtId="164" fontId="26" fillId="18" borderId="55" xfId="0" applyNumberFormat="1" applyFont="1" applyFill="1" applyBorder="1" applyAlignment="1">
      <alignment horizontal="center" vertical="center"/>
    </xf>
    <xf numFmtId="7" fontId="26" fillId="18" borderId="55" xfId="6" applyNumberFormat="1" applyFont="1" applyFill="1" applyBorder="1" applyAlignment="1" applyProtection="1">
      <alignment horizontal="center" vertical="center"/>
    </xf>
    <xf numFmtId="0" fontId="27" fillId="17" borderId="56" xfId="0" applyFont="1" applyFill="1" applyBorder="1" applyAlignment="1">
      <alignment vertical="center"/>
    </xf>
    <xf numFmtId="0" fontId="27" fillId="17" borderId="56" xfId="0" applyFont="1" applyFill="1" applyBorder="1" applyAlignment="1">
      <alignment horizontal="center" vertical="center"/>
    </xf>
    <xf numFmtId="0" fontId="27" fillId="17" borderId="56" xfId="6" applyNumberFormat="1" applyFont="1" applyFill="1" applyBorder="1" applyAlignment="1" applyProtection="1">
      <alignment horizontal="center" vertical="center"/>
    </xf>
    <xf numFmtId="43" fontId="27" fillId="17" borderId="56" xfId="6" applyFont="1" applyFill="1" applyBorder="1" applyAlignment="1" applyProtection="1">
      <alignment horizontal="center" vertical="center"/>
    </xf>
    <xf numFmtId="0" fontId="26" fillId="18" borderId="57" xfId="0" applyFont="1" applyFill="1" applyBorder="1" applyAlignment="1">
      <alignment vertical="center"/>
    </xf>
    <xf numFmtId="164" fontId="26" fillId="18" borderId="57" xfId="6" applyNumberFormat="1" applyFont="1" applyFill="1" applyBorder="1" applyAlignment="1" applyProtection="1">
      <alignment horizontal="center" vertical="center"/>
    </xf>
    <xf numFmtId="164" fontId="26" fillId="18" borderId="57" xfId="0" applyNumberFormat="1" applyFont="1" applyFill="1" applyBorder="1" applyAlignment="1">
      <alignment horizontal="center" vertical="center"/>
    </xf>
    <xf numFmtId="7" fontId="26" fillId="18" borderId="57" xfId="6" applyNumberFormat="1" applyFont="1" applyFill="1" applyBorder="1" applyAlignment="1" applyProtection="1">
      <alignment horizontal="center" vertical="center"/>
    </xf>
    <xf numFmtId="0" fontId="26" fillId="18" borderId="58" xfId="0" applyFont="1" applyFill="1" applyBorder="1" applyAlignment="1">
      <alignment vertical="center"/>
    </xf>
    <xf numFmtId="164" fontId="26" fillId="18" borderId="58" xfId="6" applyNumberFormat="1" applyFont="1" applyFill="1" applyBorder="1" applyAlignment="1" applyProtection="1">
      <alignment horizontal="center" vertical="center"/>
    </xf>
    <xf numFmtId="164" fontId="26" fillId="18" borderId="58" xfId="0" applyNumberFormat="1" applyFont="1" applyFill="1" applyBorder="1" applyAlignment="1">
      <alignment horizontal="center" vertical="center"/>
    </xf>
    <xf numFmtId="7" fontId="26" fillId="18" borderId="58" xfId="6" applyNumberFormat="1" applyFont="1" applyFill="1" applyBorder="1" applyAlignment="1" applyProtection="1">
      <alignment horizontal="center" vertical="center"/>
    </xf>
    <xf numFmtId="0" fontId="22" fillId="0" borderId="11" xfId="0" applyFont="1" applyBorder="1" applyAlignment="1">
      <alignment horizontal="right" vertical="center" indent="1"/>
    </xf>
    <xf numFmtId="0" fontId="22" fillId="0" borderId="49" xfId="0" applyFont="1" applyBorder="1" applyAlignment="1">
      <alignment horizontal="right" vertical="center" indent="1"/>
    </xf>
    <xf numFmtId="37" fontId="26" fillId="0" borderId="49" xfId="0" applyNumberFormat="1" applyFont="1" applyBorder="1" applyAlignment="1">
      <alignment horizontal="center" vertical="center"/>
    </xf>
    <xf numFmtId="0" fontId="22" fillId="0" borderId="17" xfId="0" applyFont="1" applyBorder="1" applyAlignment="1">
      <alignment horizontal="right" vertical="center" indent="1"/>
    </xf>
    <xf numFmtId="0" fontId="22" fillId="0" borderId="59" xfId="0" applyFont="1" applyBorder="1" applyAlignment="1">
      <alignment horizontal="right" vertical="center" indent="1"/>
    </xf>
    <xf numFmtId="37" fontId="26" fillId="20" borderId="59" xfId="8" applyNumberFormat="1" applyFont="1" applyBorder="1" applyAlignment="1" applyProtection="1">
      <alignment horizontal="center" vertical="center"/>
      <protection locked="0"/>
    </xf>
    <xf numFmtId="174" fontId="26" fillId="20" borderId="59" xfId="8" applyNumberFormat="1" applyFont="1" applyBorder="1" applyAlignment="1" applyProtection="1">
      <alignment horizontal="center" vertical="center"/>
      <protection locked="0"/>
    </xf>
    <xf numFmtId="37" fontId="26" fillId="0" borderId="59" xfId="0" applyNumberFormat="1" applyFont="1" applyBorder="1" applyAlignment="1">
      <alignment horizontal="center" vertical="center"/>
    </xf>
    <xf numFmtId="39" fontId="26" fillId="0" borderId="59" xfId="6" applyNumberFormat="1" applyFont="1" applyFill="1" applyBorder="1" applyAlignment="1" applyProtection="1">
      <alignment horizontal="center" vertical="center"/>
    </xf>
    <xf numFmtId="0" fontId="32" fillId="0" borderId="11" xfId="0" applyFont="1" applyBorder="1" applyAlignment="1">
      <alignment horizontal="right" vertical="center" indent="1"/>
    </xf>
    <xf numFmtId="0" fontId="26" fillId="13" borderId="11" xfId="0" applyFont="1" applyFill="1" applyBorder="1" applyAlignment="1">
      <alignment vertical="center"/>
    </xf>
    <xf numFmtId="37" fontId="35" fillId="20" borderId="14" xfId="8" applyNumberFormat="1" applyBorder="1" applyAlignment="1" applyProtection="1">
      <alignment horizontal="center" vertical="center"/>
      <protection locked="0"/>
    </xf>
    <xf numFmtId="173" fontId="31" fillId="13" borderId="14" xfId="6" applyNumberFormat="1" applyFont="1" applyFill="1" applyBorder="1" applyAlignment="1" applyProtection="1">
      <alignment horizontal="center" vertical="center"/>
    </xf>
    <xf numFmtId="171" fontId="26" fillId="20" borderId="17" xfId="8" applyNumberFormat="1" applyFont="1" applyBorder="1" applyAlignment="1" applyProtection="1">
      <alignment horizontal="center" vertical="center"/>
      <protection locked="0"/>
    </xf>
    <xf numFmtId="37" fontId="35" fillId="20" borderId="17" xfId="8" applyNumberFormat="1" applyBorder="1" applyAlignment="1" applyProtection="1">
      <alignment horizontal="center" vertical="center"/>
      <protection locked="0"/>
    </xf>
    <xf numFmtId="173" fontId="26" fillId="4" borderId="51" xfId="6" applyNumberFormat="1" applyFont="1" applyFill="1" applyBorder="1" applyAlignment="1" applyProtection="1">
      <alignment horizontal="center" vertical="center"/>
    </xf>
    <xf numFmtId="171" fontId="26" fillId="20" borderId="11" xfId="8" applyNumberFormat="1" applyFont="1" applyBorder="1" applyAlignment="1" applyProtection="1">
      <alignment horizontal="center" vertical="center"/>
      <protection locked="0"/>
    </xf>
    <xf numFmtId="37" fontId="35" fillId="20" borderId="11" xfId="8" applyNumberFormat="1" applyBorder="1" applyAlignment="1" applyProtection="1">
      <alignment horizontal="center" vertical="center"/>
      <protection locked="0"/>
    </xf>
    <xf numFmtId="171" fontId="26" fillId="20" borderId="14" xfId="8" applyNumberFormat="1" applyFont="1" applyBorder="1" applyAlignment="1" applyProtection="1">
      <alignment horizontal="center" vertical="center"/>
      <protection locked="0"/>
    </xf>
    <xf numFmtId="173" fontId="31" fillId="13" borderId="17" xfId="6" applyNumberFormat="1" applyFont="1" applyFill="1" applyBorder="1" applyAlignment="1" applyProtection="1">
      <alignment horizontal="center" vertical="center"/>
    </xf>
    <xf numFmtId="173" fontId="31" fillId="13" borderId="11" xfId="6" applyNumberFormat="1" applyFont="1" applyFill="1" applyBorder="1" applyAlignment="1" applyProtection="1">
      <alignment horizontal="center" vertical="center"/>
    </xf>
    <xf numFmtId="37" fontId="26" fillId="13" borderId="59" xfId="6" applyNumberFormat="1" applyFont="1" applyFill="1" applyBorder="1" applyAlignment="1" applyProtection="1">
      <alignment horizontal="center" vertical="center"/>
    </xf>
    <xf numFmtId="173" fontId="31" fillId="13" borderId="59" xfId="6" applyNumberFormat="1" applyFont="1" applyFill="1" applyBorder="1" applyAlignment="1" applyProtection="1">
      <alignment horizontal="center" vertical="center"/>
    </xf>
    <xf numFmtId="37" fontId="35" fillId="20" borderId="59" xfId="8" applyNumberFormat="1" applyBorder="1" applyAlignment="1" applyProtection="1">
      <alignment horizontal="center" vertical="center"/>
      <protection locked="0"/>
    </xf>
    <xf numFmtId="173" fontId="31" fillId="13" borderId="49" xfId="6" applyNumberFormat="1" applyFont="1" applyFill="1" applyBorder="1" applyAlignment="1" applyProtection="1">
      <alignment horizontal="center" vertical="center"/>
    </xf>
    <xf numFmtId="37" fontId="35" fillId="20" borderId="49" xfId="8" applyNumberFormat="1" applyBorder="1" applyAlignment="1" applyProtection="1">
      <alignment horizontal="center" vertical="center"/>
      <protection locked="0"/>
    </xf>
    <xf numFmtId="37" fontId="26" fillId="0" borderId="11" xfId="6" applyNumberFormat="1" applyFont="1" applyFill="1" applyBorder="1" applyAlignment="1" applyProtection="1">
      <alignment horizontal="center" vertical="center"/>
    </xf>
    <xf numFmtId="164" fontId="26" fillId="18" borderId="58" xfId="2" applyNumberFormat="1" applyFont="1" applyFill="1" applyBorder="1" applyAlignment="1" applyProtection="1">
      <alignment horizontal="center" vertical="center"/>
    </xf>
    <xf numFmtId="0" fontId="26" fillId="0" borderId="11" xfId="0" applyFont="1" applyBorder="1" applyAlignment="1">
      <alignment horizontal="center" vertical="center"/>
    </xf>
    <xf numFmtId="0" fontId="24" fillId="0" borderId="17" xfId="0" applyFont="1" applyBorder="1" applyAlignment="1">
      <alignment horizontal="center" vertical="center"/>
    </xf>
    <xf numFmtId="0" fontId="25" fillId="0" borderId="17" xfId="0" applyFont="1"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0" fontId="35" fillId="13" borderId="14" xfId="8" applyFill="1" applyBorder="1" applyAlignment="1">
      <alignment horizontal="center" vertical="center" wrapText="1"/>
    </xf>
    <xf numFmtId="0" fontId="0" fillId="19" borderId="0" xfId="0" applyFill="1"/>
    <xf numFmtId="0" fontId="0" fillId="19" borderId="0" xfId="0" applyFill="1" applyAlignment="1">
      <alignment horizontal="center"/>
    </xf>
    <xf numFmtId="164" fontId="0" fillId="19" borderId="0" xfId="0" applyNumberFormat="1" applyFill="1" applyAlignment="1">
      <alignment horizontal="center"/>
    </xf>
    <xf numFmtId="167" fontId="0" fillId="12" borderId="0" xfId="0" applyNumberFormat="1" applyFill="1"/>
    <xf numFmtId="0" fontId="0" fillId="12" borderId="0" xfId="0" applyFill="1"/>
    <xf numFmtId="164" fontId="3" fillId="0" borderId="40" xfId="0" applyNumberFormat="1" applyFont="1" applyBorder="1" applyAlignment="1">
      <alignment horizontal="center" vertical="center"/>
    </xf>
    <xf numFmtId="167" fontId="0" fillId="0" borderId="44" xfId="0" applyNumberFormat="1" applyBorder="1" applyAlignment="1">
      <alignment horizontal="center" vertical="center"/>
    </xf>
    <xf numFmtId="2" fontId="0" fillId="0" borderId="44" xfId="0" applyNumberFormat="1" applyBorder="1" applyAlignment="1">
      <alignment horizontal="center" vertical="center"/>
    </xf>
    <xf numFmtId="164" fontId="3" fillId="0" borderId="41" xfId="0" applyNumberFormat="1" applyFont="1" applyBorder="1" applyAlignment="1">
      <alignment horizontal="center" vertical="center"/>
    </xf>
    <xf numFmtId="164" fontId="3" fillId="0" borderId="45" xfId="0" applyNumberFormat="1" applyFont="1" applyBorder="1" applyAlignment="1">
      <alignment horizontal="center" vertical="center"/>
    </xf>
    <xf numFmtId="0" fontId="0" fillId="0" borderId="0" xfId="0" applyAlignment="1">
      <alignment horizontal="center" vertical="center"/>
    </xf>
    <xf numFmtId="0" fontId="19" fillId="14" borderId="62" xfId="0" applyFont="1" applyFill="1" applyBorder="1" applyAlignment="1">
      <alignment horizontal="center" vertical="center" wrapText="1"/>
    </xf>
    <xf numFmtId="167" fontId="0" fillId="0" borderId="63" xfId="0" applyNumberFormat="1" applyBorder="1" applyAlignment="1">
      <alignment horizontal="center" vertical="center"/>
    </xf>
    <xf numFmtId="2" fontId="0" fillId="0" borderId="63" xfId="0" applyNumberFormat="1" applyBorder="1" applyAlignment="1">
      <alignment horizontal="center" vertical="center"/>
    </xf>
    <xf numFmtId="164" fontId="3" fillId="0" borderId="64" xfId="0" applyNumberFormat="1" applyFont="1" applyBorder="1" applyAlignment="1">
      <alignment horizontal="center" vertical="center"/>
    </xf>
    <xf numFmtId="167" fontId="19" fillId="14" borderId="61" xfId="0" applyNumberFormat="1" applyFont="1" applyFill="1" applyBorder="1" applyAlignment="1">
      <alignment horizontal="center" vertical="center" wrapText="1"/>
    </xf>
    <xf numFmtId="2" fontId="19" fillId="14" borderId="61" xfId="0" applyNumberFormat="1" applyFont="1" applyFill="1" applyBorder="1" applyAlignment="1">
      <alignment horizontal="center" vertical="center" wrapText="1"/>
    </xf>
    <xf numFmtId="0" fontId="19" fillId="14" borderId="61" xfId="0" applyFont="1" applyFill="1" applyBorder="1" applyAlignment="1">
      <alignment horizontal="center" vertical="center" wrapText="1"/>
    </xf>
    <xf numFmtId="0" fontId="35" fillId="20" borderId="17" xfId="8" applyBorder="1" applyAlignment="1">
      <alignment horizontal="center" vertical="center"/>
    </xf>
    <xf numFmtId="173" fontId="20" fillId="0" borderId="14" xfId="6" applyNumberFormat="1" applyFont="1" applyBorder="1" applyAlignment="1">
      <alignment horizontal="center" vertical="center"/>
    </xf>
    <xf numFmtId="37" fontId="26" fillId="18" borderId="53" xfId="6" applyNumberFormat="1" applyFont="1" applyFill="1" applyBorder="1" applyAlignment="1" applyProtection="1">
      <alignment horizontal="center" vertical="center"/>
    </xf>
    <xf numFmtId="37" fontId="26" fillId="0" borderId="17" xfId="6" applyNumberFormat="1" applyFont="1" applyFill="1" applyBorder="1" applyAlignment="1" applyProtection="1">
      <alignment horizontal="center" vertical="center"/>
    </xf>
    <xf numFmtId="0" fontId="3" fillId="0" borderId="14" xfId="0" applyFont="1" applyBorder="1" applyAlignment="1">
      <alignment wrapText="1"/>
    </xf>
    <xf numFmtId="0" fontId="16" fillId="0" borderId="14" xfId="0" applyFont="1" applyBorder="1" applyAlignment="1">
      <alignment horizontal="center" wrapText="1"/>
    </xf>
    <xf numFmtId="0" fontId="3" fillId="0" borderId="14" xfId="0" applyFont="1" applyBorder="1" applyAlignment="1">
      <alignment horizontal="center" vertical="center" wrapText="1"/>
    </xf>
    <xf numFmtId="0" fontId="17" fillId="0" borderId="14" xfId="0" applyFont="1" applyBorder="1" applyAlignment="1">
      <alignment horizontal="center" wrapText="1"/>
    </xf>
    <xf numFmtId="0" fontId="3" fillId="0" borderId="14" xfId="0" applyFont="1" applyBorder="1" applyAlignment="1">
      <alignment horizontal="center" wrapText="1"/>
    </xf>
    <xf numFmtId="0" fontId="3" fillId="0" borderId="17" xfId="0" applyFont="1" applyBorder="1" applyAlignment="1">
      <alignment wrapText="1"/>
    </xf>
    <xf numFmtId="0" fontId="3" fillId="0" borderId="14" xfId="0" applyFont="1" applyBorder="1" applyAlignment="1">
      <alignment vertical="center" wrapText="1"/>
    </xf>
    <xf numFmtId="0" fontId="6" fillId="0" borderId="17" xfId="0" applyFont="1" applyBorder="1" applyAlignment="1">
      <alignment wrapText="1"/>
    </xf>
    <xf numFmtId="0" fontId="3" fillId="0" borderId="14" xfId="0" applyFont="1" applyBorder="1" applyAlignment="1">
      <alignment horizontal="right" vertical="center" wrapText="1"/>
    </xf>
    <xf numFmtId="0" fontId="3" fillId="0" borderId="15" xfId="0" applyFont="1" applyBorder="1" applyAlignment="1">
      <alignment wrapText="1"/>
    </xf>
    <xf numFmtId="0" fontId="37" fillId="0" borderId="29" xfId="0" applyFont="1" applyBorder="1" applyAlignment="1">
      <alignment horizontal="right" vertical="center" wrapText="1"/>
    </xf>
    <xf numFmtId="0" fontId="37" fillId="0" borderId="29" xfId="0" applyFont="1" applyBorder="1" applyAlignment="1">
      <alignment horizontal="right" wrapText="1"/>
    </xf>
    <xf numFmtId="0" fontId="10" fillId="0" borderId="13" xfId="0" applyFont="1" applyBorder="1" applyAlignment="1">
      <alignment wrapText="1"/>
    </xf>
    <xf numFmtId="14" fontId="38" fillId="0" borderId="9" xfId="0" applyNumberFormat="1" applyFont="1" applyBorder="1" applyAlignment="1">
      <alignment horizontal="right" wrapText="1"/>
    </xf>
    <xf numFmtId="14" fontId="37" fillId="0" borderId="9" xfId="0" applyNumberFormat="1" applyFont="1" applyBorder="1" applyAlignment="1">
      <alignment horizontal="right" wrapText="1"/>
    </xf>
    <xf numFmtId="0" fontId="10" fillId="0" borderId="14" xfId="0" applyFont="1" applyBorder="1" applyAlignment="1">
      <alignment vertical="center" wrapText="1"/>
    </xf>
    <xf numFmtId="0" fontId="3" fillId="0" borderId="15" xfId="0" applyFont="1" applyBorder="1" applyAlignment="1">
      <alignment vertical="center" wrapText="1"/>
    </xf>
    <xf numFmtId="164" fontId="37" fillId="0" borderId="9" xfId="0" applyNumberFormat="1" applyFont="1" applyBorder="1" applyAlignment="1">
      <alignment horizontal="right" vertical="center" wrapText="1"/>
    </xf>
    <xf numFmtId="164" fontId="37" fillId="0" borderId="29" xfId="0" applyNumberFormat="1" applyFont="1" applyBorder="1" applyAlignment="1">
      <alignment horizontal="right" vertical="center" wrapText="1"/>
    </xf>
    <xf numFmtId="0" fontId="38" fillId="0" borderId="9" xfId="0" applyFont="1" applyBorder="1" applyAlignment="1">
      <alignment horizontal="right" wrapText="1"/>
    </xf>
    <xf numFmtId="0" fontId="37" fillId="0" borderId="9" xfId="0" applyFont="1" applyBorder="1" applyAlignment="1">
      <alignment horizontal="right" wrapText="1"/>
    </xf>
    <xf numFmtId="6" fontId="38" fillId="0" borderId="9" xfId="0" applyNumberFormat="1" applyFont="1" applyBorder="1" applyAlignment="1">
      <alignment horizontal="right" wrapText="1"/>
    </xf>
    <xf numFmtId="6" fontId="37" fillId="0" borderId="9" xfId="0" applyNumberFormat="1" applyFont="1" applyBorder="1" applyAlignment="1">
      <alignment horizontal="right" wrapText="1"/>
    </xf>
    <xf numFmtId="165" fontId="37" fillId="0" borderId="29" xfId="5" applyNumberFormat="1" applyFont="1" applyBorder="1" applyAlignment="1" applyProtection="1">
      <alignment horizontal="right" vertical="center" wrapText="1"/>
    </xf>
    <xf numFmtId="165" fontId="37" fillId="0" borderId="29" xfId="5" applyNumberFormat="1" applyFont="1" applyBorder="1" applyAlignment="1" applyProtection="1">
      <alignment horizontal="right" wrapText="1"/>
    </xf>
    <xf numFmtId="1" fontId="37" fillId="0" borderId="29" xfId="0" applyNumberFormat="1" applyFont="1" applyBorder="1" applyAlignment="1">
      <alignment horizontal="right" vertical="center" wrapText="1"/>
    </xf>
    <xf numFmtId="1" fontId="37" fillId="0" borderId="29" xfId="0" applyNumberFormat="1" applyFont="1" applyBorder="1" applyAlignment="1">
      <alignment horizontal="right" wrapText="1"/>
    </xf>
    <xf numFmtId="10" fontId="38" fillId="0" borderId="9" xfId="0" applyNumberFormat="1" applyFont="1" applyBorder="1" applyAlignment="1">
      <alignment horizontal="right" wrapText="1"/>
    </xf>
    <xf numFmtId="10" fontId="37" fillId="0" borderId="9" xfId="0" applyNumberFormat="1" applyFont="1" applyBorder="1" applyAlignment="1">
      <alignment horizontal="right" wrapText="1"/>
    </xf>
    <xf numFmtId="6" fontId="37" fillId="0" borderId="9" xfId="0" applyNumberFormat="1" applyFont="1" applyBorder="1" applyAlignment="1">
      <alignment horizontal="right" vertical="center" wrapText="1"/>
    </xf>
    <xf numFmtId="0" fontId="0" fillId="0" borderId="14" xfId="0" applyBorder="1" applyAlignment="1">
      <alignment horizontal="right"/>
    </xf>
    <xf numFmtId="0" fontId="35" fillId="20" borderId="9" xfId="8" applyBorder="1" applyAlignment="1" applyProtection="1">
      <alignment horizontal="right"/>
      <protection locked="0"/>
    </xf>
    <xf numFmtId="164" fontId="35" fillId="20" borderId="9" xfId="8" applyNumberFormat="1" applyBorder="1" applyAlignment="1" applyProtection="1">
      <alignment horizontal="right"/>
      <protection locked="0"/>
    </xf>
    <xf numFmtId="9" fontId="35" fillId="20" borderId="9" xfId="8" applyNumberFormat="1" applyBorder="1" applyAlignment="1" applyProtection="1">
      <alignment horizontal="right"/>
      <protection locked="0"/>
    </xf>
    <xf numFmtId="165" fontId="35" fillId="20" borderId="9" xfId="8" applyNumberFormat="1" applyBorder="1" applyAlignment="1" applyProtection="1">
      <alignment horizontal="right"/>
      <protection locked="0"/>
    </xf>
    <xf numFmtId="1" fontId="35" fillId="20" borderId="9" xfId="8" applyNumberFormat="1" applyBorder="1" applyAlignment="1" applyProtection="1">
      <alignment horizontal="right"/>
      <protection locked="0"/>
    </xf>
    <xf numFmtId="0" fontId="35" fillId="20" borderId="9" xfId="8" applyBorder="1" applyAlignment="1" applyProtection="1">
      <alignment horizontal="right" wrapText="1"/>
      <protection locked="0"/>
    </xf>
    <xf numFmtId="0" fontId="0" fillId="0" borderId="17" xfId="0" applyBorder="1" applyAlignment="1">
      <alignment horizontal="right"/>
    </xf>
    <xf numFmtId="0" fontId="0" fillId="0" borderId="14" xfId="0" quotePrefix="1" applyBorder="1"/>
    <xf numFmtId="0" fontId="19" fillId="0" borderId="14" xfId="0" applyFont="1" applyBorder="1" applyAlignment="1">
      <alignment horizontal="center" vertical="center" wrapText="1"/>
    </xf>
    <xf numFmtId="0" fontId="19" fillId="13" borderId="0" xfId="0" applyFont="1" applyFill="1" applyAlignment="1">
      <alignment horizontal="center" vertical="center" wrapText="1"/>
    </xf>
    <xf numFmtId="171" fontId="26" fillId="0" borderId="14" xfId="8" applyNumberFormat="1" applyFont="1" applyFill="1" applyBorder="1" applyAlignment="1" applyProtection="1">
      <alignment horizontal="center" vertical="center"/>
    </xf>
    <xf numFmtId="37" fontId="26" fillId="0" borderId="17" xfId="8" applyNumberFormat="1" applyFont="1" applyFill="1" applyBorder="1" applyAlignment="1" applyProtection="1">
      <alignment horizontal="center" vertical="center"/>
    </xf>
    <xf numFmtId="37" fontId="26" fillId="0" borderId="59" xfId="8" applyNumberFormat="1" applyFont="1" applyFill="1" applyBorder="1" applyAlignment="1" applyProtection="1">
      <alignment horizontal="center" vertical="center"/>
    </xf>
    <xf numFmtId="37" fontId="26" fillId="0" borderId="14" xfId="8" applyNumberFormat="1" applyFont="1" applyFill="1" applyBorder="1" applyAlignment="1" applyProtection="1">
      <alignment horizontal="center" vertical="center"/>
    </xf>
    <xf numFmtId="37" fontId="26" fillId="0" borderId="49" xfId="8" applyNumberFormat="1" applyFont="1" applyFill="1" applyBorder="1" applyAlignment="1" applyProtection="1">
      <alignment horizontal="center" vertical="center"/>
    </xf>
    <xf numFmtId="7" fontId="26" fillId="18" borderId="53" xfId="6" applyNumberFormat="1" applyFont="1" applyFill="1" applyBorder="1" applyAlignment="1" applyProtection="1">
      <alignment horizontal="center" vertical="center"/>
    </xf>
    <xf numFmtId="0" fontId="22" fillId="0" borderId="14" xfId="0" applyFont="1" applyBorder="1" applyAlignment="1">
      <alignment horizontal="left"/>
    </xf>
    <xf numFmtId="0" fontId="35" fillId="0" borderId="14" xfId="8" applyFill="1" applyBorder="1" applyAlignment="1" applyProtection="1">
      <alignment horizontal="center" vertical="center"/>
      <protection locked="0"/>
    </xf>
    <xf numFmtId="0" fontId="26" fillId="0" borderId="14" xfId="0" applyFont="1" applyBorder="1" applyAlignment="1">
      <alignment horizontal="left" vertical="center"/>
    </xf>
    <xf numFmtId="0" fontId="29" fillId="0" borderId="14" xfId="0" applyFont="1" applyBorder="1" applyAlignment="1">
      <alignment horizontal="left" vertical="center"/>
    </xf>
    <xf numFmtId="172" fontId="35" fillId="0" borderId="14" xfId="8" applyNumberFormat="1" applyFill="1" applyBorder="1" applyAlignment="1" applyProtection="1">
      <alignment horizontal="center" vertical="center"/>
      <protection locked="0"/>
    </xf>
    <xf numFmtId="37" fontId="26" fillId="20" borderId="65" xfId="8" applyNumberFormat="1" applyFont="1" applyBorder="1" applyAlignment="1" applyProtection="1">
      <alignment horizontal="center" vertical="center"/>
      <protection locked="0"/>
    </xf>
    <xf numFmtId="171" fontId="26" fillId="0" borderId="65" xfId="8" applyNumberFormat="1" applyFont="1" applyFill="1" applyBorder="1" applyAlignment="1" applyProtection="1">
      <alignment horizontal="center" vertical="center"/>
    </xf>
    <xf numFmtId="171" fontId="26" fillId="13" borderId="65" xfId="2" applyNumberFormat="1" applyFont="1" applyFill="1" applyBorder="1" applyAlignment="1" applyProtection="1">
      <alignment horizontal="center" vertical="center"/>
    </xf>
    <xf numFmtId="37" fontId="26" fillId="13" borderId="65" xfId="6" applyNumberFormat="1" applyFont="1" applyFill="1" applyBorder="1" applyAlignment="1" applyProtection="1">
      <alignment horizontal="center" vertical="center"/>
    </xf>
    <xf numFmtId="171" fontId="26" fillId="20" borderId="65" xfId="8" applyNumberFormat="1" applyFont="1" applyBorder="1" applyAlignment="1" applyProtection="1">
      <alignment horizontal="center" vertical="center"/>
      <protection locked="0"/>
    </xf>
    <xf numFmtId="174" fontId="26" fillId="20" borderId="65" xfId="8" applyNumberFormat="1" applyFont="1" applyBorder="1" applyAlignment="1" applyProtection="1">
      <alignment horizontal="center" vertical="center"/>
      <protection locked="0"/>
    </xf>
    <xf numFmtId="37" fontId="26" fillId="13" borderId="65" xfId="0" applyNumberFormat="1" applyFont="1" applyFill="1" applyBorder="1" applyAlignment="1">
      <alignment horizontal="center" vertical="center"/>
    </xf>
    <xf numFmtId="39" fontId="26" fillId="0" borderId="65" xfId="6" applyNumberFormat="1" applyFont="1" applyFill="1" applyBorder="1" applyAlignment="1" applyProtection="1">
      <alignment horizontal="center" vertical="center"/>
    </xf>
    <xf numFmtId="174" fontId="26" fillId="20" borderId="51" xfId="8" applyNumberFormat="1" applyFont="1" applyBorder="1" applyAlignment="1" applyProtection="1">
      <alignment horizontal="center" vertical="center"/>
      <protection locked="0"/>
    </xf>
    <xf numFmtId="37" fontId="26" fillId="4" borderId="51" xfId="8" applyNumberFormat="1" applyFont="1" applyFill="1" applyBorder="1" applyAlignment="1" applyProtection="1">
      <alignment horizontal="center" vertical="center"/>
    </xf>
    <xf numFmtId="0" fontId="40" fillId="17" borderId="66" xfId="0" applyFont="1" applyFill="1" applyBorder="1" applyAlignment="1">
      <alignment vertical="center"/>
    </xf>
    <xf numFmtId="175" fontId="0" fillId="0" borderId="14" xfId="0" applyNumberFormat="1" applyBorder="1" applyAlignment="1">
      <alignment horizontal="center"/>
    </xf>
    <xf numFmtId="0" fontId="35" fillId="20" borderId="14" xfId="8" applyBorder="1"/>
    <xf numFmtId="0" fontId="45" fillId="18" borderId="0" xfId="0" applyFont="1" applyFill="1" applyAlignment="1">
      <alignment vertical="center"/>
    </xf>
    <xf numFmtId="0" fontId="45" fillId="18" borderId="0" xfId="0" applyFont="1" applyFill="1" applyAlignment="1">
      <alignment horizontal="left" vertical="center" indent="1"/>
    </xf>
    <xf numFmtId="164" fontId="45" fillId="18" borderId="0" xfId="0" applyNumberFormat="1" applyFont="1" applyFill="1" applyAlignment="1">
      <alignment horizontal="center" vertical="center"/>
    </xf>
    <xf numFmtId="164" fontId="45" fillId="18" borderId="0" xfId="0" applyNumberFormat="1" applyFont="1" applyFill="1" applyAlignment="1">
      <alignment vertical="center"/>
    </xf>
    <xf numFmtId="0" fontId="45" fillId="18" borderId="0" xfId="0" applyFont="1" applyFill="1" applyAlignment="1">
      <alignment horizontal="center" vertical="center"/>
    </xf>
    <xf numFmtId="164" fontId="46" fillId="21" borderId="67" xfId="0" applyNumberFormat="1" applyFont="1" applyFill="1" applyBorder="1" applyAlignment="1">
      <alignment horizontal="right" vertical="center" indent="1"/>
    </xf>
    <xf numFmtId="0" fontId="41" fillId="0" borderId="14" xfId="0" applyFont="1" applyBorder="1"/>
    <xf numFmtId="0" fontId="42" fillId="0" borderId="14" xfId="0" applyFont="1" applyBorder="1" applyAlignment="1">
      <alignment horizontal="left" vertical="center" indent="1"/>
    </xf>
    <xf numFmtId="0" fontId="41" fillId="0" borderId="14" xfId="0" applyFont="1" applyBorder="1" applyAlignment="1">
      <alignment horizontal="left" vertical="center" indent="1"/>
    </xf>
    <xf numFmtId="0" fontId="46" fillId="0" borderId="14" xfId="0" applyFont="1" applyBorder="1" applyAlignment="1">
      <alignment horizontal="left" vertical="center" indent="1"/>
    </xf>
    <xf numFmtId="38" fontId="51" fillId="0" borderId="14" xfId="14" applyFont="1" applyBorder="1" applyAlignment="1">
      <alignment horizontal="left" vertical="center" indent="1"/>
    </xf>
    <xf numFmtId="0" fontId="41" fillId="0" borderId="15" xfId="0" applyFont="1" applyBorder="1"/>
    <xf numFmtId="0" fontId="41" fillId="0" borderId="15" xfId="0" applyFont="1" applyBorder="1" applyAlignment="1">
      <alignment horizontal="left" vertical="center" indent="1"/>
    </xf>
    <xf numFmtId="0" fontId="46" fillId="0" borderId="15" xfId="0" applyFont="1" applyBorder="1" applyAlignment="1">
      <alignment horizontal="left" vertical="center" indent="1"/>
    </xf>
    <xf numFmtId="0" fontId="49" fillId="0" borderId="15" xfId="0" applyFont="1" applyBorder="1" applyAlignment="1">
      <alignment horizontal="left" vertical="center" indent="1"/>
    </xf>
    <xf numFmtId="0" fontId="0" fillId="0" borderId="10" xfId="0" applyBorder="1"/>
    <xf numFmtId="0" fontId="42" fillId="0" borderId="14" xfId="0" applyFont="1" applyBorder="1" applyAlignment="1">
      <alignment vertical="center"/>
    </xf>
    <xf numFmtId="0" fontId="41" fillId="0" borderId="14" xfId="0" applyFont="1" applyBorder="1" applyAlignment="1">
      <alignment horizontal="center"/>
    </xf>
    <xf numFmtId="0" fontId="41" fillId="0" borderId="14" xfId="0" applyFont="1" applyBorder="1" applyAlignment="1">
      <alignment horizontal="right"/>
    </xf>
    <xf numFmtId="0" fontId="43" fillId="0" borderId="14" xfId="12" applyFont="1" applyBorder="1" applyAlignment="1">
      <alignment vertical="center"/>
    </xf>
    <xf numFmtId="9" fontId="41" fillId="0" borderId="14" xfId="2" applyFont="1" applyFill="1" applyBorder="1" applyAlignment="1" applyProtection="1">
      <alignment horizontal="left" vertical="center" indent="1"/>
    </xf>
    <xf numFmtId="164" fontId="46" fillId="0" borderId="14" xfId="0" applyNumberFormat="1" applyFont="1" applyBorder="1" applyAlignment="1">
      <alignment horizontal="left" vertical="center" indent="1"/>
    </xf>
    <xf numFmtId="0" fontId="45" fillId="0" borderId="14" xfId="0" applyFont="1" applyBorder="1" applyAlignment="1">
      <alignment horizontal="left" vertical="center" indent="1"/>
    </xf>
    <xf numFmtId="0" fontId="47" fillId="0" borderId="14" xfId="0" applyFont="1" applyBorder="1" applyAlignment="1">
      <alignment horizontal="center" vertical="center"/>
    </xf>
    <xf numFmtId="0" fontId="45" fillId="0" borderId="14" xfId="0" applyFont="1" applyBorder="1" applyAlignment="1">
      <alignment horizontal="center" vertical="center"/>
    </xf>
    <xf numFmtId="0" fontId="45" fillId="0" borderId="14" xfId="0" applyFont="1" applyBorder="1" applyAlignment="1">
      <alignment horizontal="right" vertical="center" indent="1"/>
    </xf>
    <xf numFmtId="0" fontId="45" fillId="0" borderId="14" xfId="0" applyFont="1" applyBorder="1" applyAlignment="1">
      <alignment vertical="center"/>
    </xf>
    <xf numFmtId="0" fontId="45" fillId="0" borderId="14" xfId="0" applyFont="1" applyBorder="1" applyAlignment="1">
      <alignment horizontal="left" vertical="center" indent="2"/>
    </xf>
    <xf numFmtId="164" fontId="45" fillId="0" borderId="14" xfId="0" applyNumberFormat="1" applyFont="1" applyBorder="1" applyAlignment="1">
      <alignment horizontal="center" vertical="center"/>
    </xf>
    <xf numFmtId="9" fontId="45" fillId="0" borderId="14" xfId="2" applyFont="1" applyBorder="1" applyAlignment="1" applyProtection="1">
      <alignment horizontal="right" vertical="center" indent="1"/>
    </xf>
    <xf numFmtId="164" fontId="45" fillId="0" borderId="14" xfId="0" applyNumberFormat="1" applyFont="1" applyBorder="1" applyAlignment="1">
      <alignment vertical="center"/>
    </xf>
    <xf numFmtId="167" fontId="46" fillId="0" borderId="14" xfId="0" applyNumberFormat="1" applyFont="1" applyBorder="1" applyAlignment="1">
      <alignment horizontal="left" vertical="center" indent="1"/>
    </xf>
    <xf numFmtId="167" fontId="45" fillId="0" borderId="14" xfId="0" applyNumberFormat="1" applyFont="1" applyBorder="1" applyAlignment="1">
      <alignment horizontal="center" vertical="center"/>
    </xf>
    <xf numFmtId="167" fontId="45" fillId="0" borderId="14" xfId="0" applyNumberFormat="1" applyFont="1" applyBorder="1" applyAlignment="1">
      <alignment vertical="center"/>
    </xf>
    <xf numFmtId="3" fontId="46" fillId="0" borderId="14" xfId="0" applyNumberFormat="1" applyFont="1" applyBorder="1" applyAlignment="1">
      <alignment horizontal="left" vertical="center" indent="1"/>
    </xf>
    <xf numFmtId="171" fontId="45" fillId="0" borderId="14" xfId="2" applyNumberFormat="1" applyFont="1" applyFill="1" applyBorder="1" applyAlignment="1" applyProtection="1">
      <alignment horizontal="center" vertical="center"/>
    </xf>
    <xf numFmtId="164" fontId="46" fillId="0" borderId="14" xfId="0" applyNumberFormat="1" applyFont="1" applyBorder="1" applyAlignment="1">
      <alignment horizontal="right" vertical="center" indent="1"/>
    </xf>
    <xf numFmtId="3" fontId="45" fillId="0" borderId="14" xfId="0" applyNumberFormat="1" applyFont="1" applyBorder="1" applyAlignment="1">
      <alignment horizontal="center" vertical="center"/>
    </xf>
    <xf numFmtId="3" fontId="45" fillId="0" borderId="14" xfId="0" applyNumberFormat="1" applyFont="1" applyBorder="1" applyAlignment="1">
      <alignment vertical="center"/>
    </xf>
    <xf numFmtId="10" fontId="45" fillId="0" borderId="14" xfId="0" applyNumberFormat="1" applyFont="1" applyBorder="1" applyAlignment="1">
      <alignment horizontal="center" vertical="center"/>
    </xf>
    <xf numFmtId="10" fontId="45" fillId="0" borderId="14" xfId="2" applyNumberFormat="1" applyFont="1" applyBorder="1" applyAlignment="1" applyProtection="1">
      <alignment horizontal="center" vertical="center"/>
    </xf>
    <xf numFmtId="171" fontId="45" fillId="13" borderId="14" xfId="2" applyNumberFormat="1" applyFont="1" applyFill="1" applyBorder="1" applyAlignment="1" applyProtection="1">
      <alignment horizontal="center" vertical="center"/>
    </xf>
    <xf numFmtId="164" fontId="45" fillId="13" borderId="14" xfId="0" applyNumberFormat="1" applyFont="1" applyFill="1" applyBorder="1" applyAlignment="1">
      <alignment horizontal="center" vertical="center"/>
    </xf>
    <xf numFmtId="10" fontId="45" fillId="0" borderId="14" xfId="2" applyNumberFormat="1" applyFont="1" applyFill="1" applyBorder="1" applyAlignment="1" applyProtection="1">
      <alignment horizontal="center" vertical="center"/>
    </xf>
    <xf numFmtId="2" fontId="45" fillId="13" borderId="14" xfId="0" applyNumberFormat="1" applyFont="1" applyFill="1" applyBorder="1" applyAlignment="1">
      <alignment horizontal="center" vertical="center"/>
    </xf>
    <xf numFmtId="2" fontId="45" fillId="13" borderId="14" xfId="0" applyNumberFormat="1" applyFont="1" applyFill="1" applyBorder="1" applyAlignment="1">
      <alignment vertical="center"/>
    </xf>
    <xf numFmtId="0" fontId="45" fillId="13" borderId="14" xfId="0" applyFont="1" applyFill="1" applyBorder="1" applyAlignment="1">
      <alignment vertical="center"/>
    </xf>
    <xf numFmtId="10" fontId="45" fillId="13" borderId="14" xfId="2" applyNumberFormat="1" applyFont="1" applyFill="1" applyBorder="1" applyAlignment="1" applyProtection="1">
      <alignment horizontal="center" vertical="center"/>
    </xf>
    <xf numFmtId="164" fontId="46" fillId="13" borderId="14" xfId="0" applyNumberFormat="1" applyFont="1" applyFill="1" applyBorder="1" applyAlignment="1">
      <alignment horizontal="right" vertical="center" indent="1"/>
    </xf>
    <xf numFmtId="10" fontId="45" fillId="13" borderId="14" xfId="2" applyNumberFormat="1" applyFont="1" applyFill="1" applyBorder="1" applyAlignment="1" applyProtection="1">
      <alignment vertical="center"/>
    </xf>
    <xf numFmtId="2" fontId="45" fillId="0" borderId="14" xfId="0" applyNumberFormat="1" applyFont="1" applyBorder="1" applyAlignment="1">
      <alignment horizontal="center" vertical="center"/>
    </xf>
    <xf numFmtId="0" fontId="41" fillId="0" borderId="14" xfId="0" applyFont="1" applyBorder="1" applyAlignment="1">
      <alignment horizontal="right" vertical="center" indent="1"/>
    </xf>
    <xf numFmtId="10" fontId="45" fillId="0" borderId="14" xfId="2" applyNumberFormat="1" applyFont="1" applyFill="1" applyBorder="1" applyAlignment="1" applyProtection="1">
      <alignment vertical="center"/>
    </xf>
    <xf numFmtId="2" fontId="45" fillId="0" borderId="14" xfId="2" applyNumberFormat="1" applyFont="1" applyFill="1" applyBorder="1" applyAlignment="1" applyProtection="1">
      <alignment horizontal="center" vertical="center"/>
    </xf>
    <xf numFmtId="176" fontId="45" fillId="0" borderId="14" xfId="2" applyNumberFormat="1" applyFont="1" applyFill="1" applyBorder="1" applyAlignment="1" applyProtection="1">
      <alignment horizontal="center" vertical="center"/>
    </xf>
    <xf numFmtId="1" fontId="45" fillId="0" borderId="14" xfId="2" applyNumberFormat="1" applyFont="1" applyFill="1" applyBorder="1" applyAlignment="1" applyProtection="1">
      <alignment horizontal="center" vertical="center"/>
    </xf>
    <xf numFmtId="38" fontId="45" fillId="0" borderId="14" xfId="9" applyNumberFormat="1" applyFont="1" applyBorder="1" applyAlignment="1">
      <alignment horizontal="left" vertical="center"/>
    </xf>
    <xf numFmtId="38" fontId="45" fillId="0" borderId="14" xfId="9" applyNumberFormat="1" applyFont="1" applyBorder="1" applyAlignment="1">
      <alignment horizontal="left" vertical="center" indent="1"/>
    </xf>
    <xf numFmtId="0" fontId="45" fillId="0" borderId="14" xfId="0" applyFont="1" applyBorder="1" applyAlignment="1">
      <alignment horizontal="left" vertical="center"/>
    </xf>
    <xf numFmtId="6" fontId="45" fillId="0" borderId="14" xfId="0" applyNumberFormat="1" applyFont="1" applyBorder="1" applyAlignment="1">
      <alignment horizontal="center" vertical="center"/>
    </xf>
    <xf numFmtId="3" fontId="45" fillId="0" borderId="14" xfId="9" applyNumberFormat="1" applyFont="1" applyBorder="1" applyAlignment="1">
      <alignment horizontal="center" vertical="center"/>
    </xf>
    <xf numFmtId="6" fontId="45" fillId="0" borderId="14" xfId="9" applyNumberFormat="1" applyFont="1" applyBorder="1" applyAlignment="1">
      <alignment horizontal="center" vertical="center"/>
    </xf>
    <xf numFmtId="1" fontId="46" fillId="0" borderId="14" xfId="0" applyNumberFormat="1" applyFont="1" applyBorder="1" applyAlignment="1">
      <alignment horizontal="left" vertical="center" indent="1"/>
    </xf>
    <xf numFmtId="0" fontId="45" fillId="0" borderId="11" xfId="0" applyFont="1" applyBorder="1" applyAlignment="1">
      <alignment horizontal="left" vertical="center" indent="1"/>
    </xf>
    <xf numFmtId="0" fontId="47" fillId="0" borderId="11" xfId="0" applyFont="1" applyBorder="1" applyAlignment="1">
      <alignment horizontal="center" vertical="center"/>
    </xf>
    <xf numFmtId="0" fontId="47" fillId="0" borderId="11" xfId="13" applyNumberFormat="1" applyFont="1" applyFill="1" applyBorder="1" applyAlignment="1" applyProtection="1">
      <alignment horizontal="right" vertical="center" indent="1"/>
    </xf>
    <xf numFmtId="0" fontId="45" fillId="0" borderId="11" xfId="0" applyFont="1" applyBorder="1" applyAlignment="1">
      <alignment horizontal="center" vertical="center"/>
    </xf>
    <xf numFmtId="0" fontId="45" fillId="0" borderId="11" xfId="0" applyFont="1" applyBorder="1" applyAlignment="1">
      <alignment horizontal="right" vertical="center" indent="1"/>
    </xf>
    <xf numFmtId="0" fontId="41" fillId="0" borderId="11" xfId="0" applyFont="1" applyBorder="1" applyAlignment="1">
      <alignment horizontal="left" vertical="center" indent="1"/>
    </xf>
    <xf numFmtId="0" fontId="46" fillId="0" borderId="17" xfId="0" applyFont="1" applyBorder="1" applyAlignment="1">
      <alignment horizontal="left" vertical="center" indent="1"/>
    </xf>
    <xf numFmtId="0" fontId="49" fillId="0" borderId="17" xfId="0" applyFont="1" applyBorder="1" applyAlignment="1">
      <alignment horizontal="center" vertical="center"/>
    </xf>
    <xf numFmtId="0" fontId="50" fillId="0" borderId="17" xfId="13" applyNumberFormat="1" applyFont="1" applyFill="1" applyBorder="1" applyAlignment="1" applyProtection="1">
      <alignment horizontal="right" vertical="center" indent="1"/>
    </xf>
    <xf numFmtId="0" fontId="46" fillId="0" borderId="17" xfId="0" applyFont="1" applyBorder="1" applyAlignment="1">
      <alignment horizontal="center" vertical="center"/>
    </xf>
    <xf numFmtId="0" fontId="46" fillId="0" borderId="17" xfId="0" applyFont="1" applyBorder="1" applyAlignment="1">
      <alignment horizontal="right" vertical="center" indent="1"/>
    </xf>
    <xf numFmtId="0" fontId="41" fillId="0" borderId="17" xfId="0" applyFont="1" applyBorder="1" applyAlignment="1">
      <alignment horizontal="left" vertical="center" indent="1"/>
    </xf>
    <xf numFmtId="37" fontId="26" fillId="13" borderId="11" xfId="11" applyNumberFormat="1" applyFont="1" applyFill="1" applyBorder="1" applyAlignment="1" applyProtection="1">
      <alignment horizontal="center" vertical="center"/>
    </xf>
    <xf numFmtId="0" fontId="27" fillId="0" borderId="11" xfId="0" applyFont="1" applyBorder="1" applyAlignment="1">
      <alignment vertical="center"/>
    </xf>
    <xf numFmtId="0" fontId="28" fillId="0" borderId="11" xfId="0" applyFont="1" applyBorder="1" applyAlignment="1">
      <alignment vertical="center"/>
    </xf>
    <xf numFmtId="0" fontId="26" fillId="0" borderId="11" xfId="8" applyNumberFormat="1" applyFont="1" applyFill="1" applyBorder="1" applyAlignment="1" applyProtection="1">
      <alignment horizontal="center" vertical="center"/>
      <protection locked="0"/>
    </xf>
    <xf numFmtId="0" fontId="36" fillId="0" borderId="11" xfId="0" applyFont="1" applyBorder="1" applyAlignment="1">
      <alignment horizontal="center" vertical="center"/>
    </xf>
    <xf numFmtId="0" fontId="30" fillId="0" borderId="11" xfId="0" applyFont="1" applyBorder="1" applyAlignment="1">
      <alignment horizontal="center" vertical="center"/>
    </xf>
    <xf numFmtId="0" fontId="27" fillId="0" borderId="11" xfId="0" applyFont="1" applyBorder="1" applyAlignment="1">
      <alignment horizontal="center" vertical="center"/>
    </xf>
    <xf numFmtId="0" fontId="27" fillId="0" borderId="11" xfId="6" applyNumberFormat="1" applyFont="1" applyFill="1" applyBorder="1" applyAlignment="1" applyProtection="1">
      <alignment horizontal="center" vertical="center"/>
      <protection locked="0"/>
    </xf>
    <xf numFmtId="43" fontId="27" fillId="0" borderId="11" xfId="6" applyFont="1" applyFill="1" applyBorder="1" applyAlignment="1" applyProtection="1">
      <alignment horizontal="center" vertical="center"/>
    </xf>
    <xf numFmtId="0" fontId="27" fillId="17" borderId="69" xfId="0" applyFont="1" applyFill="1" applyBorder="1" applyAlignment="1">
      <alignment vertical="center"/>
    </xf>
    <xf numFmtId="0" fontId="28" fillId="17" borderId="69" xfId="0" applyFont="1" applyFill="1" applyBorder="1" applyAlignment="1">
      <alignment vertical="center"/>
    </xf>
    <xf numFmtId="0" fontId="26" fillId="20" borderId="69" xfId="8" applyNumberFormat="1" applyFont="1" applyBorder="1" applyAlignment="1" applyProtection="1">
      <alignment horizontal="center" vertical="center"/>
      <protection locked="0"/>
    </xf>
    <xf numFmtId="0" fontId="36" fillId="17" borderId="69" xfId="0" applyFont="1" applyFill="1" applyBorder="1" applyAlignment="1">
      <alignment horizontal="center" vertical="center"/>
    </xf>
    <xf numFmtId="0" fontId="30" fillId="17" borderId="69" xfId="0" applyFont="1" applyFill="1" applyBorder="1" applyAlignment="1">
      <alignment horizontal="center" vertical="center"/>
    </xf>
    <xf numFmtId="0" fontId="27" fillId="17" borderId="69" xfId="0" applyFont="1" applyFill="1" applyBorder="1" applyAlignment="1">
      <alignment horizontal="center" vertical="center"/>
    </xf>
    <xf numFmtId="0" fontId="27" fillId="17" borderId="69" xfId="6" applyNumberFormat="1" applyFont="1" applyFill="1" applyBorder="1" applyAlignment="1" applyProtection="1">
      <alignment horizontal="center" vertical="center"/>
      <protection locked="0"/>
    </xf>
    <xf numFmtId="43" fontId="27" fillId="17" borderId="69" xfId="6" applyFont="1" applyFill="1" applyBorder="1" applyAlignment="1" applyProtection="1">
      <alignment horizontal="center" vertical="center"/>
    </xf>
    <xf numFmtId="0" fontId="45" fillId="0" borderId="11" xfId="0" applyFont="1" applyBorder="1" applyAlignment="1">
      <alignment horizontal="left" vertical="center" indent="2"/>
    </xf>
    <xf numFmtId="0" fontId="41" fillId="0" borderId="14" xfId="0" applyFont="1" applyBorder="1" applyAlignment="1">
      <alignment vertical="center"/>
    </xf>
    <xf numFmtId="171" fontId="45" fillId="0" borderId="14" xfId="2" applyNumberFormat="1" applyFont="1" applyBorder="1" applyAlignment="1" applyProtection="1">
      <alignment horizontal="center" vertical="center"/>
    </xf>
    <xf numFmtId="10" fontId="45" fillId="20" borderId="14" xfId="8" applyNumberFormat="1" applyFont="1" applyBorder="1" applyAlignment="1" applyProtection="1">
      <alignment horizontal="center" vertical="center"/>
      <protection locked="0"/>
    </xf>
    <xf numFmtId="10" fontId="45" fillId="20" borderId="14" xfId="8" applyNumberFormat="1" applyFont="1" applyBorder="1" applyAlignment="1" applyProtection="1">
      <alignment horizontal="right" vertical="center" indent="1"/>
      <protection locked="0"/>
    </xf>
    <xf numFmtId="171" fontId="47" fillId="13" borderId="14" xfId="2" applyNumberFormat="1" applyFont="1" applyFill="1" applyBorder="1" applyAlignment="1" applyProtection="1">
      <alignment horizontal="center" vertical="center"/>
    </xf>
    <xf numFmtId="10" fontId="45" fillId="13" borderId="14" xfId="2" applyNumberFormat="1" applyFont="1" applyFill="1" applyBorder="1" applyAlignment="1" applyProtection="1">
      <alignment horizontal="right" vertical="center" indent="1"/>
    </xf>
    <xf numFmtId="171" fontId="47" fillId="0" borderId="14" xfId="2" applyNumberFormat="1" applyFont="1" applyFill="1" applyBorder="1" applyAlignment="1" applyProtection="1">
      <alignment horizontal="center" vertical="center"/>
    </xf>
    <xf numFmtId="0" fontId="47" fillId="0" borderId="14" xfId="0" applyFont="1" applyBorder="1" applyAlignment="1">
      <alignment horizontal="right" vertical="center" indent="1"/>
    </xf>
    <xf numFmtId="0" fontId="41" fillId="0" borderId="17" xfId="0" applyFont="1" applyBorder="1" applyAlignment="1">
      <alignment vertical="center"/>
    </xf>
    <xf numFmtId="0" fontId="52" fillId="0" borderId="17" xfId="0" applyFont="1" applyBorder="1" applyAlignment="1">
      <alignment vertical="center"/>
    </xf>
    <xf numFmtId="0" fontId="45" fillId="0" borderId="17" xfId="0" applyFont="1" applyBorder="1" applyAlignment="1">
      <alignment vertical="center"/>
    </xf>
    <xf numFmtId="171" fontId="47" fillId="13" borderId="17" xfId="2" applyNumberFormat="1" applyFont="1" applyFill="1" applyBorder="1" applyAlignment="1" applyProtection="1">
      <alignment horizontal="center" vertical="center"/>
    </xf>
    <xf numFmtId="0" fontId="47" fillId="0" borderId="11" xfId="0" applyFont="1" applyBorder="1" applyAlignment="1">
      <alignment horizontal="left" vertical="center" indent="1"/>
    </xf>
    <xf numFmtId="173" fontId="45" fillId="0" borderId="11" xfId="6" applyNumberFormat="1" applyFont="1" applyFill="1" applyBorder="1" applyAlignment="1" applyProtection="1">
      <alignment horizontal="center" vertical="center"/>
    </xf>
    <xf numFmtId="171" fontId="47" fillId="0" borderId="11" xfId="2" applyNumberFormat="1" applyFont="1" applyFill="1" applyBorder="1" applyAlignment="1" applyProtection="1">
      <alignment horizontal="center" vertical="center"/>
    </xf>
    <xf numFmtId="10" fontId="45" fillId="20" borderId="11" xfId="8" applyNumberFormat="1" applyFont="1" applyBorder="1" applyAlignment="1" applyProtection="1">
      <alignment horizontal="center" vertical="center"/>
      <protection locked="0"/>
    </xf>
    <xf numFmtId="10" fontId="45" fillId="20" borderId="11" xfId="8" applyNumberFormat="1" applyFont="1" applyBorder="1" applyAlignment="1" applyProtection="1">
      <alignment horizontal="right" vertical="center" indent="1"/>
      <protection locked="0"/>
    </xf>
    <xf numFmtId="0" fontId="40" fillId="17" borderId="70" xfId="0" applyFont="1" applyFill="1" applyBorder="1" applyAlignment="1">
      <alignment horizontal="left" vertical="center" indent="1"/>
    </xf>
    <xf numFmtId="1" fontId="40" fillId="17" borderId="70" xfId="0" applyNumberFormat="1" applyFont="1" applyFill="1" applyBorder="1" applyAlignment="1">
      <alignment horizontal="center" vertical="center"/>
    </xf>
    <xf numFmtId="177" fontId="40" fillId="17" borderId="70" xfId="0" applyNumberFormat="1" applyFont="1" applyFill="1" applyBorder="1" applyAlignment="1">
      <alignment horizontal="center" vertical="center"/>
    </xf>
    <xf numFmtId="177" fontId="40" fillId="17" borderId="70" xfId="0" applyNumberFormat="1" applyFont="1" applyFill="1" applyBorder="1" applyAlignment="1">
      <alignment horizontal="right" vertical="center" indent="1"/>
    </xf>
    <xf numFmtId="0" fontId="45" fillId="0" borderId="17" xfId="0" applyFont="1" applyBorder="1" applyAlignment="1">
      <alignment horizontal="left" vertical="center" indent="2"/>
    </xf>
    <xf numFmtId="10" fontId="45" fillId="20" borderId="17" xfId="8" applyNumberFormat="1" applyFont="1" applyBorder="1" applyAlignment="1" applyProtection="1">
      <alignment horizontal="center" vertical="center"/>
      <protection locked="0"/>
    </xf>
    <xf numFmtId="10" fontId="45" fillId="20" borderId="17" xfId="8" applyNumberFormat="1" applyFont="1" applyBorder="1" applyAlignment="1" applyProtection="1">
      <alignment horizontal="right" vertical="center" indent="1"/>
      <protection locked="0"/>
    </xf>
    <xf numFmtId="0" fontId="45" fillId="0" borderId="27" xfId="0" applyFont="1" applyBorder="1" applyAlignment="1">
      <alignment vertical="center"/>
    </xf>
    <xf numFmtId="171" fontId="47" fillId="0" borderId="27" xfId="2" applyNumberFormat="1" applyFont="1" applyFill="1" applyBorder="1" applyAlignment="1" applyProtection="1">
      <alignment horizontal="center" vertical="center"/>
    </xf>
    <xf numFmtId="0" fontId="45" fillId="18" borderId="52" xfId="0" applyFont="1" applyFill="1" applyBorder="1" applyAlignment="1">
      <alignment horizontal="left" vertical="center" indent="1"/>
    </xf>
    <xf numFmtId="171" fontId="45" fillId="18" borderId="52" xfId="2" applyNumberFormat="1" applyFont="1" applyFill="1" applyBorder="1" applyAlignment="1" applyProtection="1">
      <alignment horizontal="center" vertical="center"/>
    </xf>
    <xf numFmtId="10" fontId="45" fillId="18" borderId="52" xfId="6" applyNumberFormat="1" applyFont="1" applyFill="1" applyBorder="1" applyAlignment="1" applyProtection="1">
      <alignment horizontal="center" vertical="center"/>
    </xf>
    <xf numFmtId="10" fontId="45" fillId="18" borderId="52" xfId="6" applyNumberFormat="1" applyFont="1" applyFill="1" applyBorder="1" applyAlignment="1" applyProtection="1">
      <alignment horizontal="right" vertical="center" indent="1"/>
    </xf>
    <xf numFmtId="38" fontId="45" fillId="0" borderId="11" xfId="9" applyNumberFormat="1" applyFont="1" applyBorder="1" applyAlignment="1">
      <alignment horizontal="left" vertical="center" indent="1"/>
    </xf>
    <xf numFmtId="173" fontId="47" fillId="0" borderId="11" xfId="6" applyNumberFormat="1" applyFont="1" applyFill="1" applyBorder="1" applyAlignment="1" applyProtection="1">
      <alignment horizontal="right" vertical="center"/>
    </xf>
    <xf numFmtId="171" fontId="47" fillId="0" borderId="11" xfId="2" applyNumberFormat="1" applyFont="1" applyFill="1" applyBorder="1" applyAlignment="1" applyProtection="1">
      <alignment horizontal="right" vertical="center" indent="1"/>
    </xf>
    <xf numFmtId="0" fontId="45" fillId="0" borderId="65" xfId="0" applyFont="1" applyBorder="1" applyAlignment="1">
      <alignment horizontal="left" vertical="center" indent="2"/>
    </xf>
    <xf numFmtId="171" fontId="45" fillId="0" borderId="65" xfId="2" applyNumberFormat="1" applyFont="1" applyBorder="1" applyAlignment="1" applyProtection="1">
      <alignment horizontal="center" vertical="center"/>
    </xf>
    <xf numFmtId="171" fontId="45" fillId="13" borderId="65" xfId="2" applyNumberFormat="1" applyFont="1" applyFill="1" applyBorder="1" applyAlignment="1" applyProtection="1">
      <alignment horizontal="center" vertical="center"/>
    </xf>
    <xf numFmtId="171" fontId="45" fillId="13" borderId="65" xfId="2" applyNumberFormat="1" applyFont="1" applyFill="1" applyBorder="1" applyAlignment="1" applyProtection="1">
      <alignment horizontal="right" vertical="center" indent="1"/>
    </xf>
    <xf numFmtId="0" fontId="45" fillId="0" borderId="27" xfId="0" applyFont="1" applyBorder="1" applyAlignment="1">
      <alignment horizontal="center" vertical="center"/>
    </xf>
    <xf numFmtId="171" fontId="47" fillId="13" borderId="27" xfId="2" applyNumberFormat="1" applyFont="1" applyFill="1" applyBorder="1" applyAlignment="1" applyProtection="1">
      <alignment horizontal="center" vertical="center"/>
    </xf>
    <xf numFmtId="171" fontId="47" fillId="13" borderId="27" xfId="2" applyNumberFormat="1" applyFont="1" applyFill="1" applyBorder="1" applyAlignment="1" applyProtection="1">
      <alignment horizontal="right" vertical="center" indent="1"/>
    </xf>
    <xf numFmtId="0" fontId="45" fillId="18" borderId="58" xfId="0" applyFont="1" applyFill="1" applyBorder="1" applyAlignment="1">
      <alignment horizontal="left" vertical="center" indent="1"/>
    </xf>
    <xf numFmtId="171" fontId="45" fillId="18" borderId="58" xfId="2" applyNumberFormat="1" applyFont="1" applyFill="1" applyBorder="1" applyAlignment="1" applyProtection="1">
      <alignment horizontal="center" vertical="center"/>
    </xf>
    <xf numFmtId="10" fontId="45" fillId="20" borderId="71" xfId="8" applyNumberFormat="1" applyFont="1" applyBorder="1" applyAlignment="1" applyProtection="1">
      <alignment horizontal="center" vertical="center"/>
      <protection locked="0"/>
    </xf>
    <xf numFmtId="10" fontId="45" fillId="20" borderId="72" xfId="8" applyNumberFormat="1" applyFont="1" applyBorder="1" applyAlignment="1" applyProtection="1">
      <alignment horizontal="center" vertical="center"/>
      <protection locked="0"/>
    </xf>
    <xf numFmtId="10" fontId="45" fillId="20" borderId="72" xfId="8" applyNumberFormat="1" applyFont="1" applyBorder="1" applyAlignment="1" applyProtection="1">
      <alignment horizontal="right" vertical="center" indent="1"/>
      <protection locked="0"/>
    </xf>
    <xf numFmtId="0" fontId="40" fillId="17" borderId="56" xfId="0" applyFont="1" applyFill="1" applyBorder="1" applyAlignment="1">
      <alignment horizontal="left" vertical="center" indent="1"/>
    </xf>
    <xf numFmtId="1" fontId="40" fillId="17" borderId="56" xfId="0" applyNumberFormat="1" applyFont="1" applyFill="1" applyBorder="1" applyAlignment="1">
      <alignment horizontal="center" vertical="center"/>
    </xf>
    <xf numFmtId="177" fontId="40" fillId="17" borderId="56" xfId="0" applyNumberFormat="1" applyFont="1" applyFill="1" applyBorder="1" applyAlignment="1">
      <alignment horizontal="center" vertical="center"/>
    </xf>
    <xf numFmtId="0" fontId="41" fillId="0" borderId="14" xfId="0" applyFont="1" applyBorder="1" applyAlignment="1">
      <alignment horizontal="right" indent="1"/>
    </xf>
    <xf numFmtId="173" fontId="45" fillId="0" borderId="14" xfId="6" applyNumberFormat="1" applyFont="1" applyFill="1" applyBorder="1" applyAlignment="1">
      <alignment horizontal="center" vertical="center"/>
    </xf>
    <xf numFmtId="37" fontId="45" fillId="0" borderId="14" xfId="0" applyNumberFormat="1" applyFont="1" applyBorder="1" applyAlignment="1">
      <alignment horizontal="center" vertical="center"/>
    </xf>
    <xf numFmtId="178" fontId="45" fillId="0" borderId="14" xfId="6" applyNumberFormat="1" applyFont="1" applyFill="1" applyBorder="1" applyAlignment="1">
      <alignment horizontal="center" vertical="center"/>
    </xf>
    <xf numFmtId="172" fontId="45" fillId="0" borderId="14" xfId="6" applyNumberFormat="1" applyFont="1" applyFill="1" applyBorder="1" applyAlignment="1">
      <alignment horizontal="center" vertical="center"/>
    </xf>
    <xf numFmtId="10" fontId="45" fillId="0" borderId="14" xfId="2" applyNumberFormat="1" applyFont="1" applyFill="1" applyBorder="1" applyAlignment="1">
      <alignment horizontal="center" vertical="center"/>
    </xf>
    <xf numFmtId="10" fontId="45" fillId="0" borderId="14" xfId="2" applyNumberFormat="1" applyFont="1" applyFill="1" applyBorder="1" applyAlignment="1" applyProtection="1">
      <alignment horizontal="center" vertical="center"/>
      <protection hidden="1"/>
    </xf>
    <xf numFmtId="0" fontId="47" fillId="0" borderId="11" xfId="0" applyFont="1" applyBorder="1" applyAlignment="1">
      <alignment horizontal="left" vertical="center" indent="2"/>
    </xf>
    <xf numFmtId="173" fontId="45" fillId="0" borderId="11" xfId="6" applyNumberFormat="1" applyFont="1" applyFill="1" applyBorder="1" applyAlignment="1">
      <alignment horizontal="center" vertical="center"/>
    </xf>
    <xf numFmtId="0" fontId="40" fillId="17" borderId="70" xfId="0" applyFont="1" applyFill="1" applyBorder="1" applyAlignment="1">
      <alignment vertical="center"/>
    </xf>
    <xf numFmtId="0" fontId="40" fillId="17" borderId="70" xfId="0" applyFont="1" applyFill="1" applyBorder="1" applyAlignment="1">
      <alignment horizontal="center" vertical="center"/>
    </xf>
    <xf numFmtId="37" fontId="45" fillId="0" borderId="17" xfId="0" applyNumberFormat="1" applyFont="1" applyBorder="1" applyAlignment="1">
      <alignment horizontal="center" vertical="center"/>
    </xf>
    <xf numFmtId="37" fontId="45" fillId="18" borderId="52" xfId="0" applyNumberFormat="1" applyFont="1" applyFill="1" applyBorder="1" applyAlignment="1">
      <alignment horizontal="center" vertical="center"/>
    </xf>
    <xf numFmtId="0" fontId="26" fillId="20" borderId="51" xfId="8" applyFont="1" applyBorder="1" applyAlignment="1">
      <alignment vertical="center"/>
    </xf>
    <xf numFmtId="0" fontId="19" fillId="14" borderId="73" xfId="0" applyFont="1" applyFill="1" applyBorder="1" applyAlignment="1">
      <alignment horizontal="center" vertical="center" wrapText="1"/>
    </xf>
    <xf numFmtId="0" fontId="55" fillId="20" borderId="17" xfId="8" applyFont="1" applyBorder="1" applyAlignment="1">
      <alignment horizontal="center" vertical="center"/>
    </xf>
    <xf numFmtId="6" fontId="0" fillId="0" borderId="14" xfId="0" applyNumberFormat="1" applyBorder="1"/>
    <xf numFmtId="0" fontId="56" fillId="22" borderId="77" xfId="15" applyFont="1" applyFill="1" applyBorder="1" applyAlignment="1">
      <alignment horizontal="center"/>
    </xf>
    <xf numFmtId="0" fontId="56" fillId="22" borderId="68" xfId="15" applyFont="1" applyFill="1" applyBorder="1" applyAlignment="1">
      <alignment horizontal="center"/>
    </xf>
    <xf numFmtId="0" fontId="56" fillId="22" borderId="75" xfId="15" applyFont="1" applyFill="1" applyBorder="1" applyAlignment="1">
      <alignment horizontal="center"/>
    </xf>
    <xf numFmtId="0" fontId="56" fillId="22" borderId="78" xfId="15" applyFont="1" applyFill="1" applyBorder="1" applyAlignment="1">
      <alignment horizontal="center"/>
    </xf>
    <xf numFmtId="0" fontId="56" fillId="22" borderId="66" xfId="15" applyFont="1" applyFill="1" applyBorder="1" applyAlignment="1">
      <alignment horizontal="center"/>
    </xf>
    <xf numFmtId="0" fontId="56" fillId="22" borderId="76" xfId="15" applyFont="1" applyFill="1" applyBorder="1" applyAlignment="1">
      <alignment horizontal="center"/>
    </xf>
    <xf numFmtId="0" fontId="0" fillId="22" borderId="0" xfId="0" applyFill="1" applyAlignment="1">
      <alignment horizontal="center" vertical="center"/>
    </xf>
    <xf numFmtId="0" fontId="1" fillId="0" borderId="11" xfId="0" applyFont="1" applyBorder="1"/>
    <xf numFmtId="0" fontId="1" fillId="0" borderId="14" xfId="0" applyFont="1" applyBorder="1"/>
    <xf numFmtId="9" fontId="38" fillId="0" borderId="9" xfId="5" applyFont="1" applyFill="1" applyBorder="1" applyAlignment="1" applyProtection="1">
      <alignment horizontal="right" wrapText="1"/>
    </xf>
    <xf numFmtId="179" fontId="3" fillId="12" borderId="79" xfId="0" applyNumberFormat="1" applyFont="1" applyFill="1" applyBorder="1" applyAlignment="1">
      <alignment horizontal="center" vertical="center"/>
    </xf>
    <xf numFmtId="0" fontId="3" fillId="0" borderId="17" xfId="0" applyFont="1" applyBorder="1" applyAlignment="1">
      <alignment vertical="center"/>
    </xf>
    <xf numFmtId="0" fontId="3" fillId="0" borderId="11" xfId="0" applyFont="1" applyBorder="1" applyAlignment="1">
      <alignment vertical="center"/>
    </xf>
    <xf numFmtId="0" fontId="3" fillId="0" borderId="14" xfId="0" applyFont="1" applyBorder="1" applyAlignment="1">
      <alignment vertical="center"/>
    </xf>
    <xf numFmtId="6" fontId="3" fillId="0" borderId="14" xfId="0" applyNumberFormat="1" applyFont="1" applyBorder="1" applyAlignment="1">
      <alignment vertical="center"/>
    </xf>
    <xf numFmtId="167" fontId="3" fillId="0" borderId="14" xfId="0" applyNumberFormat="1" applyFont="1" applyBorder="1" applyAlignment="1">
      <alignment vertical="center"/>
    </xf>
    <xf numFmtId="0" fontId="3" fillId="12" borderId="60" xfId="0" applyFont="1" applyFill="1" applyBorder="1" applyAlignment="1">
      <alignment vertical="center"/>
    </xf>
    <xf numFmtId="167" fontId="3" fillId="12" borderId="60" xfId="0" applyNumberFormat="1" applyFont="1" applyFill="1" applyBorder="1" applyAlignment="1">
      <alignment vertical="center"/>
    </xf>
    <xf numFmtId="6" fontId="3" fillId="0" borderId="11" xfId="0" applyNumberFormat="1" applyFont="1" applyBorder="1" applyAlignment="1">
      <alignment vertical="center"/>
    </xf>
    <xf numFmtId="6" fontId="3" fillId="0" borderId="17" xfId="0" applyNumberFormat="1" applyFont="1" applyBorder="1" applyAlignment="1">
      <alignment vertical="center"/>
    </xf>
    <xf numFmtId="0" fontId="14" fillId="0" borderId="14" xfId="0" applyFont="1" applyBorder="1"/>
    <xf numFmtId="6" fontId="3" fillId="12" borderId="79" xfId="0" applyNumberFormat="1" applyFont="1" applyFill="1" applyBorder="1" applyAlignment="1">
      <alignment vertical="center"/>
    </xf>
    <xf numFmtId="0" fontId="58" fillId="24" borderId="74" xfId="0" applyFont="1" applyFill="1" applyBorder="1" applyAlignment="1">
      <alignment horizontal="left"/>
    </xf>
    <xf numFmtId="0" fontId="39" fillId="24" borderId="80" xfId="0" applyFont="1" applyFill="1" applyBorder="1"/>
    <xf numFmtId="10" fontId="35" fillId="20" borderId="81" xfId="8" applyNumberFormat="1" applyBorder="1" applyAlignment="1" applyProtection="1">
      <alignment horizontal="left"/>
      <protection locked="0"/>
    </xf>
    <xf numFmtId="0" fontId="15" fillId="0" borderId="82" xfId="0" applyFont="1" applyBorder="1" applyAlignment="1">
      <alignment horizontal="left" indent="1"/>
    </xf>
    <xf numFmtId="0" fontId="3" fillId="0" borderId="9" xfId="0" applyFont="1" applyBorder="1" applyAlignment="1">
      <alignment horizontal="left" indent="1"/>
    </xf>
    <xf numFmtId="0" fontId="59" fillId="0" borderId="0" xfId="0" applyFont="1" applyAlignment="1">
      <alignment horizontal="right"/>
    </xf>
    <xf numFmtId="0" fontId="59" fillId="0" borderId="0" xfId="0" applyFont="1" applyAlignment="1">
      <alignment horizontal="right" indent="1"/>
    </xf>
    <xf numFmtId="10" fontId="60" fillId="0" borderId="0" xfId="0" applyNumberFormat="1" applyFont="1" applyAlignment="1">
      <alignment horizontal="right" indent="1"/>
    </xf>
    <xf numFmtId="0" fontId="60" fillId="0" borderId="0" xfId="0" applyFont="1" applyAlignment="1">
      <alignment horizontal="right" indent="1"/>
    </xf>
    <xf numFmtId="0" fontId="59" fillId="0" borderId="0" xfId="0" quotePrefix="1" applyFont="1" applyAlignment="1">
      <alignment horizontal="left"/>
    </xf>
    <xf numFmtId="0" fontId="61" fillId="0" borderId="0" xfId="0" applyFont="1"/>
    <xf numFmtId="0" fontId="59" fillId="25" borderId="83" xfId="0" applyFont="1" applyFill="1" applyBorder="1"/>
    <xf numFmtId="0" fontId="59" fillId="25" borderId="84" xfId="0" applyFont="1" applyFill="1" applyBorder="1" applyAlignment="1">
      <alignment horizontal="right" indent="1"/>
    </xf>
    <xf numFmtId="0" fontId="60" fillId="25" borderId="84" xfId="0" applyFont="1" applyFill="1" applyBorder="1" applyAlignment="1">
      <alignment horizontal="right" indent="1"/>
    </xf>
    <xf numFmtId="0" fontId="59" fillId="25" borderId="84" xfId="0" applyFont="1" applyFill="1" applyBorder="1"/>
    <xf numFmtId="0" fontId="62" fillId="25" borderId="84" xfId="0" applyFont="1" applyFill="1" applyBorder="1"/>
    <xf numFmtId="0" fontId="62" fillId="25" borderId="85" xfId="0" applyFont="1" applyFill="1" applyBorder="1"/>
    <xf numFmtId="0" fontId="59" fillId="0" borderId="0" xfId="0" applyFont="1"/>
    <xf numFmtId="10" fontId="59" fillId="0" borderId="0" xfId="0" applyNumberFormat="1" applyFont="1" applyAlignment="1">
      <alignment horizontal="right" indent="1"/>
    </xf>
    <xf numFmtId="37" fontId="60" fillId="0" borderId="86" xfId="0" applyNumberFormat="1" applyFont="1" applyBorder="1" applyAlignment="1">
      <alignment horizontal="right" indent="1"/>
    </xf>
    <xf numFmtId="0" fontId="60" fillId="0" borderId="86" xfId="0" applyFont="1" applyBorder="1" applyAlignment="1">
      <alignment horizontal="right" indent="1"/>
    </xf>
    <xf numFmtId="164" fontId="59" fillId="12" borderId="0" xfId="0" applyNumberFormat="1" applyFont="1" applyFill="1"/>
    <xf numFmtId="164" fontId="61" fillId="12" borderId="0" xfId="0" applyNumberFormat="1" applyFont="1" applyFill="1"/>
    <xf numFmtId="37" fontId="60" fillId="0" borderId="87" xfId="0" applyNumberFormat="1" applyFont="1" applyBorder="1" applyAlignment="1">
      <alignment horizontal="right" indent="1"/>
    </xf>
    <xf numFmtId="0" fontId="60" fillId="0" borderId="87" xfId="0" applyFont="1" applyBorder="1" applyAlignment="1">
      <alignment horizontal="right" indent="1"/>
    </xf>
    <xf numFmtId="0" fontId="59" fillId="19" borderId="0" xfId="0" applyFont="1" applyFill="1"/>
    <xf numFmtId="10" fontId="59" fillId="19" borderId="0" xfId="0" applyNumberFormat="1" applyFont="1" applyFill="1" applyAlignment="1">
      <alignment horizontal="right" indent="1"/>
    </xf>
    <xf numFmtId="0" fontId="60" fillId="19" borderId="0" xfId="0" applyFont="1" applyFill="1" applyAlignment="1">
      <alignment horizontal="right" indent="1"/>
    </xf>
    <xf numFmtId="37" fontId="60" fillId="19" borderId="0" xfId="0" applyNumberFormat="1" applyFont="1" applyFill="1" applyAlignment="1">
      <alignment horizontal="right" indent="1"/>
    </xf>
    <xf numFmtId="164" fontId="59" fillId="19" borderId="0" xfId="0" applyNumberFormat="1" applyFont="1" applyFill="1"/>
    <xf numFmtId="164" fontId="61" fillId="19" borderId="0" xfId="0" applyNumberFormat="1" applyFont="1" applyFill="1"/>
    <xf numFmtId="164" fontId="61" fillId="12" borderId="0" xfId="0" applyNumberFormat="1" applyFont="1" applyFill="1" applyAlignment="1">
      <alignment horizontal="right"/>
    </xf>
    <xf numFmtId="14" fontId="61" fillId="12" borderId="0" xfId="0" applyNumberFormat="1" applyFont="1" applyFill="1"/>
    <xf numFmtId="0" fontId="61" fillId="12" borderId="0" xfId="0" applyFont="1" applyFill="1"/>
    <xf numFmtId="173" fontId="59" fillId="19" borderId="0" xfId="0" applyNumberFormat="1" applyFont="1" applyFill="1"/>
    <xf numFmtId="164" fontId="61" fillId="19" borderId="0" xfId="0" applyNumberFormat="1" applyFont="1" applyFill="1" applyAlignment="1">
      <alignment horizontal="right"/>
    </xf>
    <xf numFmtId="14" fontId="61" fillId="19" borderId="0" xfId="0" applyNumberFormat="1" applyFont="1" applyFill="1"/>
    <xf numFmtId="10" fontId="60" fillId="0" borderId="0" xfId="2" applyNumberFormat="1" applyFont="1" applyAlignment="1">
      <alignment horizontal="right" indent="1"/>
    </xf>
    <xf numFmtId="10" fontId="59" fillId="0" borderId="0" xfId="2" applyNumberFormat="1" applyFont="1"/>
    <xf numFmtId="9" fontId="60" fillId="0" borderId="0" xfId="2" applyFont="1" applyAlignment="1">
      <alignment horizontal="right" indent="1"/>
    </xf>
    <xf numFmtId="169" fontId="45" fillId="0" borderId="14" xfId="0" applyNumberFormat="1" applyFont="1" applyBorder="1" applyAlignment="1">
      <alignment horizontal="center" vertical="center"/>
    </xf>
    <xf numFmtId="0" fontId="50" fillId="0" borderId="14" xfId="12" applyFont="1" applyBorder="1" applyAlignment="1">
      <alignment vertical="center"/>
    </xf>
    <xf numFmtId="0" fontId="41" fillId="0" borderId="13" xfId="0" applyFont="1" applyBorder="1" applyAlignment="1">
      <alignment horizontal="left" vertical="center" indent="1"/>
    </xf>
    <xf numFmtId="10" fontId="46" fillId="0" borderId="17" xfId="2" applyNumberFormat="1" applyFont="1" applyFill="1" applyBorder="1" applyAlignment="1" applyProtection="1">
      <alignment horizontal="right" vertical="center" indent="1"/>
    </xf>
    <xf numFmtId="10" fontId="46" fillId="0" borderId="17" xfId="2" applyNumberFormat="1" applyFont="1" applyFill="1" applyBorder="1" applyAlignment="1" applyProtection="1">
      <alignment horizontal="center" vertical="center"/>
    </xf>
    <xf numFmtId="0" fontId="45" fillId="0" borderId="11" xfId="0" applyFont="1" applyBorder="1" applyAlignment="1">
      <alignment vertical="center"/>
    </xf>
    <xf numFmtId="10" fontId="45" fillId="0" borderId="11" xfId="2" applyNumberFormat="1" applyFont="1" applyFill="1" applyBorder="1" applyAlignment="1" applyProtection="1">
      <alignment vertical="center"/>
    </xf>
    <xf numFmtId="164" fontId="45" fillId="0" borderId="11" xfId="0" applyNumberFormat="1" applyFont="1" applyBorder="1" applyAlignment="1">
      <alignment horizontal="center" vertical="center"/>
    </xf>
    <xf numFmtId="10" fontId="45" fillId="0" borderId="11" xfId="2" applyNumberFormat="1" applyFont="1" applyFill="1" applyBorder="1" applyAlignment="1" applyProtection="1">
      <alignment horizontal="center" vertical="center"/>
    </xf>
    <xf numFmtId="164" fontId="46" fillId="0" borderId="11" xfId="0" applyNumberFormat="1" applyFont="1" applyBorder="1" applyAlignment="1">
      <alignment horizontal="right" vertical="center" indent="1"/>
    </xf>
    <xf numFmtId="0" fontId="40" fillId="17" borderId="50" xfId="0" applyFont="1" applyFill="1" applyBorder="1" applyAlignment="1">
      <alignment horizontal="center" vertical="center"/>
    </xf>
    <xf numFmtId="0" fontId="40" fillId="17" borderId="50" xfId="0" applyFont="1" applyFill="1" applyBorder="1" applyAlignment="1">
      <alignment horizontal="right" vertical="center" indent="1"/>
    </xf>
    <xf numFmtId="164" fontId="46" fillId="0" borderId="15" xfId="0" applyNumberFormat="1" applyFont="1" applyBorder="1" applyAlignment="1">
      <alignment horizontal="left" vertical="center" indent="1"/>
    </xf>
    <xf numFmtId="0" fontId="40" fillId="17" borderId="56" xfId="0" applyFont="1" applyFill="1" applyBorder="1" applyAlignment="1">
      <alignment horizontal="center" vertical="center"/>
    </xf>
    <xf numFmtId="0" fontId="46" fillId="0" borderId="13" xfId="0" applyFont="1" applyBorder="1" applyAlignment="1">
      <alignment horizontal="left" vertical="center" indent="1"/>
    </xf>
    <xf numFmtId="0" fontId="45" fillId="0" borderId="17" xfId="0" applyFont="1" applyBorder="1" applyAlignment="1">
      <alignment horizontal="center" vertical="center"/>
    </xf>
    <xf numFmtId="49" fontId="46" fillId="0" borderId="17" xfId="0" applyNumberFormat="1" applyFont="1" applyBorder="1" applyAlignment="1">
      <alignment horizontal="left" vertical="center" indent="1"/>
    </xf>
    <xf numFmtId="0" fontId="45" fillId="0" borderId="11" xfId="0" applyFont="1" applyBorder="1" applyAlignment="1">
      <alignment horizontal="left" vertical="center"/>
    </xf>
    <xf numFmtId="3" fontId="45" fillId="0" borderId="11" xfId="0" applyNumberFormat="1" applyFont="1" applyBorder="1" applyAlignment="1">
      <alignment horizontal="center" vertical="center"/>
    </xf>
    <xf numFmtId="6" fontId="45" fillId="0" borderId="11" xfId="0" applyNumberFormat="1" applyFont="1" applyBorder="1" applyAlignment="1">
      <alignment horizontal="center" vertical="center"/>
    </xf>
    <xf numFmtId="0" fontId="49" fillId="0" borderId="29" xfId="0" applyFont="1" applyBorder="1" applyAlignment="1">
      <alignment horizontal="left" vertical="center" indent="1"/>
    </xf>
    <xf numFmtId="171" fontId="45" fillId="13" borderId="17" xfId="2" applyNumberFormat="1" applyFont="1" applyFill="1" applyBorder="1" applyAlignment="1" applyProtection="1">
      <alignment horizontal="center" vertical="center"/>
    </xf>
    <xf numFmtId="164" fontId="45" fillId="13" borderId="17" xfId="0" applyNumberFormat="1" applyFont="1" applyFill="1" applyBorder="1" applyAlignment="1">
      <alignment horizontal="center" vertical="center"/>
    </xf>
    <xf numFmtId="164" fontId="51" fillId="13" borderId="17" xfId="0" applyNumberFormat="1" applyFont="1" applyFill="1" applyBorder="1" applyAlignment="1">
      <alignment horizontal="right" vertical="center" indent="1"/>
    </xf>
    <xf numFmtId="10" fontId="45" fillId="0" borderId="17" xfId="2" applyNumberFormat="1" applyFont="1" applyFill="1" applyBorder="1" applyAlignment="1" applyProtection="1">
      <alignment horizontal="center" vertical="center"/>
    </xf>
    <xf numFmtId="164" fontId="45" fillId="0" borderId="17" xfId="0" applyNumberFormat="1" applyFont="1" applyBorder="1" applyAlignment="1">
      <alignment horizontal="center" vertical="center"/>
    </xf>
    <xf numFmtId="10" fontId="45" fillId="0" borderId="17" xfId="0" applyNumberFormat="1" applyFont="1" applyBorder="1" applyAlignment="1">
      <alignment horizontal="center" vertical="center"/>
    </xf>
    <xf numFmtId="164" fontId="46" fillId="0" borderId="17" xfId="0" applyNumberFormat="1" applyFont="1" applyBorder="1" applyAlignment="1">
      <alignment horizontal="right" vertical="center" indent="1"/>
    </xf>
    <xf numFmtId="10" fontId="45" fillId="0" borderId="17" xfId="2" applyNumberFormat="1" applyFont="1" applyFill="1" applyBorder="1" applyAlignment="1" applyProtection="1">
      <alignment vertical="center"/>
    </xf>
    <xf numFmtId="2" fontId="45" fillId="13" borderId="11" xfId="0" applyNumberFormat="1" applyFont="1" applyFill="1" applyBorder="1" applyAlignment="1">
      <alignment horizontal="center" vertical="center"/>
    </xf>
    <xf numFmtId="2" fontId="45" fillId="13" borderId="11" xfId="0" applyNumberFormat="1" applyFont="1" applyFill="1" applyBorder="1" applyAlignment="1">
      <alignment vertical="center"/>
    </xf>
    <xf numFmtId="164" fontId="45" fillId="0" borderId="11" xfId="2" applyNumberFormat="1" applyFont="1" applyFill="1" applyBorder="1" applyAlignment="1" applyProtection="1">
      <alignment horizontal="center" vertical="center"/>
    </xf>
    <xf numFmtId="164" fontId="46" fillId="0" borderId="11" xfId="2" applyNumberFormat="1" applyFont="1" applyFill="1" applyBorder="1" applyAlignment="1" applyProtection="1">
      <alignment horizontal="right" vertical="center" indent="1"/>
    </xf>
    <xf numFmtId="0" fontId="49" fillId="0" borderId="11" xfId="0" applyFont="1" applyBorder="1" applyAlignment="1">
      <alignment horizontal="left" vertical="center" indent="1"/>
    </xf>
    <xf numFmtId="9" fontId="49" fillId="0" borderId="11" xfId="2" applyFont="1" applyFill="1" applyBorder="1" applyAlignment="1" applyProtection="1">
      <alignment horizontal="center" vertical="center"/>
    </xf>
    <xf numFmtId="164" fontId="49" fillId="0" borderId="11" xfId="0" applyNumberFormat="1" applyFont="1" applyBorder="1" applyAlignment="1">
      <alignment horizontal="right" vertical="center" indent="1"/>
    </xf>
    <xf numFmtId="0" fontId="45" fillId="18" borderId="52" xfId="0" applyFont="1" applyFill="1" applyBorder="1" applyAlignment="1">
      <alignment vertical="center"/>
    </xf>
    <xf numFmtId="10" fontId="45" fillId="18" borderId="52" xfId="2" applyNumberFormat="1" applyFont="1" applyFill="1" applyBorder="1" applyAlignment="1" applyProtection="1">
      <alignment horizontal="center" vertical="center"/>
    </xf>
    <xf numFmtId="164" fontId="45" fillId="18" borderId="52" xfId="0" applyNumberFormat="1" applyFont="1" applyFill="1" applyBorder="1" applyAlignment="1">
      <alignment horizontal="center" vertical="center"/>
    </xf>
    <xf numFmtId="164" fontId="46" fillId="21" borderId="52" xfId="0" applyNumberFormat="1" applyFont="1" applyFill="1" applyBorder="1" applyAlignment="1">
      <alignment horizontal="right" vertical="center" indent="1"/>
    </xf>
    <xf numFmtId="0" fontId="50" fillId="0" borderId="13" xfId="12" applyFont="1" applyBorder="1" applyAlignment="1">
      <alignment vertical="center"/>
    </xf>
    <xf numFmtId="38" fontId="51" fillId="0" borderId="13" xfId="14" applyFont="1" applyBorder="1" applyAlignment="1">
      <alignment horizontal="left" vertical="center" indent="1"/>
    </xf>
    <xf numFmtId="38" fontId="51" fillId="0" borderId="15" xfId="14" applyFont="1" applyBorder="1" applyAlignment="1">
      <alignment horizontal="left" vertical="center" indent="1"/>
    </xf>
    <xf numFmtId="0" fontId="41" fillId="0" borderId="11" xfId="0" applyFont="1" applyBorder="1" applyAlignment="1">
      <alignment horizontal="center" vertical="center"/>
    </xf>
    <xf numFmtId="0" fontId="41" fillId="0" borderId="11" xfId="0" applyFont="1" applyBorder="1" applyAlignment="1">
      <alignment horizontal="right" vertical="center" indent="1"/>
    </xf>
    <xf numFmtId="0" fontId="45" fillId="6" borderId="89" xfId="0" applyFont="1" applyFill="1" applyBorder="1" applyAlignment="1">
      <alignment vertical="center"/>
    </xf>
    <xf numFmtId="9" fontId="45" fillId="6" borderId="89" xfId="2" applyFont="1" applyFill="1" applyBorder="1" applyAlignment="1" applyProtection="1">
      <alignment vertical="center"/>
    </xf>
    <xf numFmtId="164" fontId="45" fillId="6" borderId="89" xfId="2" applyNumberFormat="1" applyFont="1" applyFill="1" applyBorder="1" applyAlignment="1" applyProtection="1">
      <alignment horizontal="center" vertical="center"/>
    </xf>
    <xf numFmtId="167" fontId="45" fillId="6" borderId="89" xfId="2" applyNumberFormat="1" applyFont="1" applyFill="1" applyBorder="1" applyAlignment="1" applyProtection="1">
      <alignment horizontal="center" vertical="center"/>
    </xf>
    <xf numFmtId="0" fontId="45" fillId="18" borderId="88" xfId="0" applyFont="1" applyFill="1" applyBorder="1" applyAlignment="1">
      <alignment horizontal="left" vertical="center" indent="1"/>
    </xf>
    <xf numFmtId="37" fontId="45" fillId="18" borderId="88" xfId="0" applyNumberFormat="1" applyFont="1" applyFill="1" applyBorder="1" applyAlignment="1">
      <alignment horizontal="center" vertical="center"/>
    </xf>
    <xf numFmtId="37" fontId="45" fillId="0" borderId="11" xfId="0" applyNumberFormat="1" applyFont="1" applyBorder="1" applyAlignment="1">
      <alignment horizontal="center" vertical="center"/>
    </xf>
    <xf numFmtId="0" fontId="45" fillId="6" borderId="89" xfId="0" applyFont="1" applyFill="1" applyBorder="1" applyAlignment="1">
      <alignment horizontal="left" vertical="center" indent="1"/>
    </xf>
    <xf numFmtId="37" fontId="45" fillId="6" borderId="89" xfId="0" applyNumberFormat="1" applyFont="1" applyFill="1" applyBorder="1" applyAlignment="1">
      <alignment horizontal="center" vertical="center"/>
    </xf>
    <xf numFmtId="0" fontId="45" fillId="18" borderId="90" xfId="0" applyFont="1" applyFill="1" applyBorder="1" applyAlignment="1">
      <alignment vertical="center"/>
    </xf>
    <xf numFmtId="0" fontId="45" fillId="18" borderId="90" xfId="0" applyFont="1" applyFill="1" applyBorder="1" applyAlignment="1">
      <alignment horizontal="left" vertical="center" indent="1"/>
    </xf>
    <xf numFmtId="10" fontId="45" fillId="18" borderId="90" xfId="0" applyNumberFormat="1" applyFont="1" applyFill="1" applyBorder="1" applyAlignment="1">
      <alignment horizontal="center" vertical="center"/>
    </xf>
    <xf numFmtId="10" fontId="45" fillId="18" borderId="90" xfId="2" applyNumberFormat="1" applyFont="1" applyFill="1" applyBorder="1" applyAlignment="1" applyProtection="1">
      <alignment horizontal="center" vertical="center"/>
    </xf>
    <xf numFmtId="10" fontId="45" fillId="18" borderId="90" xfId="2" applyNumberFormat="1" applyFont="1" applyFill="1" applyBorder="1" applyAlignment="1" applyProtection="1">
      <alignment vertical="center"/>
    </xf>
    <xf numFmtId="0" fontId="40" fillId="17" borderId="56" xfId="0" applyFont="1" applyFill="1" applyBorder="1" applyAlignment="1">
      <alignment vertical="center"/>
    </xf>
    <xf numFmtId="164" fontId="40" fillId="17" borderId="56" xfId="0" applyNumberFormat="1" applyFont="1" applyFill="1" applyBorder="1" applyAlignment="1">
      <alignment horizontal="center" vertical="center"/>
    </xf>
    <xf numFmtId="164" fontId="40" fillId="17" borderId="56" xfId="0" applyNumberFormat="1" applyFont="1" applyFill="1" applyBorder="1" applyAlignment="1">
      <alignment vertical="center"/>
    </xf>
    <xf numFmtId="0" fontId="40" fillId="17" borderId="56" xfId="0" applyFont="1" applyFill="1" applyBorder="1" applyAlignment="1">
      <alignment horizontal="left" vertical="center" indent="2"/>
    </xf>
    <xf numFmtId="10" fontId="40" fillId="17" borderId="56" xfId="0" applyNumberFormat="1" applyFont="1" applyFill="1" applyBorder="1" applyAlignment="1">
      <alignment horizontal="center" vertical="center"/>
    </xf>
    <xf numFmtId="0" fontId="40" fillId="17" borderId="56" xfId="0" applyFont="1" applyFill="1" applyBorder="1" applyAlignment="1">
      <alignment horizontal="left" vertical="center"/>
    </xf>
    <xf numFmtId="0" fontId="40" fillId="17" borderId="56" xfId="0" applyFont="1" applyFill="1" applyBorder="1" applyAlignment="1">
      <alignment horizontal="right" vertical="center" indent="1"/>
    </xf>
    <xf numFmtId="0" fontId="45" fillId="6" borderId="92" xfId="0" applyFont="1" applyFill="1" applyBorder="1" applyAlignment="1">
      <alignment vertical="center"/>
    </xf>
    <xf numFmtId="9" fontId="45" fillId="6" borderId="92" xfId="2" applyFont="1" applyFill="1" applyBorder="1" applyAlignment="1" applyProtection="1">
      <alignment vertical="center"/>
    </xf>
    <xf numFmtId="164" fontId="45" fillId="6" borderId="92" xfId="2" applyNumberFormat="1" applyFont="1" applyFill="1" applyBorder="1" applyAlignment="1" applyProtection="1">
      <alignment horizontal="center" vertical="center"/>
    </xf>
    <xf numFmtId="0" fontId="45" fillId="18" borderId="91" xfId="0" applyFont="1" applyFill="1" applyBorder="1" applyAlignment="1">
      <alignment vertical="center"/>
    </xf>
    <xf numFmtId="9" fontId="45" fillId="18" borderId="91" xfId="2" applyFont="1" applyFill="1" applyBorder="1" applyAlignment="1" applyProtection="1">
      <alignment vertical="center"/>
    </xf>
    <xf numFmtId="164" fontId="45" fillId="18" borderId="91" xfId="2" applyNumberFormat="1" applyFont="1" applyFill="1" applyBorder="1" applyAlignment="1" applyProtection="1">
      <alignment horizontal="center" vertical="center"/>
    </xf>
    <xf numFmtId="10" fontId="45" fillId="18" borderId="91" xfId="2" applyNumberFormat="1" applyFont="1" applyFill="1" applyBorder="1" applyAlignment="1" applyProtection="1">
      <alignment horizontal="center" vertical="center"/>
    </xf>
    <xf numFmtId="164" fontId="45" fillId="18" borderId="91" xfId="0" applyNumberFormat="1" applyFont="1" applyFill="1" applyBorder="1" applyAlignment="1">
      <alignment horizontal="center" vertical="center"/>
    </xf>
    <xf numFmtId="164" fontId="46" fillId="19" borderId="91" xfId="0" applyNumberFormat="1" applyFont="1" applyFill="1" applyBorder="1" applyAlignment="1">
      <alignment horizontal="right" vertical="center" indent="1"/>
    </xf>
    <xf numFmtId="164" fontId="46" fillId="18" borderId="91" xfId="2" applyNumberFormat="1" applyFont="1" applyFill="1" applyBorder="1" applyAlignment="1" applyProtection="1">
      <alignment horizontal="right" vertical="center" indent="1"/>
    </xf>
    <xf numFmtId="164" fontId="45" fillId="6" borderId="93" xfId="2" applyNumberFormat="1" applyFont="1" applyFill="1" applyBorder="1" applyAlignment="1" applyProtection="1">
      <alignment horizontal="center" vertical="center"/>
    </xf>
    <xf numFmtId="164" fontId="46" fillId="6" borderId="93" xfId="2" applyNumberFormat="1" applyFont="1" applyFill="1" applyBorder="1" applyAlignment="1" applyProtection="1">
      <alignment horizontal="right" vertical="center" indent="1"/>
    </xf>
    <xf numFmtId="167" fontId="46" fillId="6" borderId="89" xfId="2" applyNumberFormat="1" applyFont="1" applyFill="1" applyBorder="1" applyAlignment="1" applyProtection="1">
      <alignment horizontal="right" vertical="center" indent="1"/>
    </xf>
    <xf numFmtId="174" fontId="26" fillId="20" borderId="27" xfId="8" applyNumberFormat="1" applyFont="1" applyBorder="1" applyAlignment="1" applyProtection="1">
      <alignment horizontal="center" vertical="center"/>
      <protection locked="0"/>
    </xf>
    <xf numFmtId="174" fontId="26" fillId="0" borderId="11" xfId="6" applyNumberFormat="1" applyFont="1" applyFill="1" applyBorder="1" applyAlignment="1" applyProtection="1">
      <alignment horizontal="center" vertical="center"/>
    </xf>
    <xf numFmtId="0" fontId="41" fillId="0" borderId="17" xfId="0" applyFont="1" applyBorder="1"/>
    <xf numFmtId="0" fontId="41" fillId="20" borderId="95" xfId="8" applyFont="1" applyBorder="1" applyAlignment="1" applyProtection="1">
      <alignment horizontal="center" vertical="center"/>
      <protection locked="0"/>
    </xf>
    <xf numFmtId="0" fontId="0" fillId="0" borderId="96" xfId="0" applyBorder="1"/>
    <xf numFmtId="0" fontId="44" fillId="4" borderId="94" xfId="0" applyFont="1" applyFill="1" applyBorder="1" applyAlignment="1">
      <alignment horizontal="right" vertical="center"/>
    </xf>
    <xf numFmtId="0" fontId="45" fillId="0" borderId="27" xfId="0" applyFont="1" applyBorder="1" applyAlignment="1">
      <alignment horizontal="left" vertical="center" indent="1"/>
    </xf>
    <xf numFmtId="173" fontId="45" fillId="0" borderId="27" xfId="6" applyNumberFormat="1" applyFont="1" applyFill="1" applyBorder="1" applyAlignment="1">
      <alignment horizontal="center" vertical="center"/>
    </xf>
    <xf numFmtId="37" fontId="45" fillId="0" borderId="27" xfId="6" applyNumberFormat="1" applyFont="1" applyFill="1" applyBorder="1" applyAlignment="1">
      <alignment horizontal="center" vertical="center"/>
    </xf>
    <xf numFmtId="0" fontId="45" fillId="0" borderId="27" xfId="0" applyFont="1" applyBorder="1" applyAlignment="1">
      <alignment horizontal="left" vertical="center" indent="2"/>
    </xf>
    <xf numFmtId="37" fontId="45" fillId="0" borderId="27" xfId="0" applyNumberFormat="1" applyFont="1" applyBorder="1" applyAlignment="1">
      <alignment horizontal="center" vertical="center"/>
    </xf>
    <xf numFmtId="39" fontId="45" fillId="0" borderId="27" xfId="0" applyNumberFormat="1" applyFont="1" applyBorder="1" applyAlignment="1">
      <alignment horizontal="center" vertical="center"/>
    </xf>
    <xf numFmtId="10" fontId="45" fillId="0" borderId="11" xfId="2" applyNumberFormat="1" applyFont="1" applyFill="1" applyBorder="1" applyAlignment="1">
      <alignment horizontal="center" vertical="center"/>
    </xf>
    <xf numFmtId="10" fontId="45" fillId="0" borderId="11" xfId="2" applyNumberFormat="1" applyFont="1" applyFill="1" applyBorder="1" applyAlignment="1" applyProtection="1">
      <alignment horizontal="center" vertical="center"/>
      <protection hidden="1"/>
    </xf>
    <xf numFmtId="0" fontId="20" fillId="0" borderId="10" xfId="0" applyFont="1" applyBorder="1" applyAlignment="1">
      <alignment horizontal="center" vertical="center"/>
    </xf>
    <xf numFmtId="0" fontId="20" fillId="0" borderId="13" xfId="0" applyFont="1" applyBorder="1" applyAlignment="1">
      <alignment horizontal="center" vertical="center"/>
    </xf>
    <xf numFmtId="0" fontId="0" fillId="0" borderId="16" xfId="0" applyBorder="1" applyAlignment="1">
      <alignment wrapText="1"/>
    </xf>
    <xf numFmtId="167" fontId="20" fillId="0" borderId="13" xfId="0" applyNumberFormat="1" applyFont="1" applyBorder="1" applyAlignment="1">
      <alignment horizontal="center" vertical="center"/>
    </xf>
    <xf numFmtId="0" fontId="0" fillId="0" borderId="14" xfId="0" applyBorder="1" applyAlignment="1">
      <alignment wrapText="1"/>
    </xf>
    <xf numFmtId="0" fontId="19" fillId="13" borderId="14" xfId="0" applyFont="1" applyFill="1" applyBorder="1" applyAlignment="1">
      <alignment horizontal="center" vertical="center" wrapText="1"/>
    </xf>
    <xf numFmtId="164" fontId="35" fillId="20" borderId="9" xfId="8" applyNumberFormat="1" applyBorder="1" applyAlignment="1">
      <alignment horizontal="center"/>
    </xf>
    <xf numFmtId="0" fontId="63" fillId="0" borderId="0" xfId="0" applyFont="1" applyAlignment="1" applyProtection="1">
      <alignment horizontal="right" indent="1"/>
      <protection hidden="1"/>
    </xf>
    <xf numFmtId="0" fontId="63" fillId="0" borderId="0" xfId="0" applyFont="1" applyAlignment="1" applyProtection="1">
      <alignment horizontal="right" vertical="center" indent="1"/>
      <protection hidden="1"/>
    </xf>
    <xf numFmtId="0" fontId="63" fillId="0" borderId="0" xfId="0" applyFont="1" applyAlignment="1" applyProtection="1">
      <alignment horizontal="right" vertical="top" indent="1"/>
      <protection hidden="1"/>
    </xf>
    <xf numFmtId="0" fontId="41" fillId="0" borderId="10" xfId="0" applyFont="1" applyBorder="1"/>
    <xf numFmtId="0" fontId="41" fillId="0" borderId="11" xfId="0" applyFont="1" applyBorder="1"/>
    <xf numFmtId="0" fontId="42" fillId="0" borderId="11" xfId="0" applyFont="1" applyBorder="1" applyAlignment="1">
      <alignment horizontal="left" vertical="center" indent="1"/>
    </xf>
    <xf numFmtId="0" fontId="41" fillId="0" borderId="11" xfId="0" applyFont="1" applyBorder="1" applyAlignment="1">
      <alignment horizontal="right"/>
    </xf>
    <xf numFmtId="0" fontId="41" fillId="0" borderId="13" xfId="0" applyFont="1" applyBorder="1"/>
    <xf numFmtId="0" fontId="46" fillId="0" borderId="14" xfId="0" applyFont="1" applyBorder="1"/>
    <xf numFmtId="0" fontId="41" fillId="0" borderId="13" xfId="0" applyFont="1" applyBorder="1" applyAlignment="1" applyProtection="1">
      <alignment horizontal="right" indent="1"/>
      <protection hidden="1"/>
    </xf>
    <xf numFmtId="0" fontId="41" fillId="0" borderId="14" xfId="0" applyFont="1" applyBorder="1" applyAlignment="1" applyProtection="1">
      <alignment horizontal="right" indent="1"/>
      <protection hidden="1"/>
    </xf>
    <xf numFmtId="0" fontId="41" fillId="0" borderId="13" xfId="0" applyFont="1" applyBorder="1" applyAlignment="1" applyProtection="1">
      <alignment horizontal="right" vertical="center" indent="1"/>
      <protection hidden="1"/>
    </xf>
    <xf numFmtId="0" fontId="41" fillId="0" borderId="14" xfId="0" applyFont="1" applyBorder="1" applyAlignment="1" applyProtection="1">
      <alignment horizontal="right" vertical="center" indent="1"/>
      <protection hidden="1"/>
    </xf>
    <xf numFmtId="0" fontId="41" fillId="0" borderId="13" xfId="0" applyFont="1" applyBorder="1" applyAlignment="1" applyProtection="1">
      <alignment horizontal="right" vertical="top" indent="1"/>
      <protection hidden="1"/>
    </xf>
    <xf numFmtId="0" fontId="41" fillId="0" borderId="14" xfId="0" applyFont="1" applyBorder="1" applyAlignment="1" applyProtection="1">
      <alignment horizontal="right" vertical="top" indent="1"/>
      <protection hidden="1"/>
    </xf>
    <xf numFmtId="0" fontId="41" fillId="0" borderId="13" xfId="0" applyFont="1" applyBorder="1" applyProtection="1">
      <protection hidden="1"/>
    </xf>
    <xf numFmtId="0" fontId="41" fillId="0" borderId="14" xfId="0" applyFont="1" applyBorder="1" applyProtection="1">
      <protection hidden="1"/>
    </xf>
    <xf numFmtId="0" fontId="46" fillId="0" borderId="14" xfId="0" applyFont="1" applyBorder="1" applyAlignment="1" applyProtection="1">
      <alignment horizontal="center"/>
      <protection hidden="1"/>
    </xf>
    <xf numFmtId="0" fontId="46" fillId="0" borderId="14" xfId="0" applyFont="1" applyBorder="1" applyAlignment="1" applyProtection="1">
      <alignment horizontal="center" vertical="center"/>
      <protection hidden="1"/>
    </xf>
    <xf numFmtId="0" fontId="41" fillId="0" borderId="13" xfId="0" applyFont="1" applyBorder="1" applyAlignment="1" applyProtection="1">
      <alignment horizontal="center" vertical="center"/>
      <protection hidden="1"/>
    </xf>
    <xf numFmtId="0" fontId="41" fillId="0" borderId="14" xfId="0" applyFont="1" applyBorder="1" applyAlignment="1" applyProtection="1">
      <alignment horizontal="center" vertical="center"/>
      <protection hidden="1"/>
    </xf>
    <xf numFmtId="0" fontId="46" fillId="0" borderId="14" xfId="0" applyFont="1" applyBorder="1" applyProtection="1">
      <protection hidden="1"/>
    </xf>
    <xf numFmtId="0" fontId="46" fillId="0" borderId="14" xfId="0" applyFont="1" applyBorder="1" applyAlignment="1" applyProtection="1">
      <alignment horizontal="center" vertical="center" wrapText="1"/>
      <protection hidden="1"/>
    </xf>
    <xf numFmtId="164" fontId="46" fillId="0" borderId="14" xfId="0" applyNumberFormat="1" applyFont="1" applyBorder="1" applyAlignment="1" applyProtection="1">
      <alignment horizontal="right" vertical="center" indent="1"/>
      <protection hidden="1"/>
    </xf>
    <xf numFmtId="10" fontId="46" fillId="0" borderId="14" xfId="2" applyNumberFormat="1" applyFont="1" applyFill="1" applyBorder="1" applyAlignment="1" applyProtection="1">
      <alignment horizontal="right" vertical="center" indent="1"/>
      <protection hidden="1"/>
    </xf>
    <xf numFmtId="167" fontId="46" fillId="0" borderId="14" xfId="0" applyNumberFormat="1" applyFont="1" applyBorder="1" applyAlignment="1" applyProtection="1">
      <alignment horizontal="right" vertical="center" indent="1"/>
      <protection hidden="1"/>
    </xf>
    <xf numFmtId="0" fontId="41" fillId="0" borderId="14" xfId="0" applyFont="1" applyBorder="1" applyAlignment="1" applyProtection="1">
      <alignment vertical="center"/>
      <protection hidden="1"/>
    </xf>
    <xf numFmtId="0" fontId="41" fillId="0" borderId="13" xfId="0" applyFont="1" applyBorder="1" applyAlignment="1" applyProtection="1">
      <alignment vertical="center"/>
      <protection hidden="1"/>
    </xf>
    <xf numFmtId="0" fontId="45" fillId="0" borderId="14" xfId="0" applyFont="1" applyBorder="1" applyAlignment="1" applyProtection="1">
      <alignment vertical="center"/>
      <protection hidden="1"/>
    </xf>
    <xf numFmtId="0" fontId="45" fillId="0" borderId="14" xfId="0" applyFont="1" applyBorder="1" applyAlignment="1" applyProtection="1">
      <alignment horizontal="center" vertical="center"/>
      <protection hidden="1"/>
    </xf>
    <xf numFmtId="0" fontId="46" fillId="0" borderId="14" xfId="0" applyFont="1" applyBorder="1" applyAlignment="1" applyProtection="1">
      <alignment vertical="center"/>
      <protection hidden="1"/>
    </xf>
    <xf numFmtId="176" fontId="45" fillId="0" borderId="14" xfId="0" applyNumberFormat="1" applyFont="1" applyBorder="1" applyAlignment="1" applyProtection="1">
      <alignment horizontal="center" vertical="center"/>
      <protection hidden="1"/>
    </xf>
    <xf numFmtId="180" fontId="45" fillId="0" borderId="14" xfId="0" applyNumberFormat="1" applyFont="1" applyBorder="1" applyAlignment="1" applyProtection="1">
      <alignment horizontal="center" vertical="center"/>
      <protection hidden="1"/>
    </xf>
    <xf numFmtId="10" fontId="45" fillId="0" borderId="14" xfId="2" applyNumberFormat="1" applyFont="1" applyBorder="1" applyAlignment="1" applyProtection="1">
      <alignment horizontal="center" vertical="center"/>
      <protection hidden="1"/>
    </xf>
    <xf numFmtId="9" fontId="45" fillId="0" borderId="14" xfId="2" applyFont="1" applyBorder="1" applyAlignment="1" applyProtection="1">
      <alignment horizontal="center" vertical="center"/>
      <protection hidden="1"/>
    </xf>
    <xf numFmtId="164" fontId="45" fillId="0" borderId="14" xfId="2" applyNumberFormat="1" applyFont="1" applyFill="1" applyBorder="1" applyAlignment="1" applyProtection="1">
      <alignment horizontal="center" vertical="center"/>
      <protection hidden="1"/>
    </xf>
    <xf numFmtId="0" fontId="49" fillId="0" borderId="14" xfId="0" applyFont="1" applyBorder="1" applyAlignment="1" applyProtection="1">
      <alignment vertical="center"/>
      <protection hidden="1"/>
    </xf>
    <xf numFmtId="164" fontId="46" fillId="0" borderId="14" xfId="2" applyNumberFormat="1" applyFont="1" applyBorder="1" applyAlignment="1" applyProtection="1">
      <alignment vertical="center"/>
      <protection hidden="1"/>
    </xf>
    <xf numFmtId="0" fontId="49" fillId="0" borderId="14" xfId="0" applyFont="1" applyBorder="1" applyAlignment="1" applyProtection="1">
      <alignment horizontal="left" vertical="center" indent="1"/>
      <protection hidden="1"/>
    </xf>
    <xf numFmtId="164" fontId="46" fillId="0" borderId="14" xfId="2" applyNumberFormat="1" applyFont="1" applyBorder="1" applyAlignment="1" applyProtection="1">
      <alignment horizontal="right" vertical="center" indent="1"/>
      <protection hidden="1"/>
    </xf>
    <xf numFmtId="3" fontId="45" fillId="0" borderId="14" xfId="0" applyNumberFormat="1" applyFont="1" applyBorder="1" applyAlignment="1" applyProtection="1">
      <alignment horizontal="center" vertical="center"/>
      <protection hidden="1"/>
    </xf>
    <xf numFmtId="164" fontId="45" fillId="0" borderId="14" xfId="0" applyNumberFormat="1" applyFont="1" applyBorder="1" applyAlignment="1" applyProtection="1">
      <alignment horizontal="center" vertical="center"/>
      <protection hidden="1"/>
    </xf>
    <xf numFmtId="1" fontId="46" fillId="0" borderId="14" xfId="0" applyNumberFormat="1" applyFont="1" applyBorder="1" applyAlignment="1" applyProtection="1">
      <alignment horizontal="right" vertical="center"/>
      <protection hidden="1"/>
    </xf>
    <xf numFmtId="0" fontId="41" fillId="0" borderId="11" xfId="0" applyFont="1" applyBorder="1" applyAlignment="1" applyProtection="1">
      <alignment horizontal="right" vertical="top" indent="1"/>
      <protection hidden="1"/>
    </xf>
    <xf numFmtId="0" fontId="45" fillId="0" borderId="79" xfId="0" applyFont="1" applyBorder="1" applyAlignment="1" applyProtection="1">
      <alignment horizontal="right"/>
      <protection hidden="1"/>
    </xf>
    <xf numFmtId="0" fontId="45" fillId="0" borderId="79" xfId="0" applyFont="1" applyBorder="1" applyAlignment="1" applyProtection="1">
      <alignment horizontal="right" vertical="center"/>
      <protection hidden="1"/>
    </xf>
    <xf numFmtId="0" fontId="41" fillId="0" borderId="15" xfId="0" applyFont="1" applyBorder="1" applyAlignment="1" applyProtection="1">
      <alignment horizontal="right" indent="1"/>
      <protection hidden="1"/>
    </xf>
    <xf numFmtId="0" fontId="41" fillId="0" borderId="15" xfId="0" applyFont="1" applyBorder="1" applyAlignment="1" applyProtection="1">
      <alignment horizontal="right" vertical="center" indent="1"/>
      <protection hidden="1"/>
    </xf>
    <xf numFmtId="0" fontId="41" fillId="0" borderId="15" xfId="0" applyFont="1" applyBorder="1" applyAlignment="1" applyProtection="1">
      <alignment horizontal="right" vertical="top" indent="1"/>
      <protection hidden="1"/>
    </xf>
    <xf numFmtId="0" fontId="45" fillId="0" borderId="103" xfId="0" applyFont="1" applyBorder="1" applyAlignment="1" applyProtection="1">
      <alignment horizontal="right" indent="1"/>
      <protection hidden="1"/>
    </xf>
    <xf numFmtId="0" fontId="45" fillId="0" borderId="103" xfId="0" applyFont="1" applyBorder="1" applyAlignment="1" applyProtection="1">
      <alignment horizontal="right" vertical="center" indent="1"/>
      <protection hidden="1"/>
    </xf>
    <xf numFmtId="0" fontId="41" fillId="0" borderId="10" xfId="0" applyFont="1" applyBorder="1" applyAlignment="1" applyProtection="1">
      <alignment horizontal="right" vertical="top" indent="1"/>
      <protection hidden="1"/>
    </xf>
    <xf numFmtId="0" fontId="46" fillId="0" borderId="17" xfId="0" applyFont="1" applyBorder="1"/>
    <xf numFmtId="0" fontId="51" fillId="0" borderId="0" xfId="0" applyFont="1" applyAlignment="1" applyProtection="1">
      <alignment horizontal="center" vertical="center"/>
      <protection hidden="1"/>
    </xf>
    <xf numFmtId="0" fontId="46" fillId="0" borderId="13" xfId="0" applyFont="1" applyBorder="1" applyAlignment="1" applyProtection="1">
      <alignment horizontal="center" vertical="center"/>
      <protection hidden="1"/>
    </xf>
    <xf numFmtId="0" fontId="46" fillId="0" borderId="13" xfId="0" applyFont="1" applyBorder="1" applyProtection="1">
      <protection hidden="1"/>
    </xf>
    <xf numFmtId="164" fontId="46" fillId="0" borderId="11" xfId="0" applyNumberFormat="1" applyFont="1" applyBorder="1" applyAlignment="1" applyProtection="1">
      <alignment horizontal="right" vertical="center" indent="1"/>
      <protection hidden="1"/>
    </xf>
    <xf numFmtId="10" fontId="46" fillId="0" borderId="11" xfId="2" applyNumberFormat="1" applyFont="1" applyFill="1" applyBorder="1" applyAlignment="1" applyProtection="1">
      <alignment horizontal="right" vertical="center" indent="1"/>
      <protection hidden="1"/>
    </xf>
    <xf numFmtId="167" fontId="46" fillId="0" borderId="11" xfId="0" applyNumberFormat="1" applyFont="1" applyBorder="1" applyAlignment="1" applyProtection="1">
      <alignment horizontal="right" vertical="center" indent="1"/>
      <protection hidden="1"/>
    </xf>
    <xf numFmtId="0" fontId="41" fillId="0" borderId="11" xfId="0" applyFont="1" applyBorder="1" applyProtection="1">
      <protection hidden="1"/>
    </xf>
    <xf numFmtId="0" fontId="51" fillId="13" borderId="0" xfId="0" applyFont="1" applyFill="1"/>
    <xf numFmtId="0" fontId="49" fillId="18" borderId="0" xfId="0" applyFont="1" applyFill="1" applyAlignment="1">
      <alignment vertical="center"/>
    </xf>
    <xf numFmtId="10" fontId="46" fillId="20" borderId="0" xfId="0" applyNumberFormat="1" applyFont="1" applyFill="1" applyAlignment="1" applyProtection="1">
      <alignment horizontal="right" vertical="center" indent="1"/>
      <protection locked="0"/>
    </xf>
    <xf numFmtId="164" fontId="46" fillId="0" borderId="0" xfId="0" applyNumberFormat="1" applyFont="1" applyAlignment="1">
      <alignment horizontal="right" vertical="center" indent="1"/>
    </xf>
    <xf numFmtId="0" fontId="49" fillId="26" borderId="104" xfId="0" applyFont="1" applyFill="1" applyBorder="1" applyAlignment="1">
      <alignment horizontal="left" vertical="center" indent="1"/>
    </xf>
    <xf numFmtId="10" fontId="51" fillId="13" borderId="0" xfId="0" applyNumberFormat="1" applyFont="1" applyFill="1"/>
    <xf numFmtId="1" fontId="45" fillId="0" borderId="14" xfId="2" applyNumberFormat="1" applyFont="1" applyFill="1" applyBorder="1" applyAlignment="1" applyProtection="1">
      <alignment horizontal="center" vertical="center"/>
      <protection hidden="1"/>
    </xf>
    <xf numFmtId="10" fontId="2" fillId="0" borderId="0" xfId="0" applyNumberFormat="1" applyFont="1"/>
    <xf numFmtId="2" fontId="2" fillId="0" borderId="0" xfId="0" applyNumberFormat="1" applyFont="1"/>
    <xf numFmtId="164" fontId="2" fillId="0" borderId="15" xfId="0" applyNumberFormat="1" applyFont="1" applyBorder="1"/>
    <xf numFmtId="10" fontId="2" fillId="0" borderId="14" xfId="5" applyNumberFormat="1" applyFont="1" applyBorder="1" applyAlignment="1"/>
    <xf numFmtId="10" fontId="2" fillId="0" borderId="15" xfId="0" applyNumberFormat="1" applyFont="1" applyBorder="1"/>
    <xf numFmtId="164" fontId="51" fillId="0" borderId="14" xfId="0" applyNumberFormat="1" applyFont="1" applyBorder="1" applyAlignment="1" applyProtection="1">
      <alignment horizontal="center" vertical="center"/>
      <protection hidden="1"/>
    </xf>
    <xf numFmtId="10" fontId="51" fillId="0" borderId="14" xfId="2" applyNumberFormat="1" applyFont="1" applyFill="1" applyBorder="1" applyAlignment="1" applyProtection="1">
      <alignment horizontal="center" vertical="center"/>
      <protection hidden="1"/>
    </xf>
    <xf numFmtId="167" fontId="51" fillId="0" borderId="14" xfId="0" applyNumberFormat="1" applyFont="1" applyBorder="1" applyAlignment="1" applyProtection="1">
      <alignment horizontal="center" vertical="center"/>
      <protection hidden="1"/>
    </xf>
    <xf numFmtId="4" fontId="51" fillId="0" borderId="14" xfId="0" applyNumberFormat="1" applyFont="1" applyBorder="1" applyAlignment="1" applyProtection="1">
      <alignment horizontal="center" vertical="center"/>
      <protection hidden="1"/>
    </xf>
    <xf numFmtId="0" fontId="41" fillId="0" borderId="15" xfId="0" applyFont="1" applyBorder="1" applyProtection="1">
      <protection hidden="1"/>
    </xf>
    <xf numFmtId="0" fontId="46" fillId="0" borderId="29" xfId="0" applyFont="1" applyBorder="1" applyProtection="1">
      <protection hidden="1"/>
    </xf>
    <xf numFmtId="0" fontId="46" fillId="0" borderId="29" xfId="0" applyFont="1" applyBorder="1" applyAlignment="1" applyProtection="1">
      <alignment horizontal="center" vertical="center" wrapText="1"/>
      <protection hidden="1"/>
    </xf>
    <xf numFmtId="0" fontId="41" fillId="0" borderId="11" xfId="0" applyFont="1" applyBorder="1" applyAlignment="1">
      <alignment vertical="center"/>
    </xf>
    <xf numFmtId="0" fontId="51" fillId="6" borderId="89" xfId="0" applyFont="1" applyFill="1" applyBorder="1" applyAlignment="1">
      <alignment horizontal="center" vertical="center"/>
    </xf>
    <xf numFmtId="0" fontId="41" fillId="6" borderId="89" xfId="0" applyFont="1" applyFill="1" applyBorder="1" applyAlignment="1">
      <alignment vertical="center"/>
    </xf>
    <xf numFmtId="0" fontId="41" fillId="0" borderId="15" xfId="0" applyFont="1" applyBorder="1" applyAlignment="1" applyProtection="1">
      <alignment horizontal="center" vertical="center"/>
      <protection hidden="1"/>
    </xf>
    <xf numFmtId="0" fontId="41" fillId="0" borderId="29" xfId="0" applyFont="1" applyBorder="1" applyAlignment="1" applyProtection="1">
      <alignment horizontal="right" indent="1"/>
      <protection hidden="1"/>
    </xf>
    <xf numFmtId="0" fontId="41" fillId="0" borderId="29" xfId="0" applyFont="1" applyBorder="1" applyAlignment="1" applyProtection="1">
      <alignment horizontal="right" vertical="center" indent="1"/>
      <protection hidden="1"/>
    </xf>
    <xf numFmtId="0" fontId="41" fillId="0" borderId="29" xfId="0" applyFont="1" applyBorder="1" applyAlignment="1" applyProtection="1">
      <alignment horizontal="right" vertical="top" indent="1"/>
      <protection hidden="1"/>
    </xf>
    <xf numFmtId="0" fontId="46" fillId="0" borderId="29" xfId="0" applyFont="1" applyBorder="1" applyAlignment="1" applyProtection="1">
      <alignment horizontal="center"/>
      <protection hidden="1"/>
    </xf>
    <xf numFmtId="0" fontId="46" fillId="0" borderId="29" xfId="0" applyFont="1" applyBorder="1" applyAlignment="1" applyProtection="1">
      <alignment horizontal="center" vertical="center"/>
      <protection hidden="1"/>
    </xf>
    <xf numFmtId="0" fontId="46" fillId="0" borderId="17" xfId="0" applyFont="1" applyBorder="1" applyAlignment="1">
      <alignment wrapText="1"/>
    </xf>
    <xf numFmtId="0" fontId="35" fillId="20" borderId="79" xfId="8" applyBorder="1" applyAlignment="1" applyProtection="1">
      <alignment horizontal="center"/>
      <protection locked="0"/>
    </xf>
    <xf numFmtId="0" fontId="35" fillId="20" borderId="79" xfId="8" applyBorder="1" applyAlignment="1" applyProtection="1">
      <alignment horizontal="center" vertical="center"/>
      <protection locked="0"/>
    </xf>
    <xf numFmtId="0" fontId="41" fillId="0" borderId="11" xfId="0" applyFont="1" applyBorder="1" applyAlignment="1" applyProtection="1">
      <alignment vertical="center"/>
      <protection hidden="1"/>
    </xf>
    <xf numFmtId="0" fontId="45" fillId="0" borderId="65" xfId="0" applyFont="1" applyBorder="1" applyAlignment="1" applyProtection="1">
      <alignment vertical="center"/>
      <protection hidden="1"/>
    </xf>
    <xf numFmtId="0" fontId="45" fillId="0" borderId="65" xfId="0" applyFont="1" applyBorder="1" applyAlignment="1" applyProtection="1">
      <alignment horizontal="center" vertical="center"/>
      <protection hidden="1"/>
    </xf>
    <xf numFmtId="10" fontId="45" fillId="0" borderId="65" xfId="2" applyNumberFormat="1" applyFont="1" applyFill="1" applyBorder="1" applyAlignment="1" applyProtection="1">
      <alignment horizontal="center" vertical="center"/>
      <protection hidden="1"/>
    </xf>
    <xf numFmtId="0" fontId="46" fillId="0" borderId="11" xfId="0" applyFont="1" applyBorder="1" applyAlignment="1" applyProtection="1">
      <alignment vertical="center"/>
      <protection hidden="1"/>
    </xf>
    <xf numFmtId="1" fontId="46" fillId="0" borderId="11" xfId="0" applyNumberFormat="1" applyFont="1" applyBorder="1" applyAlignment="1" applyProtection="1">
      <alignment horizontal="right" vertical="center"/>
      <protection hidden="1"/>
    </xf>
    <xf numFmtId="164" fontId="45" fillId="0" borderId="65" xfId="2" applyNumberFormat="1" applyFont="1" applyBorder="1" applyAlignment="1" applyProtection="1">
      <alignment horizontal="center" vertical="center"/>
      <protection hidden="1"/>
    </xf>
    <xf numFmtId="3" fontId="45" fillId="0" borderId="65" xfId="0" applyNumberFormat="1" applyFont="1" applyBorder="1" applyAlignment="1" applyProtection="1">
      <alignment horizontal="center" vertical="center"/>
      <protection hidden="1"/>
    </xf>
    <xf numFmtId="1" fontId="45" fillId="0" borderId="65" xfId="0" applyNumberFormat="1" applyFont="1" applyBorder="1" applyAlignment="1" applyProtection="1">
      <alignment horizontal="center" vertical="center"/>
      <protection hidden="1"/>
    </xf>
    <xf numFmtId="0" fontId="49" fillId="0" borderId="14" xfId="0" applyFont="1" applyBorder="1"/>
    <xf numFmtId="0" fontId="51" fillId="0" borderId="14" xfId="0" applyFont="1" applyBorder="1"/>
    <xf numFmtId="0" fontId="59" fillId="0" borderId="14" xfId="0" applyFont="1" applyBorder="1"/>
    <xf numFmtId="0" fontId="64" fillId="0" borderId="14" xfId="0" applyFont="1" applyBorder="1"/>
    <xf numFmtId="0" fontId="64" fillId="0" borderId="14" xfId="0" applyFont="1" applyBorder="1" applyAlignment="1">
      <alignment horizontal="left"/>
    </xf>
    <xf numFmtId="0" fontId="65" fillId="0" borderId="14" xfId="0" applyFont="1" applyBorder="1"/>
    <xf numFmtId="0" fontId="66" fillId="0" borderId="14" xfId="0" applyFont="1" applyBorder="1"/>
    <xf numFmtId="0" fontId="67" fillId="0" borderId="14" xfId="0" applyFont="1" applyBorder="1"/>
    <xf numFmtId="0" fontId="47" fillId="0" borderId="14" xfId="0" applyFont="1" applyBorder="1"/>
    <xf numFmtId="0" fontId="45" fillId="0" borderId="14" xfId="0" applyFont="1" applyBorder="1" applyAlignment="1">
      <alignment horizontal="right"/>
    </xf>
    <xf numFmtId="0" fontId="67" fillId="0" borderId="14" xfId="0" applyFont="1" applyBorder="1" applyAlignment="1">
      <alignment horizontal="right"/>
    </xf>
    <xf numFmtId="0" fontId="46" fillId="13" borderId="14" xfId="0" applyFont="1" applyFill="1" applyBorder="1"/>
    <xf numFmtId="0" fontId="51" fillId="13" borderId="14" xfId="0" applyFont="1" applyFill="1" applyBorder="1"/>
    <xf numFmtId="0" fontId="59" fillId="13" borderId="14" xfId="0" applyFont="1" applyFill="1" applyBorder="1"/>
    <xf numFmtId="0" fontId="46" fillId="13" borderId="14" xfId="0" applyFont="1" applyFill="1" applyBorder="1" applyAlignment="1">
      <alignment vertical="center"/>
    </xf>
    <xf numFmtId="0" fontId="41" fillId="13" borderId="14" xfId="0" applyFont="1" applyFill="1" applyBorder="1" applyAlignment="1">
      <alignment vertical="center"/>
    </xf>
    <xf numFmtId="0" fontId="69" fillId="13" borderId="14" xfId="0" applyFont="1" applyFill="1" applyBorder="1" applyAlignment="1">
      <alignment horizontal="right" vertical="center"/>
    </xf>
    <xf numFmtId="0" fontId="51" fillId="13" borderId="14" xfId="0" applyFont="1" applyFill="1" applyBorder="1" applyAlignment="1">
      <alignment vertical="center"/>
    </xf>
    <xf numFmtId="0" fontId="59" fillId="13" borderId="14" xfId="0" applyFont="1" applyFill="1" applyBorder="1" applyAlignment="1">
      <alignment vertical="center"/>
    </xf>
    <xf numFmtId="164" fontId="45" fillId="0" borderId="14" xfId="11" applyNumberFormat="1" applyFont="1" applyBorder="1" applyAlignment="1" applyProtection="1">
      <alignment horizontal="center" vertical="center"/>
    </xf>
    <xf numFmtId="0" fontId="51" fillId="13" borderId="14" xfId="0" applyFont="1" applyFill="1" applyBorder="1" applyAlignment="1">
      <alignment horizontal="right" vertical="center" indent="1"/>
    </xf>
    <xf numFmtId="164" fontId="45" fillId="20" borderId="14" xfId="8" applyNumberFormat="1" applyFont="1" applyBorder="1" applyAlignment="1" applyProtection="1">
      <alignment horizontal="center" vertical="center"/>
      <protection locked="0"/>
    </xf>
    <xf numFmtId="164" fontId="45" fillId="0" borderId="14" xfId="11" applyNumberFormat="1" applyFont="1" applyFill="1" applyBorder="1" applyAlignment="1" applyProtection="1">
      <alignment horizontal="center" vertical="center"/>
    </xf>
    <xf numFmtId="0" fontId="41" fillId="13" borderId="14" xfId="0" applyFont="1" applyFill="1" applyBorder="1"/>
    <xf numFmtId="0" fontId="69" fillId="13" borderId="14" xfId="0" applyFont="1" applyFill="1" applyBorder="1" applyAlignment="1">
      <alignment horizontal="right"/>
    </xf>
    <xf numFmtId="0" fontId="40" fillId="0" borderId="14" xfId="0" applyFont="1" applyBorder="1" applyAlignment="1">
      <alignment vertical="center"/>
    </xf>
    <xf numFmtId="0" fontId="70" fillId="0" borderId="14" xfId="0" applyFont="1" applyBorder="1"/>
    <xf numFmtId="0" fontId="71" fillId="0" borderId="14" xfId="0" applyFont="1" applyBorder="1"/>
    <xf numFmtId="0" fontId="46" fillId="0" borderId="14" xfId="0" applyFont="1" applyBorder="1" applyAlignment="1">
      <alignment horizontal="left" indent="1"/>
    </xf>
    <xf numFmtId="0" fontId="49" fillId="18" borderId="14" xfId="0" applyFont="1" applyFill="1" applyBorder="1" applyAlignment="1">
      <alignment vertical="center"/>
    </xf>
    <xf numFmtId="0" fontId="49" fillId="20" borderId="14" xfId="0" applyFont="1" applyFill="1" applyBorder="1" applyAlignment="1" applyProtection="1">
      <alignment horizontal="right" vertical="center" indent="1"/>
      <protection locked="0"/>
    </xf>
    <xf numFmtId="0" fontId="46" fillId="0" borderId="14" xfId="0" applyFont="1" applyBorder="1" applyAlignment="1">
      <alignment vertical="center"/>
    </xf>
    <xf numFmtId="0" fontId="49" fillId="18" borderId="14" xfId="0" applyFont="1" applyFill="1" applyBorder="1" applyAlignment="1">
      <alignment horizontal="right" vertical="center" indent="1"/>
    </xf>
    <xf numFmtId="0" fontId="46" fillId="0" borderId="14" xfId="0" applyFont="1" applyBorder="1" applyAlignment="1">
      <alignment horizontal="left" vertical="center" indent="2"/>
    </xf>
    <xf numFmtId="0" fontId="46" fillId="20" borderId="14" xfId="0" applyFont="1" applyFill="1" applyBorder="1" applyAlignment="1" applyProtection="1">
      <alignment horizontal="right" vertical="center" indent="1"/>
      <protection locked="0"/>
    </xf>
    <xf numFmtId="0" fontId="46" fillId="20" borderId="14" xfId="0" applyFont="1" applyFill="1" applyBorder="1" applyAlignment="1" applyProtection="1">
      <alignment horizontal="right" vertical="center" wrapText="1" indent="1"/>
      <protection locked="0"/>
    </xf>
    <xf numFmtId="0" fontId="46" fillId="0" borderId="14" xfId="0" applyFont="1" applyBorder="1" applyAlignment="1">
      <alignment horizontal="right" vertical="center" wrapText="1" indent="1"/>
    </xf>
    <xf numFmtId="0" fontId="46" fillId="0" borderId="14" xfId="0" applyFont="1" applyBorder="1" applyAlignment="1">
      <alignment horizontal="right" vertical="center" indent="1"/>
    </xf>
    <xf numFmtId="164" fontId="49" fillId="20" borderId="14" xfId="0" applyNumberFormat="1" applyFont="1" applyFill="1" applyBorder="1" applyAlignment="1" applyProtection="1">
      <alignment horizontal="right" vertical="center" indent="1"/>
      <protection locked="0"/>
    </xf>
    <xf numFmtId="164" fontId="49" fillId="18" borderId="14" xfId="0" applyNumberFormat="1" applyFont="1" applyFill="1" applyBorder="1" applyAlignment="1">
      <alignment horizontal="right" vertical="center" indent="1"/>
    </xf>
    <xf numFmtId="10" fontId="46" fillId="0" borderId="14" xfId="0" applyNumberFormat="1" applyFont="1" applyBorder="1" applyAlignment="1">
      <alignment horizontal="right" vertical="center" indent="1"/>
    </xf>
    <xf numFmtId="10" fontId="46" fillId="20" borderId="14" xfId="0" applyNumberFormat="1" applyFont="1" applyFill="1" applyBorder="1" applyAlignment="1" applyProtection="1">
      <alignment horizontal="right" vertical="center" indent="1"/>
      <protection locked="0"/>
    </xf>
    <xf numFmtId="0" fontId="46" fillId="18" borderId="14" xfId="0" applyFont="1" applyFill="1" applyBorder="1" applyAlignment="1">
      <alignment horizontal="left" vertical="center" indent="1"/>
    </xf>
    <xf numFmtId="164" fontId="46" fillId="20" borderId="14" xfId="0" applyNumberFormat="1" applyFont="1" applyFill="1" applyBorder="1" applyAlignment="1" applyProtection="1">
      <alignment horizontal="right" vertical="center" indent="1"/>
      <protection locked="0"/>
    </xf>
    <xf numFmtId="164" fontId="46" fillId="18" borderId="14" xfId="0" applyNumberFormat="1" applyFont="1" applyFill="1" applyBorder="1" applyAlignment="1">
      <alignment horizontal="right" vertical="center" indent="1"/>
    </xf>
    <xf numFmtId="0" fontId="46" fillId="0" borderId="14" xfId="0" applyFont="1" applyBorder="1" applyAlignment="1">
      <alignment horizontal="right"/>
    </xf>
    <xf numFmtId="0" fontId="45" fillId="0" borderId="14" xfId="0" applyFont="1" applyBorder="1"/>
    <xf numFmtId="0" fontId="45" fillId="13" borderId="11" xfId="0" applyFont="1" applyFill="1" applyBorder="1" applyAlignment="1">
      <alignment horizontal="left" vertical="center"/>
    </xf>
    <xf numFmtId="164" fontId="45" fillId="0" borderId="11" xfId="11" applyNumberFormat="1" applyFont="1" applyBorder="1" applyAlignment="1" applyProtection="1">
      <alignment horizontal="center" vertical="center"/>
    </xf>
    <xf numFmtId="0" fontId="40" fillId="17" borderId="65" xfId="0" applyFont="1" applyFill="1" applyBorder="1" applyAlignment="1">
      <alignment horizontal="left" vertical="center"/>
    </xf>
    <xf numFmtId="0" fontId="68" fillId="17" borderId="65" xfId="0" applyFont="1" applyFill="1" applyBorder="1" applyAlignment="1">
      <alignment vertical="center"/>
    </xf>
    <xf numFmtId="0" fontId="46" fillId="0" borderId="11" xfId="0" applyFont="1" applyBorder="1" applyAlignment="1">
      <alignment horizontal="left" indent="61"/>
    </xf>
    <xf numFmtId="0" fontId="46" fillId="0" borderId="11" xfId="0" applyFont="1" applyBorder="1"/>
    <xf numFmtId="0" fontId="46" fillId="0" borderId="11" xfId="0" applyFont="1" applyBorder="1" applyAlignment="1">
      <alignment horizontal="left" indent="60"/>
    </xf>
    <xf numFmtId="0" fontId="46" fillId="0" borderId="11" xfId="0" applyFont="1" applyBorder="1" applyAlignment="1">
      <alignment horizontal="left" indent="59"/>
    </xf>
    <xf numFmtId="0" fontId="46" fillId="0" borderId="11" xfId="0" applyFont="1" applyBorder="1" applyAlignment="1">
      <alignment horizontal="right"/>
    </xf>
    <xf numFmtId="0" fontId="46" fillId="18" borderId="79" xfId="0" applyFont="1" applyFill="1" applyBorder="1" applyAlignment="1">
      <alignment horizontal="left" vertical="center" indent="1"/>
    </xf>
    <xf numFmtId="164" fontId="46" fillId="18" borderId="79" xfId="0" applyNumberFormat="1" applyFont="1" applyFill="1" applyBorder="1" applyAlignment="1">
      <alignment horizontal="right" vertical="center" indent="1"/>
    </xf>
    <xf numFmtId="0" fontId="49" fillId="26" borderId="79" xfId="0" applyFont="1" applyFill="1" applyBorder="1" applyAlignment="1">
      <alignment horizontal="left" vertical="center" indent="1"/>
    </xf>
    <xf numFmtId="10" fontId="49" fillId="26" borderId="79" xfId="0" applyNumberFormat="1" applyFont="1" applyFill="1" applyBorder="1" applyAlignment="1">
      <alignment horizontal="right" vertical="center" indent="1"/>
    </xf>
    <xf numFmtId="0" fontId="46" fillId="0" borderId="17" xfId="0" applyFont="1" applyBorder="1" applyProtection="1">
      <protection hidden="1"/>
    </xf>
    <xf numFmtId="0" fontId="46" fillId="0" borderId="17" xfId="0" applyFont="1" applyBorder="1" applyAlignment="1" applyProtection="1">
      <alignment horizontal="center" vertical="center" wrapText="1"/>
      <protection hidden="1"/>
    </xf>
    <xf numFmtId="164" fontId="46" fillId="0" borderId="17" xfId="0" applyNumberFormat="1" applyFont="1" applyBorder="1" applyAlignment="1" applyProtection="1">
      <alignment horizontal="left" vertical="center" indent="1"/>
      <protection hidden="1"/>
    </xf>
    <xf numFmtId="10" fontId="46" fillId="0" borderId="17" xfId="2" applyNumberFormat="1" applyFont="1" applyFill="1" applyBorder="1" applyAlignment="1" applyProtection="1">
      <alignment horizontal="right" vertical="center" indent="1"/>
      <protection hidden="1"/>
    </xf>
    <xf numFmtId="0" fontId="45" fillId="0" borderId="11" xfId="0" applyFont="1" applyBorder="1" applyAlignment="1" applyProtection="1">
      <alignment vertical="center"/>
      <protection hidden="1"/>
    </xf>
    <xf numFmtId="0" fontId="45" fillId="0" borderId="11" xfId="0" applyFont="1" applyBorder="1" applyAlignment="1" applyProtection="1">
      <alignment horizontal="center" vertical="center"/>
      <protection hidden="1"/>
    </xf>
    <xf numFmtId="177" fontId="45" fillId="0" borderId="11" xfId="0" applyNumberFormat="1" applyFont="1" applyBorder="1" applyAlignment="1" applyProtection="1">
      <alignment horizontal="center" vertical="center"/>
      <protection hidden="1"/>
    </xf>
    <xf numFmtId="167" fontId="46" fillId="0" borderId="17" xfId="0" applyNumberFormat="1" applyFont="1" applyBorder="1" applyAlignment="1" applyProtection="1">
      <alignment horizontal="right" vertical="center" indent="1"/>
      <protection hidden="1"/>
    </xf>
    <xf numFmtId="164" fontId="46" fillId="0" borderId="17" xfId="0" applyNumberFormat="1" applyFont="1" applyBorder="1" applyAlignment="1" applyProtection="1">
      <alignment horizontal="right" vertical="center" indent="1"/>
      <protection hidden="1"/>
    </xf>
    <xf numFmtId="0" fontId="41" fillId="0" borderId="17" xfId="0" applyFont="1" applyBorder="1" applyProtection="1">
      <protection hidden="1"/>
    </xf>
    <xf numFmtId="0" fontId="45" fillId="0" borderId="14" xfId="0" applyFont="1" applyBorder="1" applyAlignment="1" applyProtection="1">
      <alignment horizontal="left" vertical="center"/>
      <protection hidden="1"/>
    </xf>
    <xf numFmtId="0" fontId="45" fillId="0" borderId="14" xfId="8" applyFont="1" applyFill="1" applyBorder="1" applyAlignment="1" applyProtection="1">
      <alignment horizontal="center" vertical="center"/>
      <protection locked="0"/>
    </xf>
    <xf numFmtId="164" fontId="49" fillId="18" borderId="0" xfId="0" applyNumberFormat="1" applyFont="1" applyFill="1" applyAlignment="1">
      <alignment horizontal="right" vertical="center" indent="1"/>
    </xf>
    <xf numFmtId="0" fontId="49" fillId="18" borderId="67" xfId="0" applyFont="1" applyFill="1" applyBorder="1" applyAlignment="1">
      <alignment horizontal="left" vertical="center" indent="1"/>
    </xf>
    <xf numFmtId="0" fontId="49" fillId="18" borderId="67" xfId="0" applyFont="1" applyFill="1" applyBorder="1" applyAlignment="1">
      <alignment horizontal="right" vertical="center" indent="1"/>
    </xf>
    <xf numFmtId="0" fontId="46" fillId="20" borderId="0" xfId="0" applyFont="1" applyFill="1" applyAlignment="1" applyProtection="1">
      <alignment horizontal="left" vertical="center" indent="2"/>
      <protection locked="0"/>
    </xf>
    <xf numFmtId="0" fontId="46" fillId="20" borderId="0" xfId="0" applyFont="1" applyFill="1" applyAlignment="1" applyProtection="1">
      <alignment horizontal="left" vertical="center" indent="1"/>
      <protection locked="0"/>
    </xf>
    <xf numFmtId="0" fontId="49" fillId="18" borderId="104" xfId="0" applyFont="1" applyFill="1" applyBorder="1" applyAlignment="1">
      <alignment horizontal="left" vertical="center" indent="1"/>
    </xf>
    <xf numFmtId="164" fontId="49" fillId="18" borderId="104" xfId="0" applyNumberFormat="1" applyFont="1" applyFill="1" applyBorder="1" applyAlignment="1">
      <alignment horizontal="right" vertical="center" indent="1"/>
    </xf>
    <xf numFmtId="164" fontId="49" fillId="26" borderId="104" xfId="0" applyNumberFormat="1" applyFont="1" applyFill="1" applyBorder="1" applyAlignment="1">
      <alignment horizontal="right" vertical="center" indent="1"/>
    </xf>
    <xf numFmtId="0" fontId="46" fillId="0" borderId="14" xfId="0" applyFont="1" applyBorder="1" applyAlignment="1" applyProtection="1">
      <alignment horizontal="right" vertical="center" indent="1"/>
      <protection locked="0"/>
    </xf>
    <xf numFmtId="10" fontId="46" fillId="0" borderId="14" xfId="0" applyNumberFormat="1" applyFont="1" applyBorder="1" applyAlignment="1" applyProtection="1">
      <alignment horizontal="right" vertical="center" indent="1"/>
      <protection locked="0"/>
    </xf>
    <xf numFmtId="0" fontId="46" fillId="0" borderId="11" xfId="0" applyFont="1" applyBorder="1" applyAlignment="1">
      <alignment horizontal="left" vertical="center" wrapText="1" indent="2"/>
    </xf>
    <xf numFmtId="0" fontId="46" fillId="0" borderId="17" xfId="0" applyFont="1" applyBorder="1" applyAlignment="1">
      <alignment horizontal="left" vertical="center" indent="2"/>
    </xf>
    <xf numFmtId="0" fontId="45" fillId="0" borderId="14" xfId="0" applyFont="1" applyBorder="1" applyAlignment="1">
      <alignment horizontal="left"/>
    </xf>
    <xf numFmtId="0" fontId="45" fillId="0" borderId="13" xfId="0" applyFont="1" applyBorder="1" applyAlignment="1" applyProtection="1">
      <alignment horizontal="right" indent="1"/>
      <protection hidden="1"/>
    </xf>
    <xf numFmtId="0" fontId="45" fillId="0" borderId="13" xfId="0" applyFont="1" applyBorder="1" applyAlignment="1" applyProtection="1">
      <alignment horizontal="right" vertical="center" indent="1"/>
      <protection hidden="1"/>
    </xf>
    <xf numFmtId="164" fontId="51" fillId="0" borderId="17" xfId="0" applyNumberFormat="1" applyFont="1" applyBorder="1" applyAlignment="1" applyProtection="1">
      <alignment horizontal="center" vertical="center"/>
      <protection hidden="1"/>
    </xf>
    <xf numFmtId="10" fontId="51" fillId="0" borderId="17" xfId="2" applyNumberFormat="1" applyFont="1" applyFill="1" applyBorder="1" applyAlignment="1" applyProtection="1">
      <alignment horizontal="center" vertical="center"/>
      <protection hidden="1"/>
    </xf>
    <xf numFmtId="167" fontId="51" fillId="0" borderId="17" xfId="0" applyNumberFormat="1" applyFont="1" applyBorder="1" applyAlignment="1" applyProtection="1">
      <alignment horizontal="center" vertical="center"/>
      <protection hidden="1"/>
    </xf>
    <xf numFmtId="4" fontId="51" fillId="0" borderId="17" xfId="0" applyNumberFormat="1" applyFont="1" applyBorder="1" applyAlignment="1" applyProtection="1">
      <alignment horizontal="center" vertical="center"/>
      <protection hidden="1"/>
    </xf>
    <xf numFmtId="164" fontId="51" fillId="0" borderId="11" xfId="0" applyNumberFormat="1" applyFont="1" applyBorder="1" applyAlignment="1" applyProtection="1">
      <alignment horizontal="center" vertical="center"/>
      <protection hidden="1"/>
    </xf>
    <xf numFmtId="10" fontId="51" fillId="0" borderId="11" xfId="2" applyNumberFormat="1" applyFont="1" applyFill="1" applyBorder="1" applyAlignment="1" applyProtection="1">
      <alignment horizontal="center" vertical="center"/>
      <protection hidden="1"/>
    </xf>
    <xf numFmtId="167" fontId="51" fillId="0" borderId="11" xfId="0" applyNumberFormat="1" applyFont="1" applyBorder="1" applyAlignment="1" applyProtection="1">
      <alignment horizontal="center" vertical="center"/>
      <protection hidden="1"/>
    </xf>
    <xf numFmtId="4" fontId="51" fillId="0" borderId="11" xfId="0" applyNumberFormat="1" applyFont="1" applyBorder="1" applyAlignment="1" applyProtection="1">
      <alignment horizontal="center" vertical="center"/>
      <protection hidden="1"/>
    </xf>
    <xf numFmtId="164" fontId="51" fillId="6" borderId="89" xfId="11" applyNumberFormat="1" applyFont="1" applyFill="1" applyBorder="1" applyAlignment="1" applyProtection="1">
      <alignment horizontal="center" vertical="center"/>
      <protection hidden="1"/>
    </xf>
    <xf numFmtId="10" fontId="51" fillId="6" borderId="89" xfId="2" applyNumberFormat="1" applyFont="1" applyFill="1" applyBorder="1" applyAlignment="1" applyProtection="1">
      <alignment horizontal="center" vertical="center"/>
      <protection hidden="1"/>
    </xf>
    <xf numFmtId="10" fontId="51" fillId="6" borderId="89" xfId="2" quotePrefix="1" applyNumberFormat="1" applyFont="1" applyFill="1" applyBorder="1" applyAlignment="1" applyProtection="1">
      <alignment horizontal="center" vertical="center"/>
      <protection hidden="1"/>
    </xf>
    <xf numFmtId="167" fontId="51" fillId="6" borderId="89" xfId="0" applyNumberFormat="1" applyFont="1" applyFill="1" applyBorder="1" applyAlignment="1" applyProtection="1">
      <alignment horizontal="center" vertical="center"/>
      <protection hidden="1"/>
    </xf>
    <xf numFmtId="164" fontId="51" fillId="6" borderId="89" xfId="0" applyNumberFormat="1" applyFont="1" applyFill="1" applyBorder="1" applyAlignment="1" applyProtection="1">
      <alignment horizontal="center" vertical="center"/>
      <protection hidden="1"/>
    </xf>
    <xf numFmtId="4" fontId="51" fillId="6" borderId="89" xfId="0" applyNumberFormat="1" applyFont="1" applyFill="1" applyBorder="1" applyAlignment="1" applyProtection="1">
      <alignment horizontal="center" vertical="center"/>
      <protection hidden="1"/>
    </xf>
    <xf numFmtId="0" fontId="0" fillId="0" borderId="29" xfId="0" applyBorder="1"/>
    <xf numFmtId="164" fontId="46" fillId="0" borderId="17" xfId="0" applyNumberFormat="1" applyFont="1" applyBorder="1" applyAlignment="1" applyProtection="1">
      <alignment horizontal="right" vertical="center" indent="1"/>
      <protection locked="0"/>
    </xf>
    <xf numFmtId="0" fontId="46" fillId="0" borderId="17" xfId="0" applyFont="1" applyBorder="1" applyAlignment="1" applyProtection="1">
      <alignment horizontal="right" vertical="center" indent="1"/>
      <protection locked="0"/>
    </xf>
    <xf numFmtId="0" fontId="46" fillId="0" borderId="11" xfId="0" applyFont="1" applyBorder="1" applyAlignment="1">
      <alignment horizontal="left" vertical="center" indent="2"/>
    </xf>
    <xf numFmtId="164" fontId="46" fillId="0" borderId="11" xfId="0" applyNumberFormat="1" applyFont="1" applyBorder="1" applyAlignment="1" applyProtection="1">
      <alignment horizontal="right" vertical="center" indent="1"/>
      <protection locked="0"/>
    </xf>
    <xf numFmtId="0" fontId="46" fillId="0" borderId="11" xfId="0" applyFont="1" applyBorder="1" applyAlignment="1">
      <alignment horizontal="left" vertical="center" indent="1"/>
    </xf>
    <xf numFmtId="10" fontId="46" fillId="0" borderId="11" xfId="0" applyNumberFormat="1" applyFont="1" applyBorder="1" applyAlignment="1">
      <alignment horizontal="right" vertical="center" indent="1"/>
    </xf>
    <xf numFmtId="0" fontId="46" fillId="0" borderId="27" xfId="0" applyFont="1" applyBorder="1" applyAlignment="1">
      <alignment horizontal="left" vertical="center" indent="1"/>
    </xf>
    <xf numFmtId="164" fontId="46" fillId="0" borderId="27" xfId="0" applyNumberFormat="1" applyFont="1" applyBorder="1" applyAlignment="1">
      <alignment horizontal="right" vertical="center" indent="1"/>
    </xf>
    <xf numFmtId="0" fontId="46" fillId="0" borderId="11" xfId="0" applyFont="1" applyBorder="1" applyAlignment="1" applyProtection="1">
      <alignment horizontal="right" vertical="center" indent="1"/>
      <protection locked="0"/>
    </xf>
    <xf numFmtId="0" fontId="49" fillId="18" borderId="52" xfId="0" applyFont="1" applyFill="1" applyBorder="1" applyAlignment="1">
      <alignment vertical="center"/>
    </xf>
    <xf numFmtId="164" fontId="49" fillId="18" borderId="52" xfId="0" applyNumberFormat="1" applyFont="1" applyFill="1" applyBorder="1" applyAlignment="1" applyProtection="1">
      <alignment horizontal="right" vertical="center" indent="1"/>
      <protection locked="0"/>
    </xf>
    <xf numFmtId="0" fontId="46" fillId="18" borderId="52" xfId="0" applyFont="1" applyFill="1" applyBorder="1" applyAlignment="1">
      <alignment horizontal="left" vertical="center" indent="1"/>
    </xf>
    <xf numFmtId="164" fontId="46" fillId="18" borderId="52" xfId="0" applyNumberFormat="1" applyFont="1" applyFill="1" applyBorder="1" applyAlignment="1" applyProtection="1">
      <alignment horizontal="right" vertical="center" indent="1"/>
      <protection locked="0"/>
    </xf>
    <xf numFmtId="0" fontId="46" fillId="18" borderId="88" xfId="0" applyFont="1" applyFill="1" applyBorder="1" applyAlignment="1">
      <alignment horizontal="left" vertical="center" indent="1"/>
    </xf>
    <xf numFmtId="164" fontId="46" fillId="18" borderId="88" xfId="0" applyNumberFormat="1" applyFont="1" applyFill="1" applyBorder="1" applyAlignment="1">
      <alignment horizontal="right" vertical="center" indent="1"/>
    </xf>
    <xf numFmtId="0" fontId="49" fillId="18" borderId="90" xfId="0" applyFont="1" applyFill="1" applyBorder="1" applyAlignment="1">
      <alignment vertical="center"/>
    </xf>
    <xf numFmtId="164" fontId="49" fillId="18" borderId="90" xfId="0" applyNumberFormat="1" applyFont="1" applyFill="1" applyBorder="1" applyAlignment="1" applyProtection="1">
      <alignment horizontal="right" vertical="center" indent="1"/>
      <protection locked="0"/>
    </xf>
    <xf numFmtId="0" fontId="49" fillId="18" borderId="90" xfId="0" applyFont="1" applyFill="1" applyBorder="1" applyAlignment="1" applyProtection="1">
      <alignment horizontal="right" vertical="center" indent="1"/>
      <protection locked="0"/>
    </xf>
    <xf numFmtId="0" fontId="0" fillId="0" borderId="27" xfId="0" applyBorder="1"/>
    <xf numFmtId="0" fontId="49" fillId="26" borderId="70" xfId="0" applyFont="1" applyFill="1" applyBorder="1" applyAlignment="1">
      <alignment horizontal="left" vertical="center" indent="1"/>
    </xf>
    <xf numFmtId="10" fontId="49" fillId="26" borderId="70" xfId="0" applyNumberFormat="1" applyFont="1" applyFill="1" applyBorder="1" applyAlignment="1">
      <alignment horizontal="right" vertical="center" indent="1"/>
    </xf>
    <xf numFmtId="0" fontId="79" fillId="17" borderId="70" xfId="0" applyFont="1" applyFill="1" applyBorder="1" applyAlignment="1">
      <alignment vertical="center"/>
    </xf>
    <xf numFmtId="0" fontId="80" fillId="6" borderId="13" xfId="13" applyFont="1" applyFill="1" applyBorder="1" applyAlignment="1"/>
    <xf numFmtId="0" fontId="80" fillId="6" borderId="10" xfId="13" applyFont="1" applyFill="1" applyBorder="1" applyAlignment="1"/>
    <xf numFmtId="0" fontId="81" fillId="17" borderId="115" xfId="0" applyFont="1" applyFill="1" applyBorder="1"/>
    <xf numFmtId="0" fontId="80" fillId="27" borderId="13" xfId="13" applyFont="1" applyFill="1" applyBorder="1" applyAlignment="1"/>
    <xf numFmtId="0" fontId="80" fillId="11" borderId="13" xfId="13" applyFont="1" applyFill="1" applyBorder="1" applyAlignment="1"/>
    <xf numFmtId="164" fontId="51" fillId="13" borderId="0" xfId="0" applyNumberFormat="1" applyFont="1" applyFill="1"/>
    <xf numFmtId="0" fontId="82" fillId="0" borderId="0" xfId="0" applyFont="1"/>
    <xf numFmtId="0" fontId="59" fillId="13" borderId="0" xfId="0" applyFont="1" applyFill="1" applyAlignment="1">
      <alignment vertical="center"/>
    </xf>
    <xf numFmtId="0" fontId="59" fillId="13" borderId="0" xfId="0" applyFont="1" applyFill="1" applyAlignment="1">
      <alignment horizontal="right" vertical="center" indent="1"/>
    </xf>
    <xf numFmtId="0" fontId="61" fillId="0" borderId="10" xfId="0" applyFont="1" applyBorder="1"/>
    <xf numFmtId="0" fontId="72" fillId="0" borderId="11" xfId="0" applyFont="1" applyBorder="1" applyAlignment="1">
      <alignment horizontal="left" vertical="center" indent="1"/>
    </xf>
    <xf numFmtId="0" fontId="51" fillId="0" borderId="11" xfId="0" applyFont="1" applyBorder="1"/>
    <xf numFmtId="0" fontId="73" fillId="0" borderId="11" xfId="0" applyFont="1" applyBorder="1"/>
    <xf numFmtId="0" fontId="61" fillId="0" borderId="13" xfId="0" applyFont="1" applyBorder="1"/>
    <xf numFmtId="0" fontId="74" fillId="0" borderId="14" xfId="0" applyFont="1" applyBorder="1" applyAlignment="1">
      <alignment wrapText="1"/>
    </xf>
    <xf numFmtId="0" fontId="73" fillId="0" borderId="14" xfId="0" applyFont="1" applyBorder="1"/>
    <xf numFmtId="0" fontId="75" fillId="0" borderId="13" xfId="0" applyFont="1" applyBorder="1"/>
    <xf numFmtId="0" fontId="50" fillId="13" borderId="14" xfId="0" applyFont="1" applyFill="1" applyBorder="1" applyAlignment="1">
      <alignment horizontal="right"/>
    </xf>
    <xf numFmtId="164" fontId="46" fillId="13" borderId="14" xfId="11" applyNumberFormat="1" applyFont="1" applyFill="1" applyBorder="1" applyAlignment="1">
      <alignment horizontal="right"/>
    </xf>
    <xf numFmtId="0" fontId="75" fillId="13" borderId="13" xfId="0" applyFont="1" applyFill="1" applyBorder="1"/>
    <xf numFmtId="0" fontId="49" fillId="13" borderId="14" xfId="0" applyFont="1" applyFill="1" applyBorder="1"/>
    <xf numFmtId="0" fontId="50" fillId="13" borderId="14" xfId="0" applyFont="1" applyFill="1" applyBorder="1"/>
    <xf numFmtId="44" fontId="46" fillId="13" borderId="14" xfId="11" applyFont="1" applyFill="1" applyBorder="1"/>
    <xf numFmtId="0" fontId="77" fillId="13" borderId="14" xfId="0" applyFont="1" applyFill="1" applyBorder="1"/>
    <xf numFmtId="44" fontId="51" fillId="13" borderId="14" xfId="11" applyFont="1" applyFill="1" applyBorder="1"/>
    <xf numFmtId="37" fontId="46" fillId="13" borderId="14" xfId="11" applyNumberFormat="1" applyFont="1" applyFill="1" applyBorder="1" applyAlignment="1">
      <alignment horizontal="right"/>
    </xf>
    <xf numFmtId="37" fontId="51" fillId="13" borderId="14" xfId="11" applyNumberFormat="1" applyFont="1" applyFill="1" applyBorder="1" applyAlignment="1">
      <alignment horizontal="right"/>
    </xf>
    <xf numFmtId="0" fontId="82" fillId="0" borderId="14" xfId="0" applyFont="1" applyBorder="1"/>
    <xf numFmtId="0" fontId="75" fillId="0" borderId="16" xfId="0" applyFont="1" applyBorder="1"/>
    <xf numFmtId="0" fontId="51" fillId="0" borderId="17" xfId="0" applyFont="1" applyBorder="1"/>
    <xf numFmtId="2" fontId="46" fillId="13" borderId="14" xfId="0" applyNumberFormat="1" applyFont="1" applyFill="1" applyBorder="1"/>
    <xf numFmtId="2" fontId="51" fillId="13" borderId="14" xfId="0" applyNumberFormat="1" applyFont="1" applyFill="1" applyBorder="1"/>
    <xf numFmtId="2" fontId="51" fillId="13" borderId="14" xfId="11" applyNumberFormat="1" applyFont="1" applyFill="1" applyBorder="1" applyAlignment="1">
      <alignment horizontal="right"/>
    </xf>
    <xf numFmtId="10" fontId="46" fillId="13" borderId="14" xfId="11" applyNumberFormat="1" applyFont="1" applyFill="1" applyBorder="1" applyAlignment="1">
      <alignment horizontal="right"/>
    </xf>
    <xf numFmtId="10" fontId="46" fillId="13" borderId="14" xfId="0" applyNumberFormat="1" applyFont="1" applyFill="1" applyBorder="1"/>
    <xf numFmtId="10" fontId="51" fillId="13" borderId="14" xfId="11" applyNumberFormat="1" applyFont="1" applyFill="1" applyBorder="1" applyAlignment="1">
      <alignment horizontal="right"/>
    </xf>
    <xf numFmtId="10" fontId="51" fillId="13" borderId="14" xfId="0" applyNumberFormat="1" applyFont="1" applyFill="1" applyBorder="1"/>
    <xf numFmtId="0" fontId="78" fillId="0" borderId="14" xfId="0" applyFont="1" applyBorder="1"/>
    <xf numFmtId="0" fontId="46" fillId="13" borderId="14" xfId="0" applyFont="1" applyFill="1" applyBorder="1" applyAlignment="1">
      <alignment horizontal="center"/>
    </xf>
    <xf numFmtId="0" fontId="76" fillId="13" borderId="14" xfId="0" applyFont="1" applyFill="1" applyBorder="1"/>
    <xf numFmtId="49" fontId="46" fillId="13" borderId="14" xfId="7" applyNumberFormat="1" applyFont="1" applyFill="1" applyBorder="1" applyAlignment="1" applyProtection="1">
      <alignment horizontal="left"/>
    </xf>
    <xf numFmtId="0" fontId="46" fillId="13" borderId="14" xfId="7" applyFont="1" applyFill="1" applyBorder="1" applyAlignment="1" applyProtection="1">
      <alignment horizontal="left"/>
    </xf>
    <xf numFmtId="0" fontId="46" fillId="13" borderId="14" xfId="7" applyFont="1" applyFill="1" applyBorder="1" applyAlignment="1" applyProtection="1"/>
    <xf numFmtId="164" fontId="46" fillId="13" borderId="14" xfId="7" applyNumberFormat="1" applyFont="1" applyFill="1" applyBorder="1" applyAlignment="1" applyProtection="1">
      <alignment horizontal="left"/>
    </xf>
    <xf numFmtId="10" fontId="46" fillId="13" borderId="14" xfId="7" applyNumberFormat="1" applyFont="1" applyFill="1" applyBorder="1" applyAlignment="1" applyProtection="1">
      <alignment horizontal="left"/>
    </xf>
    <xf numFmtId="9" fontId="49" fillId="13" borderId="14" xfId="2" applyFont="1" applyFill="1" applyBorder="1" applyAlignment="1">
      <alignment horizontal="left"/>
    </xf>
    <xf numFmtId="0" fontId="73" fillId="0" borderId="17" xfId="0" applyFont="1" applyBorder="1"/>
    <xf numFmtId="0" fontId="59" fillId="13" borderId="11" xfId="0" applyFont="1" applyFill="1" applyBorder="1" applyAlignment="1">
      <alignment horizontal="right" vertical="center" indent="1"/>
    </xf>
    <xf numFmtId="0" fontId="59" fillId="13" borderId="11" xfId="0" applyFont="1" applyFill="1" applyBorder="1" applyAlignment="1">
      <alignment vertical="center"/>
    </xf>
    <xf numFmtId="0" fontId="59" fillId="13" borderId="12" xfId="0" applyFont="1" applyFill="1" applyBorder="1" applyAlignment="1">
      <alignment vertical="center"/>
    </xf>
    <xf numFmtId="0" fontId="59" fillId="13" borderId="14" xfId="0" applyFont="1" applyFill="1" applyBorder="1" applyAlignment="1">
      <alignment horizontal="right" vertical="center" indent="1"/>
    </xf>
    <xf numFmtId="0" fontId="3" fillId="0" borderId="0" xfId="0" applyFont="1" applyAlignment="1">
      <alignment vertical="center"/>
    </xf>
    <xf numFmtId="0" fontId="35" fillId="20" borderId="0" xfId="8" applyBorder="1" applyAlignment="1">
      <alignment horizontal="left"/>
    </xf>
    <xf numFmtId="1" fontId="45" fillId="0" borderId="0" xfId="0" applyNumberFormat="1" applyFont="1" applyAlignment="1">
      <alignment horizontal="center" vertical="center"/>
    </xf>
    <xf numFmtId="0" fontId="40" fillId="0" borderId="14" xfId="0" applyFont="1" applyBorder="1" applyAlignment="1">
      <alignment horizontal="center" vertical="center"/>
    </xf>
    <xf numFmtId="0" fontId="45" fillId="20" borderId="14" xfId="8" applyFont="1" applyBorder="1" applyAlignment="1" applyProtection="1">
      <alignment horizontal="center" vertical="center"/>
      <protection locked="0"/>
    </xf>
    <xf numFmtId="164" fontId="3" fillId="0" borderId="6" xfId="0" applyNumberFormat="1" applyFont="1" applyBorder="1"/>
    <xf numFmtId="0" fontId="0" fillId="0" borderId="14" xfId="0" applyBorder="1" applyAlignment="1">
      <alignment horizontal="center"/>
    </xf>
    <xf numFmtId="0" fontId="0" fillId="0" borderId="17" xfId="0" applyBorder="1" applyAlignment="1">
      <alignment horizontal="center"/>
    </xf>
    <xf numFmtId="1" fontId="20" fillId="0" borderId="11" xfId="6" applyNumberFormat="1" applyFont="1" applyBorder="1" applyAlignment="1">
      <alignment horizontal="center" vertical="center"/>
    </xf>
    <xf numFmtId="1" fontId="20" fillId="0" borderId="14" xfId="6" applyNumberFormat="1" applyFont="1" applyBorder="1" applyAlignment="1">
      <alignment horizontal="center" vertical="center"/>
    </xf>
    <xf numFmtId="164" fontId="0" fillId="0" borderId="14" xfId="0" applyNumberFormat="1" applyBorder="1"/>
    <xf numFmtId="0" fontId="10" fillId="0" borderId="11" xfId="0" applyFont="1" applyBorder="1" applyAlignment="1">
      <alignment wrapText="1"/>
    </xf>
    <xf numFmtId="0" fontId="3" fillId="0" borderId="16" xfId="0" applyFont="1" applyBorder="1" applyAlignment="1">
      <alignment vertical="center"/>
    </xf>
    <xf numFmtId="0" fontId="3" fillId="12" borderId="103" xfId="0" applyFont="1" applyFill="1" applyBorder="1" applyAlignment="1">
      <alignment horizontal="center" vertical="center"/>
    </xf>
    <xf numFmtId="0" fontId="3" fillId="0" borderId="10" xfId="0" applyFont="1" applyBorder="1" applyAlignment="1">
      <alignment vertical="center"/>
    </xf>
    <xf numFmtId="0" fontId="57" fillId="0" borderId="13" xfId="0" applyFont="1" applyBorder="1" applyAlignment="1">
      <alignment vertical="center"/>
    </xf>
    <xf numFmtId="0" fontId="3" fillId="0" borderId="13" xfId="0" applyFont="1" applyBorder="1" applyAlignment="1">
      <alignment horizontal="left" vertical="center" indent="1"/>
    </xf>
    <xf numFmtId="14" fontId="3" fillId="0" borderId="13" xfId="0" applyNumberFormat="1" applyFont="1" applyBorder="1" applyAlignment="1">
      <alignment horizontal="left" vertical="center" indent="1"/>
    </xf>
    <xf numFmtId="14" fontId="3" fillId="0" borderId="16" xfId="0" applyNumberFormat="1" applyFont="1" applyBorder="1" applyAlignment="1">
      <alignment horizontal="left" vertical="center" indent="1"/>
    </xf>
    <xf numFmtId="0" fontId="3" fillId="12" borderId="116" xfId="0" applyFont="1" applyFill="1" applyBorder="1" applyAlignment="1">
      <alignment vertical="center"/>
    </xf>
    <xf numFmtId="0" fontId="3" fillId="0" borderId="13" xfId="0" applyFont="1" applyBorder="1" applyAlignment="1">
      <alignment vertical="center"/>
    </xf>
    <xf numFmtId="0" fontId="3" fillId="12" borderId="103" xfId="0" applyFont="1" applyFill="1" applyBorder="1" applyAlignment="1">
      <alignment vertical="center"/>
    </xf>
    <xf numFmtId="0" fontId="1" fillId="0" borderId="10" xfId="0" applyFont="1" applyBorder="1"/>
    <xf numFmtId="8" fontId="1" fillId="0" borderId="13" xfId="0" applyNumberFormat="1" applyFont="1" applyBorder="1"/>
    <xf numFmtId="43" fontId="1" fillId="0" borderId="13" xfId="6" applyFont="1" applyBorder="1"/>
    <xf numFmtId="0" fontId="34" fillId="0" borderId="14" xfId="15" applyBorder="1" applyProtection="1">
      <protection hidden="1"/>
    </xf>
    <xf numFmtId="0" fontId="83" fillId="0" borderId="14" xfId="15" applyFont="1" applyBorder="1" applyProtection="1">
      <protection hidden="1"/>
    </xf>
    <xf numFmtId="0" fontId="0" fillId="0" borderId="49" xfId="0" applyBorder="1"/>
    <xf numFmtId="0" fontId="0" fillId="0" borderId="29" xfId="0" applyBorder="1" applyAlignment="1">
      <alignment vertical="center" wrapText="1"/>
    </xf>
    <xf numFmtId="0" fontId="10" fillId="0" borderId="29" xfId="0" applyFont="1" applyBorder="1" applyAlignment="1">
      <alignment wrapText="1"/>
    </xf>
    <xf numFmtId="0" fontId="84" fillId="0" borderId="117" xfId="15" applyFont="1" applyBorder="1" applyProtection="1">
      <protection hidden="1"/>
    </xf>
    <xf numFmtId="0" fontId="15" fillId="0" borderId="117" xfId="15" applyFont="1" applyBorder="1" applyProtection="1">
      <protection hidden="1"/>
    </xf>
    <xf numFmtId="0" fontId="15" fillId="0" borderId="59" xfId="15" applyFont="1" applyBorder="1"/>
    <xf numFmtId="164" fontId="15" fillId="0" borderId="70" xfId="15" applyNumberFormat="1" applyFont="1" applyBorder="1" applyAlignment="1" applyProtection="1">
      <alignment horizontal="left"/>
      <protection hidden="1"/>
    </xf>
    <xf numFmtId="164" fontId="15" fillId="0" borderId="70" xfId="15" applyNumberFormat="1" applyFont="1" applyBorder="1" applyProtection="1">
      <protection hidden="1"/>
    </xf>
    <xf numFmtId="164" fontId="15" fillId="0" borderId="13" xfId="15" applyNumberFormat="1" applyFont="1" applyBorder="1" applyProtection="1">
      <protection hidden="1"/>
    </xf>
    <xf numFmtId="164" fontId="85" fillId="0" borderId="13" xfId="15" applyNumberFormat="1" applyFont="1" applyBorder="1" applyProtection="1">
      <protection hidden="1"/>
    </xf>
    <xf numFmtId="9" fontId="15" fillId="0" borderId="70" xfId="2" applyFont="1" applyFill="1" applyBorder="1" applyProtection="1">
      <protection hidden="1"/>
    </xf>
    <xf numFmtId="0" fontId="15" fillId="0" borderId="70" xfId="15" applyFont="1" applyBorder="1" applyProtection="1">
      <protection hidden="1"/>
    </xf>
    <xf numFmtId="2" fontId="15" fillId="0" borderId="70" xfId="15" applyNumberFormat="1" applyFont="1" applyBorder="1" applyProtection="1">
      <protection hidden="1"/>
    </xf>
    <xf numFmtId="0" fontId="15" fillId="0" borderId="13" xfId="15" applyFont="1" applyBorder="1"/>
    <xf numFmtId="10" fontId="15" fillId="20" borderId="70" xfId="8" applyNumberFormat="1" applyFont="1" applyBorder="1" applyAlignment="1" applyProtection="1">
      <alignment horizontal="center"/>
      <protection locked="0"/>
    </xf>
    <xf numFmtId="164" fontId="0" fillId="0" borderId="14" xfId="0" applyNumberFormat="1" applyBorder="1" applyAlignment="1">
      <alignment vertical="center" wrapText="1"/>
    </xf>
    <xf numFmtId="164" fontId="35" fillId="0" borderId="9" xfId="8" applyNumberFormat="1" applyFill="1" applyBorder="1" applyAlignment="1" applyProtection="1">
      <alignment horizontal="right" vertical="center" wrapText="1"/>
      <protection locked="0"/>
    </xf>
    <xf numFmtId="10" fontId="35" fillId="20" borderId="9" xfId="8" applyNumberFormat="1" applyBorder="1" applyAlignment="1" applyProtection="1">
      <alignment horizontal="right" wrapText="1"/>
    </xf>
    <xf numFmtId="0" fontId="39" fillId="28" borderId="14" xfId="0" applyFont="1" applyFill="1" applyBorder="1" applyAlignment="1">
      <alignment horizontal="center" vertical="center" wrapText="1"/>
    </xf>
    <xf numFmtId="164" fontId="39" fillId="28" borderId="14" xfId="0" applyNumberFormat="1" applyFont="1" applyFill="1" applyBorder="1" applyAlignment="1">
      <alignment horizontal="center" vertical="center" wrapText="1"/>
    </xf>
    <xf numFmtId="0" fontId="7" fillId="0" borderId="0" xfId="1"/>
    <xf numFmtId="164" fontId="0" fillId="0" borderId="0" xfId="17" applyNumberFormat="1" applyFont="1"/>
    <xf numFmtId="0" fontId="20" fillId="0" borderId="0" xfId="18" applyFont="1" applyAlignment="1">
      <alignment vertical="center"/>
    </xf>
    <xf numFmtId="0" fontId="86" fillId="0" borderId="0" xfId="18" applyFont="1"/>
    <xf numFmtId="0" fontId="87" fillId="0" borderId="0" xfId="18" applyFont="1"/>
    <xf numFmtId="0" fontId="13" fillId="0" borderId="0" xfId="18"/>
    <xf numFmtId="0" fontId="20" fillId="14" borderId="118" xfId="18" applyFont="1" applyFill="1" applyBorder="1" applyAlignment="1">
      <alignment vertical="center"/>
    </xf>
    <xf numFmtId="0" fontId="20" fillId="14" borderId="119" xfId="18" applyFont="1" applyFill="1" applyBorder="1" applyAlignment="1">
      <alignment vertical="center"/>
    </xf>
    <xf numFmtId="0" fontId="20" fillId="14" borderId="61" xfId="18" applyFont="1" applyFill="1" applyBorder="1" applyAlignment="1">
      <alignment vertical="center"/>
    </xf>
    <xf numFmtId="0" fontId="20" fillId="0" borderId="120" xfId="18" applyFont="1" applyBorder="1" applyAlignment="1">
      <alignment vertical="center"/>
    </xf>
    <xf numFmtId="0" fontId="20" fillId="0" borderId="76" xfId="18" applyFont="1" applyBorder="1" applyAlignment="1">
      <alignment vertical="center"/>
    </xf>
    <xf numFmtId="167" fontId="20" fillId="6" borderId="63" xfId="19" applyNumberFormat="1" applyFont="1" applyFill="1" applyBorder="1" applyAlignment="1">
      <alignment vertical="center"/>
    </xf>
    <xf numFmtId="167" fontId="88" fillId="0" borderId="0" xfId="18" applyNumberFormat="1" applyFont="1"/>
    <xf numFmtId="164" fontId="20" fillId="6" borderId="63" xfId="19" applyNumberFormat="1" applyFont="1" applyFill="1" applyBorder="1" applyAlignment="1">
      <alignment vertical="center"/>
    </xf>
    <xf numFmtId="0" fontId="20" fillId="6" borderId="74" xfId="18" applyFont="1" applyFill="1" applyBorder="1" applyAlignment="1">
      <alignment vertical="center"/>
    </xf>
    <xf numFmtId="167" fontId="20" fillId="6" borderId="44" xfId="19" applyNumberFormat="1" applyFont="1" applyFill="1" applyBorder="1" applyAlignment="1">
      <alignment vertical="center"/>
    </xf>
    <xf numFmtId="164" fontId="20" fillId="6" borderId="44" xfId="19" applyNumberFormat="1" applyFont="1" applyFill="1" applyBorder="1" applyAlignment="1">
      <alignment vertical="center"/>
    </xf>
    <xf numFmtId="167" fontId="20" fillId="0" borderId="0" xfId="19" applyNumberFormat="1" applyFont="1" applyBorder="1" applyAlignment="1">
      <alignment vertical="center"/>
    </xf>
    <xf numFmtId="164" fontId="20" fillId="6" borderId="63" xfId="20" applyNumberFormat="1" applyFont="1" applyFill="1" applyBorder="1" applyAlignment="1">
      <alignment vertical="center"/>
    </xf>
    <xf numFmtId="164" fontId="88" fillId="0" borderId="0" xfId="18" applyNumberFormat="1" applyFont="1"/>
    <xf numFmtId="43" fontId="20" fillId="6" borderId="63" xfId="21" applyFont="1" applyFill="1" applyBorder="1" applyAlignment="1">
      <alignment vertical="center"/>
    </xf>
    <xf numFmtId="164" fontId="20" fillId="6" borderId="44" xfId="20" applyNumberFormat="1" applyFont="1" applyFill="1" applyBorder="1" applyAlignment="1">
      <alignment vertical="center"/>
    </xf>
    <xf numFmtId="43" fontId="20" fillId="6" borderId="44" xfId="21" applyFont="1" applyFill="1" applyBorder="1" applyAlignment="1">
      <alignment vertical="center"/>
    </xf>
    <xf numFmtId="164" fontId="0" fillId="0" borderId="0" xfId="16" applyNumberFormat="1" applyFont="1"/>
    <xf numFmtId="0" fontId="2" fillId="0" borderId="121" xfId="0" applyFont="1" applyBorder="1"/>
    <xf numFmtId="0" fontId="3" fillId="0" borderId="122" xfId="0" applyFont="1" applyBorder="1" applyAlignment="1">
      <alignment vertical="center"/>
    </xf>
    <xf numFmtId="1" fontId="0" fillId="0" borderId="0" xfId="0" applyNumberFormat="1"/>
    <xf numFmtId="49" fontId="0" fillId="0" borderId="0" xfId="0" applyNumberFormat="1"/>
    <xf numFmtId="9" fontId="0" fillId="0" borderId="0" xfId="0" applyNumberFormat="1"/>
    <xf numFmtId="0" fontId="90" fillId="20" borderId="14" xfId="0" applyFont="1" applyFill="1" applyBorder="1" applyAlignment="1" applyProtection="1">
      <alignment horizontal="right" vertical="center" indent="1"/>
      <protection locked="0"/>
    </xf>
    <xf numFmtId="0" fontId="91" fillId="0" borderId="0" xfId="18" applyFont="1"/>
    <xf numFmtId="0" fontId="90" fillId="13" borderId="14" xfId="0" applyFont="1" applyFill="1" applyBorder="1"/>
    <xf numFmtId="0" fontId="91" fillId="0" borderId="15" xfId="0" applyFont="1" applyBorder="1"/>
    <xf numFmtId="0" fontId="92" fillId="0" borderId="14" xfId="0" applyFont="1" applyBorder="1" applyProtection="1">
      <protection hidden="1"/>
    </xf>
    <xf numFmtId="0" fontId="91" fillId="0" borderId="14" xfId="0" applyFont="1" applyBorder="1"/>
    <xf numFmtId="0" fontId="92" fillId="0" borderId="14" xfId="0" applyFont="1" applyBorder="1" applyAlignment="1">
      <alignment horizontal="left" vertical="center" indent="1"/>
    </xf>
    <xf numFmtId="0" fontId="91" fillId="0" borderId="17" xfId="0" applyFont="1" applyBorder="1"/>
    <xf numFmtId="0" fontId="91" fillId="0" borderId="14" xfId="0" applyFont="1" applyBorder="1" applyAlignment="1">
      <alignment wrapText="1"/>
    </xf>
    <xf numFmtId="0" fontId="93" fillId="13" borderId="14" xfId="0" applyFont="1" applyFill="1" applyBorder="1" applyAlignment="1">
      <alignment horizontal="left" vertical="center"/>
    </xf>
    <xf numFmtId="0" fontId="91" fillId="0" borderId="0" xfId="0" applyFont="1"/>
    <xf numFmtId="0" fontId="45" fillId="0" borderId="17" xfId="0" applyFont="1" applyBorder="1"/>
    <xf numFmtId="10" fontId="0" fillId="0" borderId="0" xfId="0" applyNumberFormat="1"/>
    <xf numFmtId="164" fontId="35" fillId="20" borderId="9" xfId="8" applyNumberFormat="1" applyBorder="1" applyAlignment="1">
      <alignment horizontal="left" vertical="center"/>
    </xf>
    <xf numFmtId="8" fontId="10" fillId="0" borderId="14" xfId="0" applyNumberFormat="1" applyFont="1" applyBorder="1" applyAlignment="1">
      <alignment wrapText="1"/>
    </xf>
    <xf numFmtId="164" fontId="95" fillId="0" borderId="0" xfId="0" applyNumberFormat="1" applyFont="1"/>
    <xf numFmtId="181" fontId="35" fillId="20" borderId="9" xfId="8" applyNumberFormat="1" applyBorder="1" applyAlignment="1" applyProtection="1">
      <alignment horizontal="right"/>
      <protection locked="0"/>
    </xf>
    <xf numFmtId="181" fontId="37" fillId="0" borderId="29" xfId="0" applyNumberFormat="1" applyFont="1" applyBorder="1" applyAlignment="1">
      <alignment horizontal="right" vertical="center" wrapText="1"/>
    </xf>
    <xf numFmtId="181" fontId="38" fillId="0" borderId="9" xfId="0" applyNumberFormat="1" applyFont="1" applyBorder="1" applyAlignment="1">
      <alignment horizontal="right" wrapText="1"/>
    </xf>
    <xf numFmtId="181" fontId="37" fillId="0" borderId="29" xfId="0" applyNumberFormat="1" applyFont="1" applyBorder="1" applyAlignment="1">
      <alignment horizontal="right" wrapText="1"/>
    </xf>
    <xf numFmtId="181" fontId="37" fillId="0" borderId="9" xfId="0" applyNumberFormat="1" applyFont="1" applyBorder="1" applyAlignment="1">
      <alignment horizontal="right" wrapText="1"/>
    </xf>
    <xf numFmtId="0" fontId="42" fillId="0" borderId="17" xfId="0" applyFont="1" applyBorder="1" applyAlignment="1">
      <alignment vertical="center"/>
    </xf>
    <xf numFmtId="0" fontId="41" fillId="0" borderId="17" xfId="0" applyFont="1" applyBorder="1" applyAlignment="1">
      <alignment horizontal="right" indent="1"/>
    </xf>
    <xf numFmtId="0" fontId="5" fillId="5" borderId="32" xfId="0" applyFont="1" applyFill="1" applyBorder="1" applyAlignment="1">
      <alignment horizontal="center" vertical="center"/>
    </xf>
    <xf numFmtId="0" fontId="5" fillId="5" borderId="33" xfId="0" applyFont="1" applyFill="1" applyBorder="1" applyAlignment="1">
      <alignment horizontal="center" vertical="center"/>
    </xf>
    <xf numFmtId="0" fontId="5" fillId="5" borderId="34"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0" xfId="0" applyFont="1" applyFill="1" applyAlignment="1">
      <alignment horizontal="center" vertical="center"/>
    </xf>
    <xf numFmtId="0" fontId="4" fillId="2" borderId="26" xfId="0" applyFont="1" applyFill="1" applyBorder="1" applyAlignment="1">
      <alignment horizontal="center" vertical="center"/>
    </xf>
    <xf numFmtId="0" fontId="89" fillId="0" borderId="123" xfId="0" applyFont="1" applyBorder="1" applyAlignment="1">
      <alignment horizontal="left" vertical="center"/>
    </xf>
    <xf numFmtId="0" fontId="89" fillId="0" borderId="0" xfId="0" applyFont="1" applyAlignment="1">
      <alignment horizontal="left" vertical="center"/>
    </xf>
    <xf numFmtId="0" fontId="89" fillId="0" borderId="26" xfId="0" applyFont="1" applyBorder="1" applyAlignment="1">
      <alignment horizontal="left" vertical="center"/>
    </xf>
    <xf numFmtId="0" fontId="0" fillId="23" borderId="66" xfId="0" applyFill="1" applyBorder="1" applyAlignment="1">
      <alignment horizontal="center"/>
    </xf>
    <xf numFmtId="0" fontId="3" fillId="20" borderId="80" xfId="0" applyFont="1" applyFill="1" applyBorder="1" applyProtection="1">
      <protection locked="0"/>
    </xf>
    <xf numFmtId="0" fontId="3" fillId="20" borderId="104" xfId="0" applyFont="1" applyFill="1" applyBorder="1" applyProtection="1">
      <protection locked="0"/>
    </xf>
    <xf numFmtId="0" fontId="3" fillId="20" borderId="74" xfId="0" applyFont="1" applyFill="1" applyBorder="1" applyProtection="1">
      <protection locked="0"/>
    </xf>
    <xf numFmtId="0" fontId="5" fillId="5" borderId="13" xfId="0" applyFont="1" applyFill="1" applyBorder="1" applyAlignment="1">
      <alignment horizontal="center"/>
    </xf>
    <xf numFmtId="0" fontId="5" fillId="5" borderId="14" xfId="0" applyFont="1" applyFill="1" applyBorder="1" applyAlignment="1">
      <alignment horizontal="center"/>
    </xf>
    <xf numFmtId="0" fontId="14" fillId="5" borderId="15" xfId="0" applyFont="1" applyFill="1" applyBorder="1" applyAlignment="1">
      <alignment horizontal="center"/>
    </xf>
    <xf numFmtId="0" fontId="14" fillId="5" borderId="29" xfId="0" applyFont="1" applyFill="1" applyBorder="1" applyAlignment="1">
      <alignment horizontal="center"/>
    </xf>
    <xf numFmtId="0" fontId="14" fillId="5" borderId="13" xfId="0" applyFont="1" applyFill="1" applyBorder="1" applyAlignment="1">
      <alignment horizontal="center"/>
    </xf>
    <xf numFmtId="0" fontId="5" fillId="5" borderId="37" xfId="0" applyFont="1" applyFill="1" applyBorder="1"/>
    <xf numFmtId="0" fontId="35" fillId="20" borderId="12" xfId="8" applyBorder="1" applyAlignment="1" applyProtection="1">
      <alignment vertical="center"/>
      <protection locked="0"/>
    </xf>
    <xf numFmtId="0" fontId="35" fillId="20" borderId="28" xfId="8" applyBorder="1" applyAlignment="1" applyProtection="1">
      <alignment vertical="center"/>
      <protection locked="0"/>
    </xf>
    <xf numFmtId="0" fontId="35" fillId="20" borderId="10" xfId="8" applyBorder="1" applyAlignment="1" applyProtection="1">
      <alignment vertical="center"/>
      <protection locked="0"/>
    </xf>
    <xf numFmtId="0" fontId="35" fillId="20" borderId="15" xfId="8" applyBorder="1" applyAlignment="1" applyProtection="1">
      <alignment horizontal="left"/>
      <protection locked="0"/>
    </xf>
    <xf numFmtId="0" fontId="35" fillId="20" borderId="29" xfId="8" applyBorder="1" applyAlignment="1" applyProtection="1">
      <alignment horizontal="left"/>
      <protection locked="0"/>
    </xf>
    <xf numFmtId="0" fontId="35" fillId="20" borderId="13" xfId="8" applyBorder="1" applyAlignment="1" applyProtection="1">
      <alignment horizontal="left"/>
      <protection locked="0"/>
    </xf>
    <xf numFmtId="170" fontId="35" fillId="20" borderId="18" xfId="8" applyNumberFormat="1" applyBorder="1" applyAlignment="1" applyProtection="1">
      <alignment horizontal="left"/>
      <protection locked="0"/>
    </xf>
    <xf numFmtId="170" fontId="35" fillId="20" borderId="38" xfId="8" applyNumberFormat="1" applyBorder="1" applyAlignment="1" applyProtection="1">
      <alignment horizontal="left"/>
      <protection locked="0"/>
    </xf>
    <xf numFmtId="170" fontId="35" fillId="20" borderId="16" xfId="8" applyNumberFormat="1" applyBorder="1" applyAlignment="1" applyProtection="1">
      <alignment horizontal="left"/>
      <protection locked="0"/>
    </xf>
    <xf numFmtId="0" fontId="40" fillId="17" borderId="0" xfId="0" applyFont="1" applyFill="1" applyAlignment="1">
      <alignment horizontal="left" vertical="center"/>
    </xf>
    <xf numFmtId="0" fontId="45" fillId="20" borderId="18" xfId="8" applyFont="1" applyBorder="1" applyAlignment="1" applyProtection="1">
      <alignment horizontal="left" vertical="top" wrapText="1"/>
      <protection locked="0"/>
    </xf>
    <xf numFmtId="0" fontId="45" fillId="20" borderId="38" xfId="8" applyFont="1" applyBorder="1" applyAlignment="1" applyProtection="1">
      <alignment horizontal="left" vertical="top" wrapText="1"/>
      <protection locked="0"/>
    </xf>
    <xf numFmtId="0" fontId="45" fillId="20" borderId="16" xfId="8" applyFont="1" applyBorder="1" applyAlignment="1" applyProtection="1">
      <alignment horizontal="left" vertical="top" wrapText="1"/>
      <protection locked="0"/>
    </xf>
    <xf numFmtId="0" fontId="45" fillId="20" borderId="30" xfId="8" applyFont="1" applyBorder="1" applyAlignment="1" applyProtection="1">
      <alignment horizontal="left" vertical="top" wrapText="1"/>
      <protection locked="0"/>
    </xf>
    <xf numFmtId="0" fontId="45" fillId="20" borderId="0" xfId="8" applyFont="1" applyBorder="1" applyAlignment="1" applyProtection="1">
      <alignment horizontal="left" vertical="top" wrapText="1"/>
      <protection locked="0"/>
    </xf>
    <xf numFmtId="0" fontId="45" fillId="20" borderId="26" xfId="8" applyFont="1" applyBorder="1" applyAlignment="1" applyProtection="1">
      <alignment horizontal="left" vertical="top" wrapText="1"/>
      <protection locked="0"/>
    </xf>
    <xf numFmtId="0" fontId="45" fillId="20" borderId="12" xfId="8" applyFont="1" applyBorder="1" applyAlignment="1" applyProtection="1">
      <alignment horizontal="left" vertical="top" wrapText="1"/>
      <protection locked="0"/>
    </xf>
    <xf numFmtId="0" fontId="45" fillId="20" borderId="28" xfId="8" applyFont="1" applyBorder="1" applyAlignment="1" applyProtection="1">
      <alignment horizontal="left" vertical="top" wrapText="1"/>
      <protection locked="0"/>
    </xf>
    <xf numFmtId="0" fontId="45" fillId="20" borderId="10" xfId="8" applyFont="1" applyBorder="1" applyAlignment="1" applyProtection="1">
      <alignment horizontal="left" vertical="top" wrapText="1"/>
      <protection locked="0"/>
    </xf>
    <xf numFmtId="0" fontId="40" fillId="17" borderId="15" xfId="0" applyFont="1" applyFill="1" applyBorder="1" applyAlignment="1">
      <alignment horizontal="left" vertical="center"/>
    </xf>
    <xf numFmtId="0" fontId="40" fillId="17" borderId="13" xfId="0" applyFont="1" applyFill="1" applyBorder="1" applyAlignment="1">
      <alignment horizontal="left" vertical="center"/>
    </xf>
    <xf numFmtId="0" fontId="0" fillId="0" borderId="17" xfId="0" applyBorder="1"/>
    <xf numFmtId="0" fontId="26" fillId="20" borderId="14" xfId="8" applyFont="1" applyBorder="1" applyAlignment="1" applyProtection="1">
      <alignment vertical="center"/>
      <protection locked="0"/>
    </xf>
    <xf numFmtId="0" fontId="26" fillId="20" borderId="49" xfId="8" applyFont="1" applyBorder="1" applyAlignment="1" applyProtection="1">
      <alignment vertical="center"/>
      <protection locked="0"/>
    </xf>
    <xf numFmtId="0" fontId="26" fillId="0" borderId="59" xfId="0" applyFont="1" applyBorder="1" applyAlignment="1">
      <alignment horizontal="center" vertical="center" textRotation="90"/>
    </xf>
    <xf numFmtId="0" fontId="26" fillId="0" borderId="14" xfId="0" applyFont="1" applyBorder="1" applyAlignment="1">
      <alignment horizontal="center" vertical="center" textRotation="90"/>
    </xf>
    <xf numFmtId="0" fontId="26" fillId="0" borderId="49" xfId="0" applyFont="1" applyBorder="1" applyAlignment="1">
      <alignment horizontal="center" vertical="center" textRotation="90"/>
    </xf>
    <xf numFmtId="0" fontId="26" fillId="20" borderId="59" xfId="8" applyFont="1" applyBorder="1" applyAlignment="1" applyProtection="1">
      <alignment vertical="center"/>
      <protection locked="0"/>
    </xf>
    <xf numFmtId="0" fontId="26" fillId="20" borderId="65" xfId="8" applyFont="1" applyBorder="1" applyAlignment="1" applyProtection="1">
      <alignment vertical="center"/>
      <protection locked="0"/>
    </xf>
    <xf numFmtId="0" fontId="26" fillId="20" borderId="17" xfId="8" applyFont="1" applyBorder="1" applyAlignment="1" applyProtection="1">
      <alignment vertical="center"/>
      <protection locked="0"/>
    </xf>
    <xf numFmtId="0" fontId="40" fillId="17" borderId="14" xfId="0" applyFont="1" applyFill="1" applyBorder="1" applyAlignment="1">
      <alignment vertical="center"/>
    </xf>
    <xf numFmtId="0" fontId="40" fillId="17" borderId="66" xfId="0" applyFont="1" applyFill="1" applyBorder="1" applyAlignment="1">
      <alignment vertical="center"/>
    </xf>
    <xf numFmtId="0" fontId="40" fillId="17" borderId="56" xfId="0" applyFont="1" applyFill="1" applyBorder="1" applyAlignment="1">
      <alignment vertical="center"/>
    </xf>
    <xf numFmtId="0" fontId="40" fillId="17" borderId="50" xfId="0" applyFont="1" applyFill="1" applyBorder="1" applyAlignment="1">
      <alignment vertical="center"/>
    </xf>
    <xf numFmtId="0" fontId="40" fillId="17" borderId="97" xfId="0" applyFont="1" applyFill="1" applyBorder="1" applyAlignment="1">
      <alignment vertical="center"/>
    </xf>
    <xf numFmtId="0" fontId="40" fillId="17" borderId="98" xfId="0" applyFont="1" applyFill="1" applyBorder="1" applyAlignment="1">
      <alignment vertical="center"/>
    </xf>
    <xf numFmtId="0" fontId="40" fillId="17" borderId="99" xfId="0" applyFont="1" applyFill="1" applyBorder="1" applyAlignment="1">
      <alignment vertical="center"/>
    </xf>
    <xf numFmtId="0" fontId="40" fillId="17" borderId="100" xfId="0" applyFont="1" applyFill="1" applyBorder="1" applyAlignment="1">
      <alignment vertical="center"/>
    </xf>
    <xf numFmtId="0" fontId="40" fillId="17" borderId="101" xfId="0" applyFont="1" applyFill="1" applyBorder="1" applyAlignment="1">
      <alignment vertical="center"/>
    </xf>
    <xf numFmtId="0" fontId="40" fillId="17" borderId="102" xfId="0" applyFont="1" applyFill="1" applyBorder="1" applyAlignment="1">
      <alignment vertical="center"/>
    </xf>
    <xf numFmtId="0" fontId="40" fillId="17" borderId="105" xfId="0" applyFont="1" applyFill="1" applyBorder="1" applyAlignment="1">
      <alignment horizontal="center" vertical="center" wrapText="1"/>
    </xf>
    <xf numFmtId="0" fontId="40" fillId="17" borderId="106" xfId="0" applyFont="1" applyFill="1" applyBorder="1" applyAlignment="1">
      <alignment horizontal="center" vertical="center" wrapText="1"/>
    </xf>
    <xf numFmtId="0" fontId="40" fillId="17" borderId="107" xfId="0" applyFont="1" applyFill="1" applyBorder="1" applyAlignment="1">
      <alignment horizontal="center" vertical="center" wrapText="1"/>
    </xf>
    <xf numFmtId="164" fontId="51" fillId="6" borderId="92" xfId="0" applyNumberFormat="1" applyFont="1" applyFill="1" applyBorder="1" applyAlignment="1">
      <alignment horizontal="center" vertical="center"/>
    </xf>
    <xf numFmtId="164" fontId="51" fillId="6" borderId="89" xfId="0" applyNumberFormat="1" applyFont="1" applyFill="1" applyBorder="1" applyAlignment="1">
      <alignment horizontal="center" vertical="center"/>
    </xf>
    <xf numFmtId="0" fontId="0" fillId="0" borderId="108" xfId="0" applyBorder="1" applyAlignment="1">
      <alignment horizontal="left" vertical="top"/>
    </xf>
    <xf numFmtId="0" fontId="0" fillId="0" borderId="109" xfId="0" applyBorder="1" applyAlignment="1">
      <alignment horizontal="left" vertical="top"/>
    </xf>
    <xf numFmtId="0" fontId="0" fillId="0" borderId="110" xfId="0" applyBorder="1" applyAlignment="1">
      <alignment horizontal="left" vertical="top"/>
    </xf>
    <xf numFmtId="0" fontId="0" fillId="0" borderId="111" xfId="0" applyBorder="1" applyAlignment="1">
      <alignment horizontal="left" vertical="top"/>
    </xf>
    <xf numFmtId="0" fontId="0" fillId="0" borderId="0" xfId="0" applyAlignment="1">
      <alignment horizontal="left" vertical="top"/>
    </xf>
    <xf numFmtId="0" fontId="0" fillId="0" borderId="112" xfId="0" applyBorder="1" applyAlignment="1">
      <alignment horizontal="left" vertical="top"/>
    </xf>
    <xf numFmtId="0" fontId="0" fillId="0" borderId="113" xfId="0" applyBorder="1" applyAlignment="1">
      <alignment horizontal="left" vertical="top"/>
    </xf>
    <xf numFmtId="0" fontId="0" fillId="0" borderId="114" xfId="0" applyBorder="1" applyAlignment="1">
      <alignment horizontal="left" vertical="top"/>
    </xf>
    <xf numFmtId="0" fontId="0" fillId="0" borderId="64" xfId="0" applyBorder="1" applyAlignment="1">
      <alignment horizontal="left" vertical="top"/>
    </xf>
    <xf numFmtId="0" fontId="35" fillId="20" borderId="15" xfId="8" applyBorder="1" applyAlignment="1">
      <alignment horizontal="center"/>
    </xf>
    <xf numFmtId="0" fontId="35" fillId="20" borderId="13" xfId="8" applyBorder="1" applyAlignment="1">
      <alignment horizontal="center"/>
    </xf>
    <xf numFmtId="0" fontId="76" fillId="13" borderId="14" xfId="0" applyFont="1" applyFill="1" applyBorder="1" applyAlignment="1">
      <alignment horizontal="center"/>
    </xf>
    <xf numFmtId="0" fontId="77" fillId="13" borderId="14" xfId="0" applyFont="1" applyFill="1" applyBorder="1" applyAlignment="1">
      <alignment horizontal="center"/>
    </xf>
  </cellXfs>
  <cellStyles count="22">
    <cellStyle name="Comma" xfId="6" builtinId="3"/>
    <cellStyle name="Comma 2" xfId="3" xr:uid="{5DD57052-14B5-48E7-A275-C0B6188E837F}"/>
    <cellStyle name="Comma 26" xfId="21" xr:uid="{99EF9158-6E31-47AF-AA5A-1145275BF45A}"/>
    <cellStyle name="Comma 3" xfId="16" xr:uid="{4FA9F828-6E0F-4CE4-9645-C7F4BF96241E}"/>
    <cellStyle name="Currency" xfId="11" builtinId="4"/>
    <cellStyle name="Currency 2" xfId="17" xr:uid="{7F949C41-ED2E-4856-94E7-F2C662BB652A}"/>
    <cellStyle name="Currency 26" xfId="19" xr:uid="{9B651C65-2AF4-4356-910D-BE65C78F78E5}"/>
    <cellStyle name="Hyperlink" xfId="13" builtinId="8"/>
    <cellStyle name="Neutral 2" xfId="4" xr:uid="{C3EDF95F-AB16-48FE-A685-E48F27B6617F}"/>
    <cellStyle name="New Header" xfId="10" xr:uid="{8811D2BB-9768-4361-8263-4B0E1BDC88B4}"/>
    <cellStyle name="Normal" xfId="0" builtinId="0"/>
    <cellStyle name="Normal 2" xfId="1" xr:uid="{452873B1-A9EB-4E40-BC62-AF15CE425219}"/>
    <cellStyle name="Normal 27" xfId="15" xr:uid="{B643D681-E0F0-4711-8C56-1719B44BD648}"/>
    <cellStyle name="Normal 4" xfId="12" xr:uid="{32C05139-5648-4A61-A484-9E0DCE049E99}"/>
    <cellStyle name="Normal 55" xfId="18" xr:uid="{5C704017-2EFA-4094-9A7C-1A24DD315C21}"/>
    <cellStyle name="Normal_Operating Stmt Comparative Anal" xfId="9" xr:uid="{EB0B0D64-E392-42F8-AE04-72FFC2B7C631}"/>
    <cellStyle name="Normal_Westlake Plaza18m" xfId="14" xr:uid="{B010F8D0-5787-477B-A86A-A69127617C32}"/>
    <cellStyle name="Note" xfId="7" builtinId="10"/>
    <cellStyle name="Note 3" xfId="8" xr:uid="{E01FC330-20D7-4025-B884-E8DD8117E533}"/>
    <cellStyle name="Percent" xfId="5" builtinId="5"/>
    <cellStyle name="Percent 2" xfId="2" xr:uid="{96E992A1-C655-4F37-B9D4-83490242149E}"/>
    <cellStyle name="Percent 28" xfId="20" xr:uid="{FF126289-6B22-4212-BF41-474997C65039}"/>
  </cellStyles>
  <dxfs count="70">
    <dxf>
      <numFmt numFmtId="14" formatCode="0.00%"/>
    </dxf>
    <dxf>
      <numFmt numFmtId="164" formatCode="&quot;$&quot;#,##0"/>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theme="0" tint="-0.14996795556505021"/>
        </patternFill>
      </fill>
      <border>
        <left style="thin">
          <color rgb="FFD9D9D9"/>
        </left>
        <right style="thin">
          <color rgb="FFD9D9D9"/>
        </right>
        <top style="thin">
          <color rgb="FFD9D9D9"/>
        </top>
        <bottom style="thin">
          <color rgb="FFD9D9D9"/>
        </bottom>
      </border>
    </dxf>
    <dxf>
      <fill>
        <patternFill>
          <bgColor theme="0" tint="-0.14996795556505021"/>
        </patternFill>
      </fill>
      <border>
        <left style="thin">
          <color rgb="FFD9D9D9"/>
        </left>
        <right style="thin">
          <color rgb="FFD9D9D9"/>
        </right>
        <top style="thin">
          <color rgb="FFD9D9D9"/>
        </top>
        <bottom style="thin">
          <color rgb="FFD9D9D9"/>
        </bottom>
      </border>
    </dxf>
    <dxf>
      <fill>
        <patternFill>
          <bgColor theme="0" tint="-0.14996795556505021"/>
        </patternFill>
      </fill>
      <border>
        <left style="thin">
          <color rgb="FFD9D9D9"/>
        </left>
        <right style="thin">
          <color rgb="FFD9D9D9"/>
        </right>
        <top style="thin">
          <color rgb="FFD9D9D9"/>
        </top>
        <bottom style="thin">
          <color rgb="FFD9D9D9"/>
        </bottom>
      </border>
    </dxf>
    <dxf>
      <font>
        <b val="0"/>
        <i val="0"/>
        <strike val="0"/>
        <color rgb="FF002855"/>
      </font>
      <fill>
        <patternFill>
          <bgColor rgb="FFD0CECE"/>
        </patternFill>
      </fill>
      <border>
        <left/>
        <right/>
        <top/>
        <bottom/>
      </border>
    </dxf>
    <dxf>
      <fill>
        <patternFill>
          <bgColor theme="0" tint="-0.14996795556505021"/>
        </patternFill>
      </fill>
    </dxf>
    <dxf>
      <fill>
        <patternFill>
          <bgColor theme="0" tint="-0.14996795556505021"/>
        </patternFill>
      </fill>
    </dxf>
    <dxf>
      <font>
        <b val="0"/>
        <i val="0"/>
        <strike val="0"/>
        <color rgb="FF002855"/>
      </font>
      <fill>
        <patternFill>
          <bgColor rgb="FFD0CECE"/>
        </patternFill>
      </fill>
      <border>
        <left/>
        <right/>
        <top/>
        <bottom/>
        <vertical/>
        <horizontal/>
      </border>
    </dxf>
    <dxf>
      <font>
        <b val="0"/>
        <i val="0"/>
        <strike val="0"/>
        <color rgb="FF002855"/>
      </font>
      <fill>
        <patternFill>
          <bgColor rgb="FFD0CECE"/>
        </patternFill>
      </fill>
      <border>
        <left/>
        <right/>
        <top/>
        <bottom/>
      </border>
    </dxf>
    <dxf>
      <fill>
        <patternFill>
          <bgColor theme="0" tint="-0.14996795556505021"/>
        </patternFill>
      </fill>
      <border>
        <left/>
        <right/>
        <top/>
        <bottom/>
      </border>
    </dxf>
    <dxf>
      <font>
        <b val="0"/>
        <i val="0"/>
        <strike val="0"/>
        <color rgb="FF002855"/>
      </font>
      <fill>
        <patternFill>
          <bgColor rgb="FFD0CECE"/>
        </patternFill>
      </fill>
      <border>
        <left/>
        <right/>
        <top/>
        <bottom/>
        <vertical/>
        <horizontal/>
      </border>
    </dxf>
    <dxf>
      <font>
        <b val="0"/>
        <i val="0"/>
        <strike val="0"/>
        <color rgb="FF002855"/>
      </font>
      <fill>
        <patternFill>
          <bgColor rgb="FFD0CECE"/>
        </patternFill>
      </fill>
      <border>
        <left/>
        <right/>
        <top/>
        <bottom/>
      </border>
    </dxf>
    <dxf>
      <font>
        <b val="0"/>
        <i val="0"/>
        <strike val="0"/>
        <color rgb="FF002855"/>
      </font>
      <fill>
        <patternFill>
          <bgColor rgb="FFD0CECE"/>
        </patternFill>
      </fill>
      <border>
        <left/>
        <right/>
        <top/>
        <bottom/>
      </border>
    </dxf>
    <dxf>
      <font>
        <b val="0"/>
        <i val="0"/>
        <strike val="0"/>
        <color rgb="FF002855"/>
      </font>
      <fill>
        <patternFill>
          <bgColor rgb="FFD0CECE"/>
        </patternFill>
      </fill>
      <border>
        <left/>
        <right/>
        <top/>
        <bottom/>
      </border>
    </dxf>
    <dxf>
      <font>
        <b val="0"/>
        <i val="0"/>
        <strike val="0"/>
        <color rgb="FF002855"/>
      </font>
      <fill>
        <patternFill>
          <bgColor rgb="FFD0CECE"/>
        </patternFill>
      </fill>
    </dxf>
    <dxf>
      <fill>
        <patternFill>
          <bgColor theme="0" tint="-0.14996795556505021"/>
        </patternFill>
      </fill>
      <border>
        <left style="thin">
          <color rgb="FFD9D9D9"/>
        </left>
        <right style="thin">
          <color rgb="FFD9D9D9"/>
        </right>
        <top style="thin">
          <color rgb="FFD9D9D9"/>
        </top>
        <bottom style="thin">
          <color rgb="FFD9D9D9"/>
        </bottom>
      </border>
    </dxf>
    <dxf>
      <fill>
        <patternFill>
          <bgColor theme="0" tint="-0.14996795556505021"/>
        </patternFill>
      </fill>
      <border>
        <left style="thin">
          <color rgb="FFD9D9D9"/>
        </left>
        <right style="thin">
          <color rgb="FFD9D9D9"/>
        </right>
        <top style="thin">
          <color rgb="FFD9D9D9"/>
        </top>
        <bottom style="thin">
          <color rgb="FFD9D9D9"/>
        </bottom>
      </border>
    </dxf>
    <dxf>
      <fill>
        <patternFill>
          <bgColor rgb="FFD9D9D9"/>
        </patternFill>
      </fill>
      <border>
        <left style="thin">
          <color rgb="FFD9D9D9"/>
        </left>
        <right style="thin">
          <color rgb="FFD9D9D9"/>
        </right>
        <top style="thin">
          <color rgb="FFD9D9D9"/>
        </top>
        <bottom style="thin">
          <color rgb="FFD9D9D9"/>
        </bottom>
      </border>
    </dxf>
    <dxf>
      <font>
        <color theme="0"/>
      </font>
    </dxf>
    <dxf>
      <font>
        <color theme="0"/>
      </font>
    </dxf>
    <dxf>
      <font>
        <color theme="0"/>
      </font>
    </dxf>
    <dxf>
      <font>
        <color theme="3" tint="0.89996032593768116"/>
      </font>
    </dxf>
    <dxf>
      <fill>
        <patternFill>
          <bgColor rgb="FFE7E6E6"/>
        </patternFill>
      </fill>
      <border>
        <left style="thin">
          <color rgb="FFE7E6E6"/>
        </left>
        <right style="thin">
          <color rgb="FFE7E6E6"/>
        </right>
        <top style="thin">
          <color rgb="FFE7E6E6"/>
        </top>
        <bottom style="thin">
          <color auto="1"/>
        </bottom>
      </border>
    </dxf>
    <dxf>
      <fill>
        <patternFill patternType="none">
          <bgColor auto="1"/>
        </patternFill>
      </fill>
    </dxf>
    <dxf>
      <font>
        <color theme="0"/>
      </font>
      <fill>
        <patternFill patternType="none">
          <bgColor auto="1"/>
        </patternFill>
      </fill>
      <border>
        <left/>
        <right/>
        <top/>
        <bottom/>
        <vertical/>
        <horizontal/>
      </border>
    </dxf>
    <dxf>
      <font>
        <color theme="0"/>
      </font>
    </dxf>
    <dxf>
      <font>
        <color rgb="FFD5E7FD"/>
      </font>
    </dxf>
    <dxf>
      <font>
        <color rgb="FF031E3F"/>
      </font>
    </dxf>
    <dxf>
      <font>
        <color theme="0"/>
      </font>
      <fill>
        <patternFill patternType="none">
          <bgColor auto="1"/>
        </patternFill>
      </fill>
      <border>
        <left/>
        <right/>
        <top/>
        <bottom/>
        <vertical/>
        <horizontal/>
      </border>
    </dxf>
    <dxf>
      <border>
        <bottom style="thin">
          <color auto="1"/>
        </bottom>
        <vertical/>
        <horizontal/>
      </border>
    </dxf>
    <dxf>
      <font>
        <color theme="0"/>
      </font>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ill>
        <patternFill patternType="solid">
          <bgColor theme="0"/>
        </patternFill>
      </fill>
    </dxf>
    <dxf>
      <font>
        <color theme="0"/>
      </font>
    </dxf>
    <dxf>
      <fill>
        <patternFill>
          <bgColor rgb="FFF2F2F2"/>
        </patternFill>
      </fill>
    </dxf>
    <dxf>
      <fill>
        <patternFill>
          <bgColor theme="2"/>
        </patternFill>
      </fill>
    </dxf>
    <dxf>
      <fill>
        <patternFill>
          <bgColor rgb="FFD0CECE"/>
        </patternFill>
      </fill>
    </dxf>
    <dxf>
      <font>
        <color rgb="FF002855"/>
      </font>
      <fill>
        <patternFill>
          <bgColor rgb="FFD0CECE"/>
        </patternFill>
      </fill>
      <border>
        <left style="thin">
          <color rgb="FF031E3F"/>
        </left>
        <right style="thin">
          <color rgb="FF031E3F"/>
        </right>
        <top style="thin">
          <color rgb="FF031E3F"/>
        </top>
        <bottom style="thin">
          <color rgb="FF031E3F"/>
        </bottom>
      </border>
    </dxf>
    <dxf>
      <fill>
        <patternFill patternType="none">
          <bgColor auto="1"/>
        </patternFill>
      </fill>
    </dxf>
    <dxf>
      <fill>
        <patternFill>
          <bgColor rgb="FFF2F2F2"/>
        </patternFill>
      </fill>
    </dxf>
    <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dxf>
    <dxf>
      <font>
        <color rgb="FFF2F2F2"/>
      </font>
    </dxf>
    <dxf>
      <font>
        <color theme="0"/>
      </font>
    </dxf>
    <dxf>
      <font>
        <color theme="0"/>
      </font>
    </dxf>
    <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dxf>
    <dxf>
      <font>
        <color rgb="FFF2F2F2"/>
      </font>
    </dxf>
    <dxf>
      <fill>
        <patternFill>
          <bgColor rgb="FFCCCCCC"/>
        </patternFill>
      </fill>
      <border>
        <left style="thin">
          <color rgb="FFCCCCCC"/>
        </left>
        <right style="thin">
          <color rgb="FFCCCCCC"/>
        </right>
        <top style="thin">
          <color rgb="FFCCCCCC"/>
        </top>
        <bottom style="thin">
          <color rgb="FFCCCCCC"/>
        </bottom>
      </border>
    </dxf>
    <dxf>
      <font>
        <color theme="0"/>
      </font>
    </dxf>
    <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dxf>
    <dxf>
      <font>
        <color theme="0"/>
      </font>
    </dxf>
    <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dxf>
    <dxf>
      <fill>
        <patternFill>
          <bgColor rgb="FFD8E2EC"/>
        </patternFill>
      </fill>
    </dxf>
    <dxf>
      <font>
        <color theme="0" tint="-4.9989318521683403E-2"/>
      </font>
    </dxf>
    <dxf>
      <fill>
        <patternFill>
          <bgColor theme="0" tint="-4.9989318521683403E-2"/>
        </patternFill>
      </fill>
      <border>
        <left style="thin">
          <color theme="0" tint="-4.9989318521683403E-2"/>
        </left>
        <right style="thin">
          <color theme="0" tint="-4.9989318521683403E-2"/>
        </right>
        <top style="thin">
          <color theme="2" tint="-0.749961851863155"/>
        </top>
        <bottom style="thin">
          <color theme="2" tint="-0.749961851863155"/>
        </bottom>
        <vertical/>
        <horizontal/>
      </border>
    </dxf>
    <dxf>
      <font>
        <color theme="0" tint="-4.9989318521683403E-2"/>
      </font>
    </dxf>
    <dxf>
      <fill>
        <patternFill>
          <bgColor rgb="FFF5F5F5"/>
        </patternFill>
      </fill>
    </dxf>
    <dxf>
      <fill>
        <patternFill>
          <bgColor rgb="FFCCCCCC"/>
        </patternFill>
      </fill>
      <border>
        <left style="thin">
          <color rgb="FFCCCCCC"/>
        </left>
        <right style="thin">
          <color rgb="FFCCCCCC"/>
        </right>
        <top style="thin">
          <color rgb="FFCCCCCC"/>
        </top>
        <bottom style="thin">
          <color rgb="FF4D4D4D"/>
        </bottom>
        <vertical/>
        <horizontal/>
      </border>
    </dxf>
    <dxf>
      <fill>
        <patternFill>
          <bgColor rgb="FFFF0000"/>
        </patternFill>
      </fill>
    </dxf>
    <dxf>
      <font>
        <color theme="0"/>
      </font>
      <fill>
        <patternFill patternType="none">
          <bgColor auto="1"/>
        </patternFill>
      </fill>
      <border>
        <left style="thin">
          <color theme="0"/>
        </left>
        <right style="thin">
          <color theme="0"/>
        </right>
        <top style="thin">
          <color theme="0"/>
        </top>
        <bottom style="thin">
          <color theme="0"/>
        </bottom>
        <vertical/>
        <horizontal/>
      </border>
    </dxf>
    <dxf>
      <fill>
        <patternFill>
          <bgColor theme="0"/>
        </patternFill>
      </fill>
    </dxf>
    <dxf>
      <font>
        <color theme="0"/>
      </font>
      <fill>
        <patternFill>
          <bgColor theme="0"/>
        </patternFill>
      </fill>
    </dxf>
    <dxf>
      <fill>
        <patternFill>
          <bgColor rgb="FFFF0000"/>
        </patternFill>
      </fill>
    </dxf>
    <dxf>
      <fill>
        <patternFill>
          <bgColor rgb="FFFF0000"/>
        </patternFill>
      </fill>
    </dxf>
    <dxf>
      <fill>
        <patternFill>
          <bgColor rgb="FFFF0000"/>
        </patternFill>
      </fill>
    </dxf>
    <dxf>
      <font>
        <color theme="0"/>
      </font>
      <fill>
        <patternFill>
          <bgColor theme="0"/>
        </patternFill>
      </fill>
      <border>
        <left style="thin">
          <color theme="0"/>
        </left>
        <right style="thin">
          <color theme="0"/>
        </right>
        <top style="thin">
          <color theme="0"/>
        </top>
        <bottom style="thin">
          <color theme="0"/>
        </bottom>
        <vertical/>
        <horizontal/>
      </border>
    </dxf>
    <dxf>
      <fill>
        <patternFill>
          <bgColor rgb="FFFF0000"/>
        </patternFill>
      </fill>
    </dxf>
    <dxf>
      <font>
        <color rgb="FFFFFF00"/>
      </font>
    </dxf>
  </dxfs>
  <tableStyles count="0" defaultTableStyle="TableStyleMedium2" defaultPivotStyle="PivotStyleLight16"/>
  <colors>
    <mruColors>
      <color rgb="FF002855"/>
      <color rgb="FF404040"/>
      <color rgb="FFD0CECE"/>
      <color rgb="FF4D4D4D"/>
      <color rgb="FFD8E2EC"/>
      <color rgb="FFE7E6E6"/>
      <color rgb="FFD9D9D9"/>
      <color rgb="FFF2F2F2"/>
      <color rgb="FFCCCCCC"/>
      <color rgb="FFFFDF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spc="0" baseline="0">
                <a:solidFill>
                  <a:srgbClr val="002855"/>
                </a:solidFill>
                <a:latin typeface="Frank Ruhl Libre" pitchFamily="2" charset="-79"/>
                <a:ea typeface="+mn-ea"/>
                <a:cs typeface="Frank Ruhl Libre" pitchFamily="2" charset="-79"/>
              </a:defRPr>
            </a:pPr>
            <a:r>
              <a:rPr lang="en-US" sz="1200" b="0">
                <a:solidFill>
                  <a:srgbClr val="002855"/>
                </a:solidFill>
                <a:latin typeface="Frank Ruhl Libre" pitchFamily="2" charset="-79"/>
                <a:cs typeface="Frank Ruhl Libre" pitchFamily="2" charset="-79"/>
              </a:rPr>
              <a:t>Unit Rent</a:t>
            </a:r>
          </a:p>
        </c:rich>
      </c:tx>
      <c:layout>
        <c:manualLayout>
          <c:xMode val="edge"/>
          <c:yMode val="edge"/>
          <c:x val="0.448780495947599"/>
          <c:y val="2.271725595299809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2855"/>
              </a:solidFill>
              <a:latin typeface="Frank Ruhl Libre" pitchFamily="2" charset="-79"/>
              <a:ea typeface="+mn-ea"/>
              <a:cs typeface="Frank Ruhl Libre" pitchFamily="2" charset="-79"/>
            </a:defRPr>
          </a:pPr>
          <a:endParaRPr lang="en-US"/>
        </a:p>
      </c:txPr>
    </c:title>
    <c:autoTitleDeleted val="0"/>
    <c:plotArea>
      <c:layout/>
      <c:barChart>
        <c:barDir val="col"/>
        <c:grouping val="clustered"/>
        <c:varyColors val="0"/>
        <c:ser>
          <c:idx val="0"/>
          <c:order val="0"/>
          <c:spPr>
            <a:solidFill>
              <a:srgbClr val="002855"/>
            </a:solidFill>
            <a:ln>
              <a:noFill/>
            </a:ln>
            <a:effectLst/>
          </c:spPr>
          <c:invertIfNegative val="0"/>
          <c:cat>
            <c:strRef>
              <c:f>[0]!Unit_Type_Summary</c:f>
              <c:strCache>
                <c:ptCount val="1"/>
              </c:strCache>
            </c:strRef>
          </c:cat>
          <c:val>
            <c:numRef>
              <c:f>[0]!Summary_SCHEDULED_RENTS</c:f>
              <c:numCache>
                <c:formatCode>General</c:formatCode>
                <c:ptCount val="1"/>
                <c:pt idx="0">
                  <c:v>0</c:v>
                </c:pt>
              </c:numCache>
            </c:numRef>
          </c:val>
          <c:extLst>
            <c:ext xmlns:c16="http://schemas.microsoft.com/office/drawing/2014/chart" uri="{C3380CC4-5D6E-409C-BE32-E72D297353CC}">
              <c16:uniqueId val="{00000000-6D1F-4DF1-8BDD-2BFCEAAE4568}"/>
            </c:ext>
          </c:extLst>
        </c:ser>
        <c:dLbls>
          <c:showLegendKey val="0"/>
          <c:showVal val="0"/>
          <c:showCatName val="0"/>
          <c:showSerName val="0"/>
          <c:showPercent val="0"/>
          <c:showBubbleSize val="0"/>
        </c:dLbls>
        <c:gapWidth val="150"/>
        <c:axId val="2130569360"/>
        <c:axId val="2127710832"/>
      </c:barChart>
      <c:catAx>
        <c:axId val="2130569360"/>
        <c:scaling>
          <c:orientation val="minMax"/>
        </c:scaling>
        <c:delete val="0"/>
        <c:axPos val="b"/>
        <c:title>
          <c:tx>
            <c:rich>
              <a:bodyPr rot="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r>
                  <a:rPr lang="en-US" baseline="0">
                    <a:solidFill>
                      <a:srgbClr val="404040"/>
                    </a:solidFill>
                    <a:latin typeface="Frank Ruhl Libre" pitchFamily="2" charset="-79"/>
                    <a:cs typeface="Frank Ruhl Libre" pitchFamily="2" charset="-79"/>
                  </a:rPr>
                  <a:t>Unit Type</a:t>
                </a:r>
              </a:p>
            </c:rich>
          </c:tx>
          <c:overlay val="0"/>
          <c:spPr>
            <a:noFill/>
            <a:ln>
              <a:noFill/>
            </a:ln>
            <a:effectLst/>
          </c:spPr>
          <c:txPr>
            <a:bodyPr rot="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endParaRPr lang="en-US"/>
          </a:p>
        </c:txPr>
        <c:crossAx val="2127710832"/>
        <c:crosses val="autoZero"/>
        <c:auto val="1"/>
        <c:lblAlgn val="ctr"/>
        <c:lblOffset val="100"/>
        <c:noMultiLvlLbl val="0"/>
      </c:catAx>
      <c:valAx>
        <c:axId val="2127710832"/>
        <c:scaling>
          <c:orientation val="minMax"/>
        </c:scaling>
        <c:delete val="0"/>
        <c:axPos val="l"/>
        <c:title>
          <c:tx>
            <c:rich>
              <a:bodyPr rot="-540000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r>
                  <a:rPr lang="en-US" baseline="0">
                    <a:solidFill>
                      <a:srgbClr val="404040"/>
                    </a:solidFill>
                    <a:latin typeface="Frank Ruhl Libre" pitchFamily="2" charset="-79"/>
                    <a:cs typeface="Frank Ruhl Libre" pitchFamily="2" charset="-79"/>
                  </a:rPr>
                  <a:t>Rent per Month</a:t>
                </a:r>
              </a:p>
            </c:rich>
          </c:tx>
          <c:overlay val="0"/>
          <c:spPr>
            <a:noFill/>
            <a:ln>
              <a:noFill/>
            </a:ln>
            <a:effectLst/>
          </c:spPr>
          <c:txPr>
            <a:bodyPr rot="-540000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404040"/>
                </a:solidFill>
                <a:latin typeface="Frank Ruhl Libre" pitchFamily="2" charset="-79"/>
                <a:ea typeface="+mn-ea"/>
                <a:cs typeface="Frank Ruhl Libre" pitchFamily="2" charset="-79"/>
              </a:defRPr>
            </a:pPr>
            <a:endParaRPr lang="en-US"/>
          </a:p>
        </c:txPr>
        <c:crossAx val="2130569360"/>
        <c:crosses val="autoZero"/>
        <c:crossBetween val="between"/>
      </c:valAx>
      <c:spPr>
        <a:solidFill>
          <a:sysClr val="window" lastClr="FFFFFF"/>
        </a:solidFill>
        <a:ln>
          <a:noFill/>
        </a:ln>
        <a:effectLst/>
      </c:spPr>
    </c:plotArea>
    <c:plotVisOnly val="1"/>
    <c:dispBlanksAs val="gap"/>
    <c:showDLblsOverMax val="0"/>
  </c:chart>
  <c:spPr>
    <a:solidFill>
      <a:sysClr val="window" lastClr="FFFFFF"/>
    </a:solid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a:solidFill>
                  <a:schemeClr val="tx2"/>
                </a:solidFill>
                <a:latin typeface="Frank Ruhl Libre" pitchFamily="2" charset="-79"/>
                <a:cs typeface="Frank Ruhl Libre" pitchFamily="2" charset="-79"/>
              </a:defRPr>
            </a:pPr>
            <a:r>
              <a:rPr lang="en-US" sz="1200" b="0" kern="1200" spc="0" baseline="0">
                <a:solidFill>
                  <a:schemeClr val="tx2"/>
                </a:solidFill>
                <a:latin typeface="Frank Ruhl Libre" pitchFamily="2" charset="-79"/>
                <a:cs typeface="Frank Ruhl Libre" pitchFamily="2" charset="-79"/>
              </a:rPr>
              <a:t>Unit Distribution</a:t>
            </a:r>
          </a:p>
        </c:rich>
      </c:tx>
      <c:layout>
        <c:manualLayout>
          <c:xMode val="edge"/>
          <c:yMode val="edge"/>
          <c:x val="0.396065017143994"/>
          <c:y val="3.9330887318196103E-2"/>
        </c:manualLayout>
      </c:layout>
      <c:overlay val="0"/>
      <c:spPr>
        <a:ln>
          <a:noFill/>
        </a:ln>
      </c:spPr>
    </c:title>
    <c:autoTitleDeleted val="0"/>
    <c:view3D>
      <c:rotX val="30"/>
      <c:hPercent val="70"/>
      <c:rotY val="120"/>
      <c:depthPercent val="50"/>
      <c:rAngAx val="1"/>
    </c:view3D>
    <c:floor>
      <c:thickness val="0"/>
    </c:floor>
    <c:sideWall>
      <c:thickness val="0"/>
    </c:sideWall>
    <c:backWall>
      <c:thickness val="0"/>
    </c:backWall>
    <c:plotArea>
      <c:layout>
        <c:manualLayout>
          <c:layoutTarget val="inner"/>
          <c:xMode val="edge"/>
          <c:yMode val="edge"/>
          <c:x val="0.17539505271554101"/>
          <c:y val="0.31287586799397799"/>
          <c:w val="0.64456167592737401"/>
          <c:h val="0.53236208649594496"/>
        </c:manualLayout>
      </c:layout>
      <c:pie3DChart>
        <c:varyColors val="1"/>
        <c:ser>
          <c:idx val="0"/>
          <c:order val="0"/>
          <c:dPt>
            <c:idx val="0"/>
            <c:bubble3D val="0"/>
            <c:spPr>
              <a:ln>
                <a:solidFill>
                  <a:schemeClr val="accent1"/>
                </a:solidFill>
              </a:ln>
            </c:spPr>
            <c:extLst>
              <c:ext xmlns:c16="http://schemas.microsoft.com/office/drawing/2014/chart" uri="{C3380CC4-5D6E-409C-BE32-E72D297353CC}">
                <c16:uniqueId val="{00000001-3169-492C-AF9C-31F4DDB78AF7}"/>
              </c:ext>
            </c:extLst>
          </c:dPt>
          <c:dPt>
            <c:idx val="1"/>
            <c:bubble3D val="0"/>
            <c:spPr>
              <a:solidFill>
                <a:schemeClr val="tx2"/>
              </a:solidFill>
            </c:spPr>
            <c:extLst>
              <c:ext xmlns:c16="http://schemas.microsoft.com/office/drawing/2014/chart" uri="{C3380CC4-5D6E-409C-BE32-E72D297353CC}">
                <c16:uniqueId val="{00000003-3169-492C-AF9C-31F4DDB78AF7}"/>
              </c:ext>
            </c:extLst>
          </c:dPt>
          <c:dPt>
            <c:idx val="2"/>
            <c:bubble3D val="0"/>
            <c:spPr>
              <a:solidFill>
                <a:schemeClr val="bg1">
                  <a:lumMod val="75000"/>
                </a:schemeClr>
              </a:solidFill>
            </c:spPr>
            <c:extLst>
              <c:ext xmlns:c16="http://schemas.microsoft.com/office/drawing/2014/chart" uri="{C3380CC4-5D6E-409C-BE32-E72D297353CC}">
                <c16:uniqueId val="{00000005-3169-492C-AF9C-31F4DDB78AF7}"/>
              </c:ext>
            </c:extLst>
          </c:dPt>
          <c:dPt>
            <c:idx val="3"/>
            <c:bubble3D val="0"/>
            <c:extLst>
              <c:ext xmlns:c16="http://schemas.microsoft.com/office/drawing/2014/chart" uri="{C3380CC4-5D6E-409C-BE32-E72D297353CC}">
                <c16:uniqueId val="{00000006-3169-492C-AF9C-31F4DDB78AF7}"/>
              </c:ext>
            </c:extLst>
          </c:dPt>
          <c:dLbls>
            <c:spPr>
              <a:noFill/>
              <a:ln>
                <a:noFill/>
              </a:ln>
              <a:effectLst/>
            </c:spPr>
            <c:txPr>
              <a:bodyPr/>
              <a:lstStyle/>
              <a:p>
                <a:pPr>
                  <a:defRPr sz="750" b="0">
                    <a:latin typeface="Frank Ruhl Libre" pitchFamily="2" charset="-79"/>
                    <a:cs typeface="Frank Ruhl Libre" pitchFamily="2" charset="-79"/>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[0]!Unit_Type_Summary</c:f>
              <c:strCache>
                <c:ptCount val="1"/>
              </c:strCache>
            </c:strRef>
          </c:cat>
          <c:val>
            <c:numRef>
              <c:f>[0]!Unit_Amt_Summary</c:f>
              <c:numCache>
                <c:formatCode>General</c:formatCode>
                <c:ptCount val="1"/>
                <c:pt idx="0">
                  <c:v>0</c:v>
                </c:pt>
              </c:numCache>
            </c:numRef>
          </c:val>
          <c:extLst>
            <c:ext xmlns:c16="http://schemas.microsoft.com/office/drawing/2014/chart" uri="{C3380CC4-5D6E-409C-BE32-E72D297353CC}">
              <c16:uniqueId val="{00000007-3169-492C-AF9C-31F4DDB78AF7}"/>
            </c:ext>
          </c:extLst>
        </c:ser>
        <c:dLbls>
          <c:showLegendKey val="0"/>
          <c:showVal val="0"/>
          <c:showCatName val="1"/>
          <c:showSerName val="0"/>
          <c:showPercent val="1"/>
          <c:showBubbleSize val="0"/>
          <c:showLeaderLines val="0"/>
        </c:dLbls>
      </c:pie3DChart>
    </c:plotArea>
    <c:plotVisOnly val="1"/>
    <c:dispBlanksAs val="zero"/>
    <c:showDLblsOverMax val="0"/>
  </c:chart>
  <c:spPr>
    <a:noFill/>
    <a:ln>
      <a:noFill/>
    </a:ln>
  </c:spPr>
  <c:printSettings>
    <c:headerFooter alignWithMargins="0"/>
    <c:pageMargins b="0.75000000000000799" l="0.70000000000000295" r="0.70000000000000295" t="0.75000000000000799"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solidFill>
                  <a:srgbClr val="003268"/>
                </a:solidFill>
                <a:latin typeface="Frank Ruhl Libre" pitchFamily="2" charset="-79"/>
                <a:cs typeface="Frank Ruhl Libre" pitchFamily="2" charset="-79"/>
              </a:defRPr>
            </a:pPr>
            <a:r>
              <a:rPr lang="en-US" sz="1000">
                <a:solidFill>
                  <a:schemeClr val="tx2"/>
                </a:solidFill>
                <a:latin typeface="Frank Ruhl Libre" pitchFamily="2" charset="-79"/>
                <a:cs typeface="Frank Ruhl Libre" pitchFamily="2" charset="-79"/>
              </a:rPr>
              <a:t>Return on Equity Scenarios</a:t>
            </a:r>
          </a:p>
        </c:rich>
      </c:tx>
      <c:layout>
        <c:manualLayout>
          <c:xMode val="edge"/>
          <c:yMode val="edge"/>
          <c:x val="0.293604420479186"/>
          <c:y val="6.7860590702024303E-3"/>
        </c:manualLayout>
      </c:layout>
      <c:overlay val="0"/>
      <c:spPr>
        <a:noFill/>
        <a:ln>
          <a:noFill/>
        </a:ln>
        <a:effectLst/>
      </c:spPr>
    </c:title>
    <c:autoTitleDeleted val="0"/>
    <c:plotArea>
      <c:layout>
        <c:manualLayout>
          <c:layoutTarget val="inner"/>
          <c:xMode val="edge"/>
          <c:yMode val="edge"/>
          <c:x val="0.24609647008409699"/>
          <c:y val="0.165384970736417"/>
          <c:w val="0.70327044857267396"/>
          <c:h val="0.69632507615380201"/>
        </c:manualLayout>
      </c:layout>
      <c:barChart>
        <c:barDir val="col"/>
        <c:grouping val="clustered"/>
        <c:varyColors val="0"/>
        <c:ser>
          <c:idx val="0"/>
          <c:order val="0"/>
          <c:spPr>
            <a:solidFill>
              <a:srgbClr val="002060"/>
            </a:solidFill>
          </c:spPr>
          <c:invertIfNegative val="0"/>
          <c:cat>
            <c:strRef>
              <c:f>Calculations!$M$31:$O$31</c:f>
              <c:strCache>
                <c:ptCount val="3"/>
                <c:pt idx="0">
                  <c:v>REFINANCE</c:v>
                </c:pt>
                <c:pt idx="1">
                  <c:v>SELL &amp; EXCHANGE</c:v>
                </c:pt>
                <c:pt idx="2">
                  <c:v>HOLD</c:v>
                </c:pt>
              </c:strCache>
            </c:strRef>
          </c:cat>
          <c:val>
            <c:numRef>
              <c:f>Calculations!$M$32:$O$32</c:f>
              <c:numCache>
                <c:formatCode>0.00%</c:formatCode>
                <c:ptCount val="3"/>
                <c:pt idx="0">
                  <c:v>0</c:v>
                </c:pt>
                <c:pt idx="1">
                  <c:v>0</c:v>
                </c:pt>
                <c:pt idx="2">
                  <c:v>0</c:v>
                </c:pt>
              </c:numCache>
            </c:numRef>
          </c:val>
          <c:extLst>
            <c:ext xmlns:c16="http://schemas.microsoft.com/office/drawing/2014/chart" uri="{C3380CC4-5D6E-409C-BE32-E72D297353CC}">
              <c16:uniqueId val="{00000003-AB44-40D5-ADBE-4508BBA5D49E}"/>
            </c:ext>
          </c:extLst>
        </c:ser>
        <c:dLbls>
          <c:showLegendKey val="0"/>
          <c:showVal val="0"/>
          <c:showCatName val="0"/>
          <c:showSerName val="0"/>
          <c:showPercent val="0"/>
          <c:showBubbleSize val="0"/>
        </c:dLbls>
        <c:gapWidth val="219"/>
        <c:overlap val="-27"/>
        <c:axId val="2137798608"/>
        <c:axId val="2137801968"/>
      </c:barChart>
      <c:catAx>
        <c:axId val="2137798608"/>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750">
                <a:solidFill>
                  <a:srgbClr val="404040"/>
                </a:solidFill>
                <a:latin typeface="Frank Ruhl Libre" pitchFamily="2" charset="-79"/>
                <a:cs typeface="Frank Ruhl Libre" pitchFamily="2" charset="-79"/>
              </a:defRPr>
            </a:pPr>
            <a:endParaRPr lang="en-US"/>
          </a:p>
        </c:txPr>
        <c:crossAx val="2137801968"/>
        <c:crosses val="autoZero"/>
        <c:auto val="1"/>
        <c:lblAlgn val="ctr"/>
        <c:lblOffset val="100"/>
        <c:noMultiLvlLbl val="0"/>
      </c:catAx>
      <c:valAx>
        <c:axId val="2137801968"/>
        <c:scaling>
          <c:orientation val="minMax"/>
        </c:scaling>
        <c:delete val="0"/>
        <c:axPos val="l"/>
        <c:majorGridlines>
          <c:spPr>
            <a:ln w="9525" cap="flat" cmpd="sng" algn="ctr">
              <a:noFill/>
              <a:round/>
            </a:ln>
            <a:effectLst/>
          </c:spPr>
        </c:majorGridlines>
        <c:title>
          <c:tx>
            <c:rich>
              <a:bodyPr rot="-5400000" vert="horz"/>
              <a:lstStyle/>
              <a:p>
                <a:pPr>
                  <a:defRPr sz="750">
                    <a:solidFill>
                      <a:srgbClr val="404040"/>
                    </a:solidFill>
                    <a:latin typeface="Frank Ruhl Libre" pitchFamily="2" charset="-79"/>
                    <a:cs typeface="Frank Ruhl Libre" pitchFamily="2" charset="-79"/>
                  </a:defRPr>
                </a:pPr>
                <a:r>
                  <a:rPr lang="en-US" sz="750">
                    <a:solidFill>
                      <a:srgbClr val="404040"/>
                    </a:solidFill>
                    <a:latin typeface="Frank Ruhl Libre" pitchFamily="2" charset="-79"/>
                    <a:cs typeface="Frank Ruhl Libre" pitchFamily="2" charset="-79"/>
                  </a:rPr>
                  <a:t>Return on Equity</a:t>
                </a:r>
              </a:p>
            </c:rich>
          </c:tx>
          <c:layout>
            <c:manualLayout>
              <c:xMode val="edge"/>
              <c:yMode val="edge"/>
              <c:x val="9.3642808537821698E-2"/>
              <c:y val="0.34385087639907103"/>
            </c:manualLayout>
          </c:layout>
          <c:overlay val="0"/>
          <c:spPr>
            <a:noFill/>
            <a:ln>
              <a:noFill/>
            </a:ln>
            <a:effectLst/>
          </c:spPr>
        </c:title>
        <c:numFmt formatCode="0.00%" sourceLinked="1"/>
        <c:majorTickMark val="none"/>
        <c:minorTickMark val="none"/>
        <c:tickLblPos val="nextTo"/>
        <c:spPr>
          <a:noFill/>
          <a:ln>
            <a:noFill/>
          </a:ln>
          <a:effectLst/>
        </c:spPr>
        <c:txPr>
          <a:bodyPr rot="-60000000" vert="horz"/>
          <a:lstStyle/>
          <a:p>
            <a:pPr>
              <a:defRPr sz="750">
                <a:solidFill>
                  <a:srgbClr val="404040"/>
                </a:solidFill>
                <a:latin typeface="Frank Ruhl Libre" pitchFamily="2" charset="-79"/>
                <a:cs typeface="Frank Ruhl Libre" pitchFamily="2" charset="-79"/>
              </a:defRPr>
            </a:pPr>
            <a:endParaRPr lang="en-US"/>
          </a:p>
        </c:txPr>
        <c:crossAx val="2137798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700" b="0">
          <a:solidFill>
            <a:sysClr val="windowText" lastClr="000000"/>
          </a:solidFill>
          <a:latin typeface="+mn-lt"/>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solidFill>
                  <a:srgbClr val="003268"/>
                </a:solidFill>
                <a:latin typeface="Frank Ruhl Libre" pitchFamily="2" charset="-79"/>
                <a:cs typeface="Frank Ruhl Libre" pitchFamily="2" charset="-79"/>
              </a:defRPr>
            </a:pPr>
            <a:r>
              <a:rPr lang="en-US" sz="1000">
                <a:solidFill>
                  <a:schemeClr val="tx2"/>
                </a:solidFill>
                <a:latin typeface="Frank Ruhl Libre" pitchFamily="2" charset="-79"/>
                <a:cs typeface="Frank Ruhl Libre" pitchFamily="2" charset="-79"/>
              </a:rPr>
              <a:t>Cash Flow Scenarios</a:t>
            </a:r>
          </a:p>
        </c:rich>
      </c:tx>
      <c:layout>
        <c:manualLayout>
          <c:xMode val="edge"/>
          <c:yMode val="edge"/>
          <c:x val="0.34689276682144099"/>
          <c:y val="4.0812730576510097E-3"/>
        </c:manualLayout>
      </c:layout>
      <c:overlay val="0"/>
      <c:spPr>
        <a:noFill/>
        <a:ln>
          <a:noFill/>
        </a:ln>
        <a:effectLst/>
      </c:spPr>
    </c:title>
    <c:autoTitleDeleted val="0"/>
    <c:plotArea>
      <c:layout>
        <c:manualLayout>
          <c:layoutTarget val="inner"/>
          <c:xMode val="edge"/>
          <c:yMode val="edge"/>
          <c:x val="0.24125257815623699"/>
          <c:y val="0.177961602820149"/>
          <c:w val="0.71105177887831905"/>
          <c:h val="0.67242649564011303"/>
        </c:manualLayout>
      </c:layout>
      <c:barChart>
        <c:barDir val="col"/>
        <c:grouping val="clustered"/>
        <c:varyColors val="0"/>
        <c:ser>
          <c:idx val="0"/>
          <c:order val="0"/>
          <c:spPr>
            <a:solidFill>
              <a:srgbClr val="002855"/>
            </a:solidFill>
          </c:spPr>
          <c:invertIfNegative val="0"/>
          <c:cat>
            <c:strRef>
              <c:f>Calculations!$M$28:$O$28</c:f>
              <c:strCache>
                <c:ptCount val="3"/>
                <c:pt idx="0">
                  <c:v>REFINANCE</c:v>
                </c:pt>
                <c:pt idx="1">
                  <c:v>SELL &amp; EXCHANGE</c:v>
                </c:pt>
                <c:pt idx="2">
                  <c:v>HOLD</c:v>
                </c:pt>
              </c:strCache>
            </c:strRef>
          </c:cat>
          <c:val>
            <c:numRef>
              <c:f>Calculations!$M$29:$O$29</c:f>
              <c:numCache>
                <c:formatCode>"$"#,##0</c:formatCode>
                <c:ptCount val="3"/>
                <c:pt idx="0">
                  <c:v>0</c:v>
                </c:pt>
                <c:pt idx="1">
                  <c:v>0</c:v>
                </c:pt>
                <c:pt idx="2">
                  <c:v>0</c:v>
                </c:pt>
              </c:numCache>
            </c:numRef>
          </c:val>
          <c:extLst>
            <c:ext xmlns:c16="http://schemas.microsoft.com/office/drawing/2014/chart" uri="{C3380CC4-5D6E-409C-BE32-E72D297353CC}">
              <c16:uniqueId val="{00000003-A99D-427C-95E0-7F3AC5DC4153}"/>
            </c:ext>
          </c:extLst>
        </c:ser>
        <c:dLbls>
          <c:showLegendKey val="0"/>
          <c:showVal val="0"/>
          <c:showCatName val="0"/>
          <c:showSerName val="0"/>
          <c:showPercent val="0"/>
          <c:showBubbleSize val="0"/>
        </c:dLbls>
        <c:gapWidth val="219"/>
        <c:overlap val="-27"/>
        <c:axId val="2137849264"/>
        <c:axId val="2137852656"/>
      </c:barChart>
      <c:catAx>
        <c:axId val="2137849264"/>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vert="horz"/>
          <a:lstStyle/>
          <a:p>
            <a:pPr>
              <a:defRPr sz="750">
                <a:solidFill>
                  <a:srgbClr val="404040"/>
                </a:solidFill>
                <a:latin typeface="Frank Ruhl Libre" pitchFamily="2" charset="-79"/>
                <a:cs typeface="Frank Ruhl Libre" pitchFamily="2" charset="-79"/>
              </a:defRPr>
            </a:pPr>
            <a:endParaRPr lang="en-US"/>
          </a:p>
        </c:txPr>
        <c:crossAx val="2137852656"/>
        <c:crosses val="autoZero"/>
        <c:auto val="1"/>
        <c:lblAlgn val="ctr"/>
        <c:lblOffset val="100"/>
        <c:noMultiLvlLbl val="0"/>
      </c:catAx>
      <c:valAx>
        <c:axId val="2137852656"/>
        <c:scaling>
          <c:orientation val="minMax"/>
        </c:scaling>
        <c:delete val="0"/>
        <c:axPos val="l"/>
        <c:majorGridlines>
          <c:spPr>
            <a:ln w="9525" cap="flat" cmpd="sng" algn="ctr">
              <a:noFill/>
              <a:round/>
            </a:ln>
            <a:effectLst/>
          </c:spPr>
        </c:majorGridlines>
        <c:title>
          <c:tx>
            <c:rich>
              <a:bodyPr rot="-5400000" vert="horz"/>
              <a:lstStyle/>
              <a:p>
                <a:pPr>
                  <a:defRPr>
                    <a:solidFill>
                      <a:srgbClr val="404040"/>
                    </a:solidFill>
                    <a:latin typeface="Frank Ruhl Libre" pitchFamily="2" charset="-79"/>
                    <a:cs typeface="Frank Ruhl Libre" pitchFamily="2" charset="-79"/>
                  </a:defRPr>
                </a:pPr>
                <a:r>
                  <a:rPr lang="en-US" sz="750">
                    <a:solidFill>
                      <a:srgbClr val="404040"/>
                    </a:solidFill>
                    <a:latin typeface="Frank Ruhl Libre" pitchFamily="2" charset="-79"/>
                    <a:cs typeface="Frank Ruhl Libre" pitchFamily="2" charset="-79"/>
                  </a:rPr>
                  <a:t>Cash Flow After Debt Service</a:t>
                </a:r>
              </a:p>
            </c:rich>
          </c:tx>
          <c:layout>
            <c:manualLayout>
              <c:xMode val="edge"/>
              <c:yMode val="edge"/>
              <c:x val="7.1000750297591605E-2"/>
              <c:y val="0.15438132760321799"/>
            </c:manualLayout>
          </c:layout>
          <c:overlay val="0"/>
          <c:spPr>
            <a:noFill/>
            <a:ln>
              <a:noFill/>
            </a:ln>
            <a:effectLst/>
          </c:spPr>
        </c:title>
        <c:numFmt formatCode="&quot;$&quot;#,##0" sourceLinked="1"/>
        <c:majorTickMark val="none"/>
        <c:minorTickMark val="none"/>
        <c:tickLblPos val="nextTo"/>
        <c:spPr>
          <a:noFill/>
          <a:ln>
            <a:noFill/>
          </a:ln>
          <a:effectLst/>
        </c:spPr>
        <c:txPr>
          <a:bodyPr rot="-60000000" vert="horz"/>
          <a:lstStyle/>
          <a:p>
            <a:pPr>
              <a:defRPr sz="750">
                <a:solidFill>
                  <a:srgbClr val="404040"/>
                </a:solidFill>
                <a:latin typeface="Frank Ruhl Libre" pitchFamily="2" charset="-79"/>
                <a:cs typeface="Frank Ruhl Libre" pitchFamily="2" charset="-79"/>
              </a:defRPr>
            </a:pPr>
            <a:endParaRPr lang="en-US"/>
          </a:p>
        </c:txPr>
        <c:crossAx val="21378492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700" b="0">
          <a:solidFill>
            <a:sysClr val="windowText" lastClr="000000"/>
          </a:solidFill>
          <a:latin typeface="+mn-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Price/SF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F7F32"/>
            </a:solidFill>
            <a:ln>
              <a:noFill/>
            </a:ln>
            <a:effectLst/>
          </c:spPr>
          <c:invertIfNegative val="0"/>
          <c:dPt>
            <c:idx val="0"/>
            <c:invertIfNegative val="0"/>
            <c:bubble3D val="0"/>
            <c:spPr>
              <a:solidFill>
                <a:srgbClr val="002855"/>
              </a:solidFill>
              <a:ln>
                <a:noFill/>
              </a:ln>
              <a:effectLst/>
            </c:spPr>
            <c:extLst>
              <c:ext xmlns:c16="http://schemas.microsoft.com/office/drawing/2014/chart" uri="{C3380CC4-5D6E-409C-BE32-E72D297353CC}">
                <c16:uniqueId val="{00000001-EC78-49F5-8DF7-C612A5DB08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'Comps Charts'!$E$5:$E$15</c:f>
              <c:numCache>
                <c:formatCode>"$"#,##0.00</c:formatCode>
                <c:ptCount val="11"/>
                <c:pt idx="0">
                  <c:v>5.15</c:v>
                </c:pt>
                <c:pt idx="1">
                  <c:v>4.5</c:v>
                </c:pt>
                <c:pt idx="2">
                  <c:v>4.75</c:v>
                </c:pt>
                <c:pt idx="3">
                  <c:v>5.25</c:v>
                </c:pt>
                <c:pt idx="4">
                  <c:v>4.8</c:v>
                </c:pt>
              </c:numCache>
            </c:numRef>
          </c:val>
          <c:extLst>
            <c:ext xmlns:c16="http://schemas.microsoft.com/office/drawing/2014/chart" uri="{C3380CC4-5D6E-409C-BE32-E72D297353CC}">
              <c16:uniqueId val="{00000002-EC78-49F5-8DF7-C612A5DB0855}"/>
            </c:ext>
          </c:extLst>
        </c:ser>
        <c:dLbls>
          <c:dLblPos val="outEnd"/>
          <c:showLegendKey val="0"/>
          <c:showVal val="1"/>
          <c:showCatName val="0"/>
          <c:showSerName val="0"/>
          <c:showPercent val="0"/>
          <c:showBubbleSize val="0"/>
        </c:dLbls>
        <c:gapWidth val="219"/>
        <c:axId val="451435472"/>
        <c:axId val="451413008"/>
      </c:barChart>
      <c:lineChart>
        <c:grouping val="standard"/>
        <c:varyColors val="0"/>
        <c:ser>
          <c:idx val="1"/>
          <c:order val="1"/>
          <c:spPr>
            <a:ln w="28575" cap="rnd">
              <a:solidFill>
                <a:schemeClr val="tx1">
                  <a:lumMod val="50000"/>
                  <a:lumOff val="5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EC78-49F5-8DF7-C612A5DB0855}"/>
                </c:ext>
              </c:extLst>
            </c:dLbl>
            <c:dLbl>
              <c:idx val="1"/>
              <c:delete val="1"/>
              <c:extLst>
                <c:ext xmlns:c15="http://schemas.microsoft.com/office/drawing/2012/chart" uri="{CE6537A1-D6FC-4f65-9D91-7224C49458BB}"/>
                <c:ext xmlns:c16="http://schemas.microsoft.com/office/drawing/2014/chart" uri="{C3380CC4-5D6E-409C-BE32-E72D297353CC}">
                  <c16:uniqueId val="{00000004-EC78-49F5-8DF7-C612A5DB0855}"/>
                </c:ext>
              </c:extLst>
            </c:dLbl>
            <c:dLbl>
              <c:idx val="2"/>
              <c:delete val="1"/>
              <c:extLst>
                <c:ext xmlns:c15="http://schemas.microsoft.com/office/drawing/2012/chart" uri="{CE6537A1-D6FC-4f65-9D91-7224C49458BB}"/>
                <c:ext xmlns:c16="http://schemas.microsoft.com/office/drawing/2014/chart" uri="{C3380CC4-5D6E-409C-BE32-E72D297353CC}">
                  <c16:uniqueId val="{00000005-EC78-49F5-8DF7-C612A5DB0855}"/>
                </c:ext>
              </c:extLst>
            </c:dLbl>
            <c:dLbl>
              <c:idx val="3"/>
              <c:delete val="1"/>
              <c:extLst>
                <c:ext xmlns:c15="http://schemas.microsoft.com/office/drawing/2012/chart" uri="{CE6537A1-D6FC-4f65-9D91-7224C49458BB}"/>
                <c:ext xmlns:c16="http://schemas.microsoft.com/office/drawing/2014/chart" uri="{C3380CC4-5D6E-409C-BE32-E72D297353CC}">
                  <c16:uniqueId val="{00000006-EC78-49F5-8DF7-C612A5DB0855}"/>
                </c:ext>
              </c:extLst>
            </c:dLbl>
            <c:dLbl>
              <c:idx val="4"/>
              <c:delete val="1"/>
              <c:extLst>
                <c:ext xmlns:c15="http://schemas.microsoft.com/office/drawing/2012/chart" uri="{CE6537A1-D6FC-4f65-9D91-7224C49458BB}"/>
                <c:ext xmlns:c16="http://schemas.microsoft.com/office/drawing/2014/chart" uri="{C3380CC4-5D6E-409C-BE32-E72D297353CC}">
                  <c16:uniqueId val="{00000007-EC78-49F5-8DF7-C612A5DB0855}"/>
                </c:ext>
              </c:extLst>
            </c:dLbl>
            <c:dLbl>
              <c:idx val="5"/>
              <c:delete val="1"/>
              <c:extLst>
                <c:ext xmlns:c15="http://schemas.microsoft.com/office/drawing/2012/chart" uri="{CE6537A1-D6FC-4f65-9D91-7224C49458BB}"/>
                <c:ext xmlns:c16="http://schemas.microsoft.com/office/drawing/2014/chart" uri="{C3380CC4-5D6E-409C-BE32-E72D297353CC}">
                  <c16:uniqueId val="{00000008-EC78-49F5-8DF7-C612A5DB0855}"/>
                </c:ext>
              </c:extLst>
            </c:dLbl>
            <c:dLbl>
              <c:idx val="6"/>
              <c:delete val="1"/>
              <c:extLst>
                <c:ext xmlns:c15="http://schemas.microsoft.com/office/drawing/2012/chart" uri="{CE6537A1-D6FC-4f65-9D91-7224C49458BB}"/>
                <c:ext xmlns:c16="http://schemas.microsoft.com/office/drawing/2014/chart" uri="{C3380CC4-5D6E-409C-BE32-E72D297353CC}">
                  <c16:uniqueId val="{00000009-EC78-49F5-8DF7-C612A5DB0855}"/>
                </c:ext>
              </c:extLst>
            </c:dLbl>
            <c:dLbl>
              <c:idx val="7"/>
              <c:delete val="1"/>
              <c:extLst>
                <c:ext xmlns:c15="http://schemas.microsoft.com/office/drawing/2012/chart" uri="{CE6537A1-D6FC-4f65-9D91-7224C49458BB}"/>
                <c:ext xmlns:c16="http://schemas.microsoft.com/office/drawing/2014/chart" uri="{C3380CC4-5D6E-409C-BE32-E72D297353CC}">
                  <c16:uniqueId val="{0000000A-EC78-49F5-8DF7-C612A5DB0855}"/>
                </c:ext>
              </c:extLst>
            </c:dLbl>
            <c:dLbl>
              <c:idx val="8"/>
              <c:delete val="1"/>
              <c:extLst>
                <c:ext xmlns:c15="http://schemas.microsoft.com/office/drawing/2012/chart" uri="{CE6537A1-D6FC-4f65-9D91-7224C49458BB}"/>
                <c:ext xmlns:c16="http://schemas.microsoft.com/office/drawing/2014/chart" uri="{C3380CC4-5D6E-409C-BE32-E72D297353CC}">
                  <c16:uniqueId val="{0000000B-EC78-49F5-8DF7-C612A5DB0855}"/>
                </c:ext>
              </c:extLst>
            </c:dLbl>
            <c:dLbl>
              <c:idx val="9"/>
              <c:delete val="1"/>
              <c:extLst>
                <c:ext xmlns:c15="http://schemas.microsoft.com/office/drawing/2012/chart" uri="{CE6537A1-D6FC-4f65-9D91-7224C49458BB}"/>
                <c:ext xmlns:c16="http://schemas.microsoft.com/office/drawing/2014/chart" uri="{C3380CC4-5D6E-409C-BE32-E72D297353CC}">
                  <c16:uniqueId val="{0000000C-EC78-49F5-8DF7-C612A5DB08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'Comps Charts'!$F$5:$F$15</c:f>
              <c:numCache>
                <c:formatCode>"$"#,##0.00</c:formatCode>
                <c:ptCount val="11"/>
                <c:pt idx="0">
                  <c:v>4.8899999999999997</c:v>
                </c:pt>
                <c:pt idx="1">
                  <c:v>4.8899999999999997</c:v>
                </c:pt>
                <c:pt idx="2">
                  <c:v>4.8899999999999997</c:v>
                </c:pt>
                <c:pt idx="3">
                  <c:v>4.8899999999999997</c:v>
                </c:pt>
                <c:pt idx="4">
                  <c:v>4.8899999999999997</c:v>
                </c:pt>
                <c:pt idx="5">
                  <c:v>4.8899999999999997</c:v>
                </c:pt>
                <c:pt idx="6">
                  <c:v>4.8899999999999997</c:v>
                </c:pt>
                <c:pt idx="7">
                  <c:v>4.8899999999999997</c:v>
                </c:pt>
                <c:pt idx="8">
                  <c:v>4.8899999999999997</c:v>
                </c:pt>
                <c:pt idx="9">
                  <c:v>4.8899999999999997</c:v>
                </c:pt>
                <c:pt idx="10">
                  <c:v>4.8899999999999997</c:v>
                </c:pt>
              </c:numCache>
            </c:numRef>
          </c:val>
          <c:smooth val="0"/>
          <c:extLst>
            <c:ext xmlns:c16="http://schemas.microsoft.com/office/drawing/2014/chart" uri="{C3380CC4-5D6E-409C-BE32-E72D297353CC}">
              <c16:uniqueId val="{0000000D-EC78-49F5-8DF7-C612A5DB0855}"/>
            </c:ext>
          </c:extLst>
        </c:ser>
        <c:dLbls>
          <c:showLegendKey val="0"/>
          <c:showVal val="0"/>
          <c:showCatName val="0"/>
          <c:showSerName val="0"/>
          <c:showPercent val="0"/>
          <c:showBubbleSize val="0"/>
        </c:dLbls>
        <c:marker val="1"/>
        <c:smooth val="0"/>
        <c:axId val="451435472"/>
        <c:axId val="451413008"/>
      </c:lineChart>
      <c:catAx>
        <c:axId val="451435472"/>
        <c:scaling>
          <c:orientation val="minMax"/>
        </c:scaling>
        <c:delete val="1"/>
        <c:axPos val="b"/>
        <c:numFmt formatCode="General" sourceLinked="1"/>
        <c:majorTickMark val="none"/>
        <c:minorTickMark val="none"/>
        <c:tickLblPos val="nextTo"/>
        <c:crossAx val="451413008"/>
        <c:crosses val="autoZero"/>
        <c:auto val="1"/>
        <c:lblAlgn val="ctr"/>
        <c:lblOffset val="100"/>
        <c:noMultiLvlLbl val="0"/>
      </c:catAx>
      <c:valAx>
        <c:axId val="451413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35472"/>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F7F32"/>
            </a:solidFill>
            <a:ln>
              <a:noFill/>
            </a:ln>
            <a:effectLst/>
          </c:spPr>
          <c:invertIfNegative val="0"/>
          <c:dPt>
            <c:idx val="0"/>
            <c:invertIfNegative val="0"/>
            <c:bubble3D val="0"/>
            <c:spPr>
              <a:solidFill>
                <a:srgbClr val="002855"/>
              </a:solidFill>
              <a:ln>
                <a:noFill/>
              </a:ln>
              <a:effectLst/>
            </c:spPr>
            <c:extLst>
              <c:ext xmlns:c16="http://schemas.microsoft.com/office/drawing/2014/chart" uri="{C3380CC4-5D6E-409C-BE32-E72D297353CC}">
                <c16:uniqueId val="{00000001-3B8D-4292-AFF0-BF5330FAD7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'Comps Charts'!$E$24:$E$34</c:f>
              <c:numCache>
                <c:formatCode>"$"#,##0</c:formatCode>
                <c:ptCount val="11"/>
                <c:pt idx="0">
                  <c:v>250000</c:v>
                </c:pt>
                <c:pt idx="1">
                  <c:v>275000</c:v>
                </c:pt>
                <c:pt idx="2">
                  <c:v>300000</c:v>
                </c:pt>
                <c:pt idx="3">
                  <c:v>260000</c:v>
                </c:pt>
                <c:pt idx="4">
                  <c:v>280000</c:v>
                </c:pt>
              </c:numCache>
            </c:numRef>
          </c:val>
          <c:extLst>
            <c:ext xmlns:c16="http://schemas.microsoft.com/office/drawing/2014/chart" uri="{C3380CC4-5D6E-409C-BE32-E72D297353CC}">
              <c16:uniqueId val="{00000002-3B8D-4292-AFF0-BF5330FAD732}"/>
            </c:ext>
          </c:extLst>
        </c:ser>
        <c:dLbls>
          <c:dLblPos val="outEnd"/>
          <c:showLegendKey val="0"/>
          <c:showVal val="1"/>
          <c:showCatName val="0"/>
          <c:showSerName val="0"/>
          <c:showPercent val="0"/>
          <c:showBubbleSize val="0"/>
        </c:dLbls>
        <c:gapWidth val="219"/>
        <c:axId val="451414672"/>
        <c:axId val="451430064"/>
      </c:barChart>
      <c:lineChart>
        <c:grouping val="standard"/>
        <c:varyColors val="0"/>
        <c:ser>
          <c:idx val="1"/>
          <c:order val="1"/>
          <c:spPr>
            <a:ln w="28575" cap="rnd">
              <a:solidFill>
                <a:schemeClr val="tx1">
                  <a:lumMod val="50000"/>
                  <a:lumOff val="5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3B8D-4292-AFF0-BF5330FAD732}"/>
                </c:ext>
              </c:extLst>
            </c:dLbl>
            <c:dLbl>
              <c:idx val="1"/>
              <c:delete val="1"/>
              <c:extLst>
                <c:ext xmlns:c15="http://schemas.microsoft.com/office/drawing/2012/chart" uri="{CE6537A1-D6FC-4f65-9D91-7224C49458BB}"/>
                <c:ext xmlns:c16="http://schemas.microsoft.com/office/drawing/2014/chart" uri="{C3380CC4-5D6E-409C-BE32-E72D297353CC}">
                  <c16:uniqueId val="{00000004-3B8D-4292-AFF0-BF5330FAD732}"/>
                </c:ext>
              </c:extLst>
            </c:dLbl>
            <c:dLbl>
              <c:idx val="2"/>
              <c:delete val="1"/>
              <c:extLst>
                <c:ext xmlns:c15="http://schemas.microsoft.com/office/drawing/2012/chart" uri="{CE6537A1-D6FC-4f65-9D91-7224C49458BB}"/>
                <c:ext xmlns:c16="http://schemas.microsoft.com/office/drawing/2014/chart" uri="{C3380CC4-5D6E-409C-BE32-E72D297353CC}">
                  <c16:uniqueId val="{00000005-3B8D-4292-AFF0-BF5330FAD732}"/>
                </c:ext>
              </c:extLst>
            </c:dLbl>
            <c:dLbl>
              <c:idx val="3"/>
              <c:delete val="1"/>
              <c:extLst>
                <c:ext xmlns:c15="http://schemas.microsoft.com/office/drawing/2012/chart" uri="{CE6537A1-D6FC-4f65-9D91-7224C49458BB}"/>
                <c:ext xmlns:c16="http://schemas.microsoft.com/office/drawing/2014/chart" uri="{C3380CC4-5D6E-409C-BE32-E72D297353CC}">
                  <c16:uniqueId val="{00000006-3B8D-4292-AFF0-BF5330FAD732}"/>
                </c:ext>
              </c:extLst>
            </c:dLbl>
            <c:dLbl>
              <c:idx val="4"/>
              <c:delete val="1"/>
              <c:extLst>
                <c:ext xmlns:c15="http://schemas.microsoft.com/office/drawing/2012/chart" uri="{CE6537A1-D6FC-4f65-9D91-7224C49458BB}"/>
                <c:ext xmlns:c16="http://schemas.microsoft.com/office/drawing/2014/chart" uri="{C3380CC4-5D6E-409C-BE32-E72D297353CC}">
                  <c16:uniqueId val="{00000007-3B8D-4292-AFF0-BF5330FAD732}"/>
                </c:ext>
              </c:extLst>
            </c:dLbl>
            <c:dLbl>
              <c:idx val="5"/>
              <c:delete val="1"/>
              <c:extLst>
                <c:ext xmlns:c15="http://schemas.microsoft.com/office/drawing/2012/chart" uri="{CE6537A1-D6FC-4f65-9D91-7224C49458BB}"/>
                <c:ext xmlns:c16="http://schemas.microsoft.com/office/drawing/2014/chart" uri="{C3380CC4-5D6E-409C-BE32-E72D297353CC}">
                  <c16:uniqueId val="{00000008-3B8D-4292-AFF0-BF5330FAD732}"/>
                </c:ext>
              </c:extLst>
            </c:dLbl>
            <c:dLbl>
              <c:idx val="6"/>
              <c:delete val="1"/>
              <c:extLst>
                <c:ext xmlns:c15="http://schemas.microsoft.com/office/drawing/2012/chart" uri="{CE6537A1-D6FC-4f65-9D91-7224C49458BB}"/>
                <c:ext xmlns:c16="http://schemas.microsoft.com/office/drawing/2014/chart" uri="{C3380CC4-5D6E-409C-BE32-E72D297353CC}">
                  <c16:uniqueId val="{00000009-3B8D-4292-AFF0-BF5330FAD732}"/>
                </c:ext>
              </c:extLst>
            </c:dLbl>
            <c:dLbl>
              <c:idx val="7"/>
              <c:delete val="1"/>
              <c:extLst>
                <c:ext xmlns:c15="http://schemas.microsoft.com/office/drawing/2012/chart" uri="{CE6537A1-D6FC-4f65-9D91-7224C49458BB}"/>
                <c:ext xmlns:c16="http://schemas.microsoft.com/office/drawing/2014/chart" uri="{C3380CC4-5D6E-409C-BE32-E72D297353CC}">
                  <c16:uniqueId val="{0000000A-3B8D-4292-AFF0-BF5330FAD732}"/>
                </c:ext>
              </c:extLst>
            </c:dLbl>
            <c:dLbl>
              <c:idx val="8"/>
              <c:delete val="1"/>
              <c:extLst>
                <c:ext xmlns:c15="http://schemas.microsoft.com/office/drawing/2012/chart" uri="{CE6537A1-D6FC-4f65-9D91-7224C49458BB}"/>
                <c:ext xmlns:c16="http://schemas.microsoft.com/office/drawing/2014/chart" uri="{C3380CC4-5D6E-409C-BE32-E72D297353CC}">
                  <c16:uniqueId val="{0000000B-3B8D-4292-AFF0-BF5330FAD732}"/>
                </c:ext>
              </c:extLst>
            </c:dLbl>
            <c:dLbl>
              <c:idx val="9"/>
              <c:delete val="1"/>
              <c:extLst>
                <c:ext xmlns:c15="http://schemas.microsoft.com/office/drawing/2012/chart" uri="{CE6537A1-D6FC-4f65-9D91-7224C49458BB}"/>
                <c:ext xmlns:c16="http://schemas.microsoft.com/office/drawing/2014/chart" uri="{C3380CC4-5D6E-409C-BE32-E72D297353CC}">
                  <c16:uniqueId val="{0000000C-3B8D-4292-AFF0-BF5330FAD732}"/>
                </c:ext>
              </c:extLst>
            </c:dLbl>
            <c:dLbl>
              <c:idx val="10"/>
              <c:layout>
                <c:manualLayout>
                  <c:x val="-5.0842056549176241E-3"/>
                  <c:y val="-3.32247968169598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D-4292-AFF0-BF5330FAD7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'Comps Charts'!$F$24:$F$34</c:f>
              <c:numCache>
                <c:formatCode>"$"#,##0</c:formatCode>
                <c:ptCount val="11"/>
                <c:pt idx="0">
                  <c:v>273000</c:v>
                </c:pt>
                <c:pt idx="1">
                  <c:v>273000</c:v>
                </c:pt>
                <c:pt idx="2">
                  <c:v>273000</c:v>
                </c:pt>
                <c:pt idx="3">
                  <c:v>273000</c:v>
                </c:pt>
                <c:pt idx="4">
                  <c:v>273000</c:v>
                </c:pt>
                <c:pt idx="5">
                  <c:v>273000</c:v>
                </c:pt>
                <c:pt idx="6">
                  <c:v>273000</c:v>
                </c:pt>
                <c:pt idx="7">
                  <c:v>273000</c:v>
                </c:pt>
                <c:pt idx="8">
                  <c:v>273000</c:v>
                </c:pt>
                <c:pt idx="9">
                  <c:v>273000</c:v>
                </c:pt>
                <c:pt idx="10">
                  <c:v>273000</c:v>
                </c:pt>
              </c:numCache>
            </c:numRef>
          </c:val>
          <c:smooth val="0"/>
          <c:extLst>
            <c:ext xmlns:c16="http://schemas.microsoft.com/office/drawing/2014/chart" uri="{C3380CC4-5D6E-409C-BE32-E72D297353CC}">
              <c16:uniqueId val="{0000000E-3B8D-4292-AFF0-BF5330FAD732}"/>
            </c:ext>
          </c:extLst>
        </c:ser>
        <c:dLbls>
          <c:showLegendKey val="0"/>
          <c:showVal val="0"/>
          <c:showCatName val="0"/>
          <c:showSerName val="0"/>
          <c:showPercent val="0"/>
          <c:showBubbleSize val="0"/>
        </c:dLbls>
        <c:marker val="1"/>
        <c:smooth val="0"/>
        <c:axId val="451414672"/>
        <c:axId val="451430064"/>
      </c:lineChart>
      <c:catAx>
        <c:axId val="451414672"/>
        <c:scaling>
          <c:orientation val="minMax"/>
        </c:scaling>
        <c:delete val="1"/>
        <c:axPos val="b"/>
        <c:majorTickMark val="none"/>
        <c:minorTickMark val="none"/>
        <c:tickLblPos val="nextTo"/>
        <c:crossAx val="451430064"/>
        <c:crosses val="autoZero"/>
        <c:auto val="1"/>
        <c:lblAlgn val="ctr"/>
        <c:lblOffset val="100"/>
        <c:noMultiLvlLbl val="0"/>
      </c:catAx>
      <c:valAx>
        <c:axId val="451430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41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'Comps Charts'!$AE$4</c:f>
              <c:strCache>
                <c:ptCount val="1"/>
                <c:pt idx="0">
                  <c:v>1 Bed Avg Rent</c:v>
                </c:pt>
              </c:strCache>
            </c:strRef>
          </c:tx>
          <c:spPr>
            <a:solidFill>
              <a:srgbClr val="002855"/>
            </a:solidFill>
            <a:ln>
              <a:noFill/>
            </a:ln>
            <a:effectLst/>
          </c:spPr>
          <c:invertIfNegative val="0"/>
          <c:val>
            <c:numRef>
              <c:f>'Comps Charts'!$AE$5:$AE$15</c:f>
              <c:numCache>
                <c:formatCode>"$"#,##0</c:formatCode>
                <c:ptCount val="11"/>
                <c:pt idx="0">
                  <c:v>800</c:v>
                </c:pt>
                <c:pt idx="1">
                  <c:v>810</c:v>
                </c:pt>
                <c:pt idx="2">
                  <c:v>900</c:v>
                </c:pt>
                <c:pt idx="3">
                  <c:v>750</c:v>
                </c:pt>
                <c:pt idx="4">
                  <c:v>825</c:v>
                </c:pt>
              </c:numCache>
            </c:numRef>
          </c:val>
          <c:extLst>
            <c:ext xmlns:c16="http://schemas.microsoft.com/office/drawing/2014/chart" uri="{C3380CC4-5D6E-409C-BE32-E72D297353CC}">
              <c16:uniqueId val="{00000000-BC8E-40BC-897C-F390B5C8A838}"/>
            </c:ext>
          </c:extLst>
        </c:ser>
        <c:ser>
          <c:idx val="1"/>
          <c:order val="1"/>
          <c:tx>
            <c:strRef>
              <c:f>'Comps Charts'!$AF$4</c:f>
              <c:strCache>
                <c:ptCount val="1"/>
                <c:pt idx="0">
                  <c:v>2 Bed Avg Rent</c:v>
                </c:pt>
              </c:strCache>
            </c:strRef>
          </c:tx>
          <c:spPr>
            <a:solidFill>
              <a:srgbClr val="FF7F32"/>
            </a:solidFill>
            <a:ln>
              <a:noFill/>
            </a:ln>
            <a:effectLst/>
          </c:spPr>
          <c:invertIfNegative val="0"/>
          <c:val>
            <c:numRef>
              <c:f>'Comps Charts'!$AF$5:$AF$15</c:f>
              <c:numCache>
                <c:formatCode>"$"#,##0</c:formatCode>
                <c:ptCount val="11"/>
                <c:pt idx="0">
                  <c:v>875</c:v>
                </c:pt>
                <c:pt idx="1">
                  <c:v>900</c:v>
                </c:pt>
                <c:pt idx="2">
                  <c:v>975</c:v>
                </c:pt>
                <c:pt idx="3">
                  <c:v>825</c:v>
                </c:pt>
              </c:numCache>
            </c:numRef>
          </c:val>
          <c:extLst>
            <c:ext xmlns:c16="http://schemas.microsoft.com/office/drawing/2014/chart" uri="{C3380CC4-5D6E-409C-BE32-E72D297353CC}">
              <c16:uniqueId val="{00000001-BC8E-40BC-897C-F390B5C8A838}"/>
            </c:ext>
          </c:extLst>
        </c:ser>
        <c:ser>
          <c:idx val="2"/>
          <c:order val="2"/>
          <c:tx>
            <c:strRef>
              <c:f>'Comps Charts'!$AG$4</c:f>
              <c:strCache>
                <c:ptCount val="1"/>
                <c:pt idx="0">
                  <c:v>3 Bed Avg Rent</c:v>
                </c:pt>
              </c:strCache>
            </c:strRef>
          </c:tx>
          <c:spPr>
            <a:solidFill>
              <a:srgbClr val="A5A5A5"/>
            </a:solidFill>
            <a:ln>
              <a:noFill/>
            </a:ln>
            <a:effectLst/>
          </c:spPr>
          <c:invertIfNegative val="0"/>
          <c:val>
            <c:numRef>
              <c:f>'Comps Charts'!$AG$5:$AG$15</c:f>
              <c:numCache>
                <c:formatCode>"$"#,##0</c:formatCode>
                <c:ptCount val="11"/>
                <c:pt idx="1">
                  <c:v>950</c:v>
                </c:pt>
                <c:pt idx="2">
                  <c:v>1000</c:v>
                </c:pt>
                <c:pt idx="4">
                  <c:v>910</c:v>
                </c:pt>
              </c:numCache>
            </c:numRef>
          </c:val>
          <c:extLst>
            <c:ext xmlns:c16="http://schemas.microsoft.com/office/drawing/2014/chart" uri="{C3380CC4-5D6E-409C-BE32-E72D297353CC}">
              <c16:uniqueId val="{00000002-BC8E-40BC-897C-F390B5C8A838}"/>
            </c:ext>
          </c:extLst>
        </c:ser>
        <c:ser>
          <c:idx val="3"/>
          <c:order val="3"/>
          <c:tx>
            <c:strRef>
              <c:f>'Comps Charts'!$AH$4</c:f>
              <c:strCache>
                <c:ptCount val="1"/>
                <c:pt idx="0">
                  <c:v>4 Bed Avg Rent</c:v>
                </c:pt>
              </c:strCache>
            </c:strRef>
          </c:tx>
          <c:spPr>
            <a:solidFill>
              <a:srgbClr val="BDD7EE"/>
            </a:solidFill>
            <a:ln>
              <a:noFill/>
            </a:ln>
            <a:effectLst/>
          </c:spPr>
          <c:invertIfNegative val="0"/>
          <c:val>
            <c:numRef>
              <c:f>'Comps Charts'!$AH$5:$AH$15</c:f>
              <c:numCache>
                <c:formatCode>"$"#,##0</c:formatCode>
                <c:ptCount val="11"/>
                <c:pt idx="0">
                  <c:v>690</c:v>
                </c:pt>
                <c:pt idx="1">
                  <c:v>700</c:v>
                </c:pt>
                <c:pt idx="3">
                  <c:v>700</c:v>
                </c:pt>
                <c:pt idx="4">
                  <c:v>715</c:v>
                </c:pt>
              </c:numCache>
            </c:numRef>
          </c:val>
          <c:extLst>
            <c:ext xmlns:c16="http://schemas.microsoft.com/office/drawing/2014/chart" uri="{C3380CC4-5D6E-409C-BE32-E72D297353CC}">
              <c16:uniqueId val="{00000003-BC8E-40BC-897C-F390B5C8A838}"/>
            </c:ext>
          </c:extLst>
        </c:ser>
        <c:dLbls>
          <c:showLegendKey val="0"/>
          <c:showVal val="0"/>
          <c:showCatName val="0"/>
          <c:showSerName val="0"/>
          <c:showPercent val="0"/>
          <c:showBubbleSize val="0"/>
        </c:dLbls>
        <c:gapWidth val="219"/>
        <c:overlap val="-27"/>
        <c:axId val="1298855727"/>
        <c:axId val="1298859471"/>
      </c:barChart>
      <c:catAx>
        <c:axId val="1298855727"/>
        <c:scaling>
          <c:orientation val="minMax"/>
        </c:scaling>
        <c:delete val="1"/>
        <c:axPos val="b"/>
        <c:majorTickMark val="none"/>
        <c:minorTickMark val="none"/>
        <c:tickLblPos val="nextTo"/>
        <c:crossAx val="1298859471"/>
        <c:crosses val="autoZero"/>
        <c:auto val="1"/>
        <c:lblAlgn val="ctr"/>
        <c:lblOffset val="100"/>
        <c:noMultiLvlLbl val="0"/>
      </c:catAx>
      <c:valAx>
        <c:axId val="129885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Rent by Bed</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Cap Rate and GRM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'Comps Charts'!$AE$23</c:f>
              <c:strCache>
                <c:ptCount val="1"/>
                <c:pt idx="0">
                  <c:v>Cap Rate</c:v>
                </c:pt>
              </c:strCache>
            </c:strRef>
          </c:tx>
          <c:spPr>
            <a:solidFill>
              <a:srgbClr val="002855"/>
            </a:solidFill>
            <a:ln>
              <a:noFill/>
            </a:ln>
            <a:effectLst/>
          </c:spPr>
          <c:invertIfNegative val="0"/>
          <c:val>
            <c:numRef>
              <c:f>'Comps Charts'!$AE$24:$AE$34</c:f>
              <c:numCache>
                <c:formatCode>_(* #,##0.00_);_(* \(#,##0.00\);_(* "-"??_);_(@_)</c:formatCode>
                <c:ptCount val="11"/>
                <c:pt idx="0">
                  <c:v>5.5</c:v>
                </c:pt>
                <c:pt idx="1">
                  <c:v>6.23</c:v>
                </c:pt>
                <c:pt idx="2">
                  <c:v>4.9800000000000004</c:v>
                </c:pt>
                <c:pt idx="3">
                  <c:v>6.98</c:v>
                </c:pt>
                <c:pt idx="4">
                  <c:v>5.85</c:v>
                </c:pt>
              </c:numCache>
            </c:numRef>
          </c:val>
          <c:extLst>
            <c:ext xmlns:c16="http://schemas.microsoft.com/office/drawing/2014/chart" uri="{C3380CC4-5D6E-409C-BE32-E72D297353CC}">
              <c16:uniqueId val="{00000000-5966-479A-828A-F341C839F841}"/>
            </c:ext>
          </c:extLst>
        </c:ser>
        <c:ser>
          <c:idx val="1"/>
          <c:order val="1"/>
          <c:tx>
            <c:strRef>
              <c:f>'Comps Charts'!$AF$23</c:f>
              <c:strCache>
                <c:ptCount val="1"/>
                <c:pt idx="0">
                  <c:v>GRM</c:v>
                </c:pt>
              </c:strCache>
            </c:strRef>
          </c:tx>
          <c:spPr>
            <a:solidFill>
              <a:srgbClr val="FF7F32"/>
            </a:solidFill>
            <a:ln>
              <a:noFill/>
            </a:ln>
            <a:effectLst/>
          </c:spPr>
          <c:invertIfNegative val="0"/>
          <c:val>
            <c:numRef>
              <c:f>'Comps Charts'!$AF$24:$AF$34</c:f>
              <c:numCache>
                <c:formatCode>_(* #,##0.00_);_(* \(#,##0.00\);_(* "-"??_);_(@_)</c:formatCode>
                <c:ptCount val="11"/>
                <c:pt idx="0">
                  <c:v>15.5</c:v>
                </c:pt>
                <c:pt idx="1">
                  <c:v>14.25</c:v>
                </c:pt>
                <c:pt idx="2">
                  <c:v>13.84</c:v>
                </c:pt>
                <c:pt idx="3">
                  <c:v>14.35</c:v>
                </c:pt>
                <c:pt idx="4">
                  <c:v>15.84</c:v>
                </c:pt>
              </c:numCache>
            </c:numRef>
          </c:val>
          <c:extLst>
            <c:ext xmlns:c16="http://schemas.microsoft.com/office/drawing/2014/chart" uri="{C3380CC4-5D6E-409C-BE32-E72D297353CC}">
              <c16:uniqueId val="{00000001-5966-479A-828A-F341C839F841}"/>
            </c:ext>
          </c:extLst>
        </c:ser>
        <c:dLbls>
          <c:showLegendKey val="0"/>
          <c:showVal val="0"/>
          <c:showCatName val="0"/>
          <c:showSerName val="0"/>
          <c:showPercent val="0"/>
          <c:showBubbleSize val="0"/>
        </c:dLbls>
        <c:gapWidth val="219"/>
        <c:overlap val="-27"/>
        <c:axId val="1298560015"/>
        <c:axId val="1298562095"/>
      </c:barChart>
      <c:catAx>
        <c:axId val="1298560015"/>
        <c:scaling>
          <c:orientation val="minMax"/>
        </c:scaling>
        <c:delete val="1"/>
        <c:axPos val="b"/>
        <c:majorTickMark val="none"/>
        <c:minorTickMark val="none"/>
        <c:tickLblPos val="nextTo"/>
        <c:crossAx val="1298562095"/>
        <c:crosses val="autoZero"/>
        <c:auto val="1"/>
        <c:lblAlgn val="ctr"/>
        <c:lblOffset val="100"/>
        <c:noMultiLvlLbl val="0"/>
      </c:catAx>
      <c:valAx>
        <c:axId val="129856209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56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12326</xdr:colOff>
      <xdr:row>6</xdr:row>
      <xdr:rowOff>47999</xdr:rowOff>
    </xdr:from>
    <xdr:to>
      <xdr:col>13</xdr:col>
      <xdr:colOff>657412</xdr:colOff>
      <xdr:row>24</xdr:row>
      <xdr:rowOff>76200</xdr:rowOff>
    </xdr:to>
    <xdr:sp macro="" textlink="">
      <xdr:nvSpPr>
        <xdr:cNvPr id="2" name="TextBox 1">
          <a:extLst>
            <a:ext uri="{FF2B5EF4-FFF2-40B4-BE49-F238E27FC236}">
              <a16:creationId xmlns:a16="http://schemas.microsoft.com/office/drawing/2014/main" id="{33E04DA2-2DC2-414A-A007-5F8B9D160EF2}"/>
            </a:ext>
          </a:extLst>
        </xdr:cNvPr>
        <xdr:cNvSpPr txBox="1"/>
      </xdr:nvSpPr>
      <xdr:spPr>
        <a:xfrm>
          <a:off x="4612901" y="1057649"/>
          <a:ext cx="7931711" cy="2333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lang="en-US" sz="1800">
              <a:solidFill>
                <a:schemeClr val="dk1"/>
              </a:solidFill>
              <a:effectLst/>
              <a:latin typeface="+mn-lt"/>
              <a:ea typeface="+mn-ea"/>
              <a:cs typeface="+mn-cs"/>
            </a:rPr>
            <a:t>DISCLAIMER: This model is provided “As-Is”.  You are responsible for any changes made to this model (e.g., adding or deleting rows and columns, moving tables around, etc.).  If you do make changes to this model, please ensure that the data remains correct on ALL pages.  If your changes result in a model which ceases to function, please try to undo, or you may need to begin your underwriting again in a fresh model.  Desktop Services and your local CASS are NOT responsible for helping resolve errors caused by manipulation of the model template.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618908</xdr:colOff>
      <xdr:row>29</xdr:row>
      <xdr:rowOff>149679</xdr:rowOff>
    </xdr:from>
    <xdr:to>
      <xdr:col>10</xdr:col>
      <xdr:colOff>40822</xdr:colOff>
      <xdr:row>45</xdr:row>
      <xdr:rowOff>0</xdr:rowOff>
    </xdr:to>
    <xdr:grpSp>
      <xdr:nvGrpSpPr>
        <xdr:cNvPr id="2" name="Group 1">
          <a:extLst>
            <a:ext uri="{FF2B5EF4-FFF2-40B4-BE49-F238E27FC236}">
              <a16:creationId xmlns:a16="http://schemas.microsoft.com/office/drawing/2014/main" id="{36471FAD-16CA-4DBE-B351-BEA7C4C40A8C}"/>
            </a:ext>
          </a:extLst>
        </xdr:cNvPr>
        <xdr:cNvGrpSpPr/>
      </xdr:nvGrpSpPr>
      <xdr:grpSpPr>
        <a:xfrm>
          <a:off x="1876208" y="6236154"/>
          <a:ext cx="10566164" cy="2898321"/>
          <a:chOff x="428408" y="5157107"/>
          <a:chExt cx="10579771" cy="2898321"/>
        </a:xfrm>
      </xdr:grpSpPr>
      <xdr:graphicFrame macro="">
        <xdr:nvGraphicFramePr>
          <xdr:cNvPr id="7" name="Chart 7">
            <a:extLst>
              <a:ext uri="{FF2B5EF4-FFF2-40B4-BE49-F238E27FC236}">
                <a16:creationId xmlns:a16="http://schemas.microsoft.com/office/drawing/2014/main" id="{32ACC01C-9924-45F4-9B19-5C1EC8F28658}"/>
              </a:ext>
            </a:extLst>
          </xdr:cNvPr>
          <xdr:cNvGraphicFramePr>
            <a:graphicFrameLocks/>
          </xdr:cNvGraphicFramePr>
        </xdr:nvGraphicFramePr>
        <xdr:xfrm>
          <a:off x="5320393" y="5157107"/>
          <a:ext cx="5687786" cy="289832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3">
            <a:extLst>
              <a:ext uri="{FF2B5EF4-FFF2-40B4-BE49-F238E27FC236}">
                <a16:creationId xmlns:a16="http://schemas.microsoft.com/office/drawing/2014/main" id="{58E30DD8-9C84-4024-8E45-4A3FB0629C11}"/>
              </a:ext>
            </a:extLst>
          </xdr:cNvPr>
          <xdr:cNvGraphicFramePr>
            <a:graphicFrameLocks/>
          </xdr:cNvGraphicFramePr>
        </xdr:nvGraphicFramePr>
        <xdr:xfrm>
          <a:off x="428408" y="5157107"/>
          <a:ext cx="4987561" cy="2680607"/>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106147</xdr:colOff>
      <xdr:row>5</xdr:row>
      <xdr:rowOff>63499</xdr:rowOff>
    </xdr:from>
    <xdr:to>
      <xdr:col>12</xdr:col>
      <xdr:colOff>3277</xdr:colOff>
      <xdr:row>20</xdr:row>
      <xdr:rowOff>158368</xdr:rowOff>
    </xdr:to>
    <xdr:grpSp>
      <xdr:nvGrpSpPr>
        <xdr:cNvPr id="2" name="ReturnOnEquityScenariosChart">
          <a:extLst>
            <a:ext uri="{FF2B5EF4-FFF2-40B4-BE49-F238E27FC236}">
              <a16:creationId xmlns:a16="http://schemas.microsoft.com/office/drawing/2014/main" id="{81470EA4-2758-476D-96CF-5A0CA1BA9B7A}"/>
            </a:ext>
          </a:extLst>
        </xdr:cNvPr>
        <xdr:cNvGrpSpPr/>
      </xdr:nvGrpSpPr>
      <xdr:grpSpPr>
        <a:xfrm>
          <a:off x="531971" y="657411"/>
          <a:ext cx="5836247" cy="2952369"/>
          <a:chOff x="1384983" y="750542"/>
          <a:chExt cx="4841883" cy="2180673"/>
        </a:xfrm>
      </xdr:grpSpPr>
      <xdr:graphicFrame macro="">
        <xdr:nvGraphicFramePr>
          <xdr:cNvPr id="3" name="Chart 2">
            <a:extLst>
              <a:ext uri="{FF2B5EF4-FFF2-40B4-BE49-F238E27FC236}">
                <a16:creationId xmlns:a16="http://schemas.microsoft.com/office/drawing/2014/main" id="{8C03ED48-78DB-46E6-988C-1BACF1A6637D}"/>
              </a:ext>
            </a:extLst>
          </xdr:cNvPr>
          <xdr:cNvGraphicFramePr>
            <a:graphicFrameLocks/>
          </xdr:cNvGraphicFramePr>
        </xdr:nvGraphicFramePr>
        <xdr:xfrm>
          <a:off x="1749702" y="750542"/>
          <a:ext cx="4039914" cy="2180673"/>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4" name="Straight Connector 3">
            <a:extLst>
              <a:ext uri="{FF2B5EF4-FFF2-40B4-BE49-F238E27FC236}">
                <a16:creationId xmlns:a16="http://schemas.microsoft.com/office/drawing/2014/main" id="{7DCED807-E570-41E8-A750-747DF4493D32}"/>
              </a:ext>
            </a:extLst>
          </xdr:cNvPr>
          <xdr:cNvCxnSpPr/>
        </xdr:nvCxnSpPr>
        <xdr:spPr>
          <a:xfrm>
            <a:off x="1384983" y="875747"/>
            <a:ext cx="1504994" cy="0"/>
          </a:xfrm>
          <a:prstGeom prst="line">
            <a:avLst/>
          </a:prstGeom>
          <a:ln>
            <a:solidFill>
              <a:srgbClr val="F58025"/>
            </a:solidFill>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A80293F6-1634-44FB-AF0A-EDDC24EC2959}"/>
              </a:ext>
            </a:extLst>
          </xdr:cNvPr>
          <xdr:cNvCxnSpPr/>
        </xdr:nvCxnSpPr>
        <xdr:spPr>
          <a:xfrm>
            <a:off x="4721872" y="875747"/>
            <a:ext cx="1504994" cy="0"/>
          </a:xfrm>
          <a:prstGeom prst="line">
            <a:avLst/>
          </a:prstGeom>
          <a:ln>
            <a:solidFill>
              <a:srgbClr val="F58025"/>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68048</xdr:colOff>
      <xdr:row>23</xdr:row>
      <xdr:rowOff>60196</xdr:rowOff>
    </xdr:from>
    <xdr:to>
      <xdr:col>11</xdr:col>
      <xdr:colOff>565253</xdr:colOff>
      <xdr:row>38</xdr:row>
      <xdr:rowOff>155065</xdr:rowOff>
    </xdr:to>
    <xdr:grpSp>
      <xdr:nvGrpSpPr>
        <xdr:cNvPr id="6" name="CashFlowScenariosChart">
          <a:extLst>
            <a:ext uri="{FF2B5EF4-FFF2-40B4-BE49-F238E27FC236}">
              <a16:creationId xmlns:a16="http://schemas.microsoft.com/office/drawing/2014/main" id="{3C95E414-B237-41F3-83C0-0921507E33CE}"/>
            </a:ext>
          </a:extLst>
        </xdr:cNvPr>
        <xdr:cNvGrpSpPr/>
      </xdr:nvGrpSpPr>
      <xdr:grpSpPr>
        <a:xfrm>
          <a:off x="493872" y="4083108"/>
          <a:ext cx="5842410" cy="2952369"/>
          <a:chOff x="1387941" y="3339907"/>
          <a:chExt cx="4835967" cy="2194255"/>
        </a:xfrm>
      </xdr:grpSpPr>
      <xdr:cxnSp macro="">
        <xdr:nvCxnSpPr>
          <xdr:cNvPr id="7" name="Straight Connector 6">
            <a:extLst>
              <a:ext uri="{FF2B5EF4-FFF2-40B4-BE49-F238E27FC236}">
                <a16:creationId xmlns:a16="http://schemas.microsoft.com/office/drawing/2014/main" id="{513BAC58-B622-4DA7-BE00-45C2AD210B74}"/>
              </a:ext>
            </a:extLst>
          </xdr:cNvPr>
          <xdr:cNvCxnSpPr/>
        </xdr:nvCxnSpPr>
        <xdr:spPr>
          <a:xfrm>
            <a:off x="1387941" y="3457220"/>
            <a:ext cx="1707684" cy="0"/>
          </a:xfrm>
          <a:prstGeom prst="line">
            <a:avLst/>
          </a:prstGeom>
          <a:ln>
            <a:solidFill>
              <a:srgbClr val="F58025"/>
            </a:solidFill>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a:extLst>
              <a:ext uri="{FF2B5EF4-FFF2-40B4-BE49-F238E27FC236}">
                <a16:creationId xmlns:a16="http://schemas.microsoft.com/office/drawing/2014/main" id="{2FF96327-5BD0-431E-9AF6-39715A7C814B}"/>
              </a:ext>
            </a:extLst>
          </xdr:cNvPr>
          <xdr:cNvCxnSpPr/>
        </xdr:nvCxnSpPr>
        <xdr:spPr>
          <a:xfrm>
            <a:off x="4551589" y="3457220"/>
            <a:ext cx="1672319" cy="0"/>
          </a:xfrm>
          <a:prstGeom prst="line">
            <a:avLst/>
          </a:prstGeom>
          <a:ln>
            <a:solidFill>
              <a:srgbClr val="F58025"/>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9" name="Chart 8">
            <a:extLst>
              <a:ext uri="{FF2B5EF4-FFF2-40B4-BE49-F238E27FC236}">
                <a16:creationId xmlns:a16="http://schemas.microsoft.com/office/drawing/2014/main" id="{AC83C43D-6728-4567-9A5D-D6A59579CCF2}"/>
              </a:ext>
            </a:extLst>
          </xdr:cNvPr>
          <xdr:cNvGraphicFramePr/>
        </xdr:nvGraphicFramePr>
        <xdr:xfrm>
          <a:off x="1752660" y="3339907"/>
          <a:ext cx="4035732" cy="219425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64293</xdr:colOff>
      <xdr:row>3</xdr:row>
      <xdr:rowOff>42860</xdr:rowOff>
    </xdr:from>
    <xdr:to>
      <xdr:col>17</xdr:col>
      <xdr:colOff>590551</xdr:colOff>
      <xdr:row>20</xdr:row>
      <xdr:rowOff>133348</xdr:rowOff>
    </xdr:to>
    <xdr:graphicFrame macro="">
      <xdr:nvGraphicFramePr>
        <xdr:cNvPr id="2" name="Chart 1">
          <a:extLst>
            <a:ext uri="{FF2B5EF4-FFF2-40B4-BE49-F238E27FC236}">
              <a16:creationId xmlns:a16="http://schemas.microsoft.com/office/drawing/2014/main" id="{284EC25F-D118-4BC7-BD28-5C0185247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50004</xdr:colOff>
      <xdr:row>22</xdr:row>
      <xdr:rowOff>47624</xdr:rowOff>
    </xdr:from>
    <xdr:to>
      <xdr:col>17</xdr:col>
      <xdr:colOff>590550</xdr:colOff>
      <xdr:row>39</xdr:row>
      <xdr:rowOff>157161</xdr:rowOff>
    </xdr:to>
    <xdr:graphicFrame macro="">
      <xdr:nvGraphicFramePr>
        <xdr:cNvPr id="3" name="Chart 2">
          <a:extLst>
            <a:ext uri="{FF2B5EF4-FFF2-40B4-BE49-F238E27FC236}">
              <a16:creationId xmlns:a16="http://schemas.microsoft.com/office/drawing/2014/main" id="{56509E18-ED95-4332-8A62-63770E1ED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502224</xdr:colOff>
      <xdr:row>3</xdr:row>
      <xdr:rowOff>44160</xdr:rowOff>
    </xdr:from>
    <xdr:to>
      <xdr:col>27</xdr:col>
      <xdr:colOff>541192</xdr:colOff>
      <xdr:row>20</xdr:row>
      <xdr:rowOff>151534</xdr:rowOff>
    </xdr:to>
    <xdr:graphicFrame macro="">
      <xdr:nvGraphicFramePr>
        <xdr:cNvPr id="4" name="Chart 3">
          <a:extLst>
            <a:ext uri="{FF2B5EF4-FFF2-40B4-BE49-F238E27FC236}">
              <a16:creationId xmlns:a16="http://schemas.microsoft.com/office/drawing/2014/main" id="{84D531F1-109A-49A8-8F9A-EC480BA57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510884</xdr:colOff>
      <xdr:row>22</xdr:row>
      <xdr:rowOff>39831</xdr:rowOff>
    </xdr:from>
    <xdr:to>
      <xdr:col>27</xdr:col>
      <xdr:colOff>541192</xdr:colOff>
      <xdr:row>39</xdr:row>
      <xdr:rowOff>129886</xdr:rowOff>
    </xdr:to>
    <xdr:graphicFrame macro="">
      <xdr:nvGraphicFramePr>
        <xdr:cNvPr id="5" name="Chart 4">
          <a:extLst>
            <a:ext uri="{FF2B5EF4-FFF2-40B4-BE49-F238E27FC236}">
              <a16:creationId xmlns:a16="http://schemas.microsoft.com/office/drawing/2014/main" id="{E6C8E764-C6A2-47DC-8544-423A3BB23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hilsharrow\Library\Application%20Support\Microsoft\Office\Office%202011%20AutoRecovery\Berkshire%20Place_HFF%20Anayl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ac\Mac\Users\philsharrow\Library\Application%20Support\Microsoft\Office\Office%202011%20AutoRecovery\Berkshire%20Place_HFF%20Anayls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 Roll Analysis"/>
      <sheetName val="Exe Sum"/>
      <sheetName val="Rent Roll Sum"/>
      <sheetName val="Lease Exp Trend"/>
      <sheetName val="Recent Leases"/>
      <sheetName val="Monthly Trend"/>
      <sheetName val="Op State"/>
      <sheetName val="Op State Detail"/>
      <sheetName val="Cap X"/>
      <sheetName val="CF-New Debt"/>
      <sheetName val="Debt Summary"/>
      <sheetName val="New_7YR"/>
      <sheetName val="CF-Assumption"/>
      <sheetName val="Exist Debt"/>
      <sheetName val="New_5YR"/>
      <sheetName val="New_10YR"/>
      <sheetName val="New Debt IRR"/>
      <sheetName val="Assumption IRR"/>
      <sheetName val="YMP"/>
      <sheetName val="Condo "/>
      <sheetName val="Condo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 Roll Analysis"/>
      <sheetName val="Exe Sum"/>
      <sheetName val="Rent Roll Sum"/>
      <sheetName val="Lease Exp Trend"/>
      <sheetName val="Recent Leases"/>
      <sheetName val="Monthly Trend"/>
      <sheetName val="Op State"/>
      <sheetName val="Op State Detail"/>
      <sheetName val="Cap X"/>
      <sheetName val="CF-New Debt"/>
      <sheetName val="Debt Summary"/>
      <sheetName val="New_7YR"/>
      <sheetName val="CF-Assumption"/>
      <sheetName val="Exist Debt"/>
      <sheetName val="New_5YR"/>
      <sheetName val="New_10YR"/>
      <sheetName val="New Debt IRR"/>
      <sheetName val="Assumption IRR"/>
      <sheetName val="YMP"/>
      <sheetName val="Condo "/>
      <sheetName val="Condo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MMI Colors">
    <a:dk1>
      <a:srgbClr val="000000"/>
    </a:dk1>
    <a:lt1>
      <a:srgbClr val="FFFFFF"/>
    </a:lt1>
    <a:dk2>
      <a:srgbClr val="031E3F"/>
    </a:dk2>
    <a:lt2>
      <a:srgbClr val="FFFFFF"/>
    </a:lt2>
    <a:accent1>
      <a:srgbClr val="F58025"/>
    </a:accent1>
    <a:accent2>
      <a:srgbClr val="F89E5A"/>
    </a:accent2>
    <a:accent3>
      <a:srgbClr val="C35909"/>
    </a:accent3>
    <a:accent4>
      <a:srgbClr val="365792"/>
    </a:accent4>
    <a:accent5>
      <a:srgbClr val="031E3F"/>
    </a:accent5>
    <a:accent6>
      <a:srgbClr val="B9C9E5"/>
    </a:accent6>
    <a:hlink>
      <a:srgbClr val="7F7F7F"/>
    </a:hlink>
    <a:folHlink>
      <a:srgbClr val="BFBFBF"/>
    </a:folHlink>
  </a:clrScheme>
  <a:fontScheme name="MMI fonts">
    <a:majorFont>
      <a:latin typeface="HelveticaNeue LT 75 Bold"/>
      <a:ea typeface=""/>
      <a:cs typeface=""/>
    </a:majorFont>
    <a:minorFont>
      <a:latin typeface="HelveticaNeue LT 55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MMI Colors">
    <a:dk1>
      <a:srgbClr val="000000"/>
    </a:dk1>
    <a:lt1>
      <a:srgbClr val="FFFFFF"/>
    </a:lt1>
    <a:dk2>
      <a:srgbClr val="031E3F"/>
    </a:dk2>
    <a:lt2>
      <a:srgbClr val="FFFFFF"/>
    </a:lt2>
    <a:accent1>
      <a:srgbClr val="F58025"/>
    </a:accent1>
    <a:accent2>
      <a:srgbClr val="F89E5A"/>
    </a:accent2>
    <a:accent3>
      <a:srgbClr val="C35909"/>
    </a:accent3>
    <a:accent4>
      <a:srgbClr val="365792"/>
    </a:accent4>
    <a:accent5>
      <a:srgbClr val="031E3F"/>
    </a:accent5>
    <a:accent6>
      <a:srgbClr val="B9C9E5"/>
    </a:accent6>
    <a:hlink>
      <a:srgbClr val="7F7F7F"/>
    </a:hlink>
    <a:folHlink>
      <a:srgbClr val="BFBFBF"/>
    </a:folHlink>
  </a:clrScheme>
  <a:fontScheme name="MMI fonts">
    <a:majorFont>
      <a:latin typeface="HelveticaNeue LT 75 Bold"/>
      <a:ea typeface=""/>
      <a:cs typeface=""/>
    </a:majorFont>
    <a:minorFont>
      <a:latin typeface="HelveticaNeue LT 55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8.bin"/><Relationship Id="rId1" Type="http://schemas.openxmlformats.org/officeDocument/2006/relationships/printerSettings" Target="../printerSettings/printerSettings18.bin"/><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6983-307B-4484-B141-9E74BB2B9C11}">
  <sheetPr codeName="Sheet23"/>
  <dimension ref="A1:H59"/>
  <sheetViews>
    <sheetView zoomScale="150" workbookViewId="0"/>
  </sheetViews>
  <sheetFormatPr defaultColWidth="9" defaultRowHeight="12.75" x14ac:dyDescent="0.2"/>
  <cols>
    <col min="1" max="1" width="24" style="1013" customWidth="1"/>
    <col min="2" max="2" width="30.28515625" style="1013" customWidth="1"/>
    <col min="3" max="3" width="22.28515625" style="1013" customWidth="1"/>
    <col min="4" max="4" width="9" style="1013"/>
    <col min="5" max="5" width="10" style="1013" customWidth="1"/>
    <col min="6" max="6" width="18" style="1013" customWidth="1"/>
    <col min="7" max="7" width="13.28515625" style="1013" customWidth="1"/>
    <col min="8" max="16384" width="9" style="1013"/>
  </cols>
  <sheetData>
    <row r="1" spans="1:8" x14ac:dyDescent="0.2">
      <c r="A1" s="1013" t="s">
        <v>0</v>
      </c>
      <c r="B1" s="1013" t="s">
        <v>1</v>
      </c>
      <c r="C1" s="1013" t="s">
        <v>2</v>
      </c>
      <c r="E1" s="1013" t="s">
        <v>3</v>
      </c>
    </row>
    <row r="2" spans="1:8" ht="15" x14ac:dyDescent="0.25">
      <c r="A2" s="1013" t="s">
        <v>4</v>
      </c>
      <c r="B2" s="1013" t="s">
        <v>5</v>
      </c>
      <c r="C2">
        <f ca="1">ROUND('Pricing Detail'!G13*100,2)</f>
        <v>0</v>
      </c>
      <c r="E2" s="1013" t="s">
        <v>6</v>
      </c>
      <c r="F2" s="1013" t="s">
        <v>7</v>
      </c>
      <c r="G2" s="1013" t="s">
        <v>8</v>
      </c>
      <c r="H2" s="1013" t="s">
        <v>9</v>
      </c>
    </row>
    <row r="3" spans="1:8" ht="15" x14ac:dyDescent="0.25">
      <c r="A3" s="1013" t="s">
        <v>10</v>
      </c>
      <c r="B3" s="1013" t="s">
        <v>11</v>
      </c>
      <c r="C3" s="1054">
        <f ca="1">'Pricing Detail'!H13</f>
        <v>0</v>
      </c>
    </row>
    <row r="4" spans="1:8" ht="15" x14ac:dyDescent="0.25">
      <c r="A4" s="1013" t="s">
        <v>12</v>
      </c>
      <c r="B4" s="1013" t="s">
        <v>13</v>
      </c>
      <c r="C4" s="1036">
        <f>ROUND('Pricing Detail'!N15,0)</f>
        <v>0</v>
      </c>
      <c r="H4" s="1014"/>
    </row>
    <row r="5" spans="1:8" ht="15" x14ac:dyDescent="0.25">
      <c r="A5" s="1013" t="s">
        <v>14</v>
      </c>
      <c r="B5" s="1013" t="s">
        <v>15</v>
      </c>
      <c r="C5" s="1036">
        <f>debt_service</f>
        <v>0</v>
      </c>
      <c r="H5" s="1014"/>
    </row>
    <row r="6" spans="1:8" ht="15" x14ac:dyDescent="0.25">
      <c r="A6" s="1013" t="s">
        <v>16</v>
      </c>
      <c r="B6" s="1013" t="s">
        <v>17</v>
      </c>
      <c r="C6" s="1036">
        <f ca="1">ROUND('Pricing Detail'!G5,0)</f>
        <v>0</v>
      </c>
      <c r="H6" s="1014"/>
    </row>
    <row r="7" spans="1:8" ht="15" x14ac:dyDescent="0.25">
      <c r="A7" s="1013" t="s">
        <v>18</v>
      </c>
      <c r="B7" s="1013" t="s">
        <v>19</v>
      </c>
      <c r="C7" s="1036">
        <f ca="1">ROUND('Pricing Detail'!N13,0)</f>
        <v>0</v>
      </c>
      <c r="H7" s="1014"/>
    </row>
    <row r="8" spans="1:8" ht="15" x14ac:dyDescent="0.25">
      <c r="A8" s="1013" t="s">
        <v>20</v>
      </c>
      <c r="B8" s="1013" t="s">
        <v>21</v>
      </c>
      <c r="C8" s="1036">
        <f ca="1">'Pricing Detail'!P13</f>
        <v>0</v>
      </c>
      <c r="H8" s="1014"/>
    </row>
    <row r="9" spans="1:8" ht="15" x14ac:dyDescent="0.25">
      <c r="A9" s="1013" t="s">
        <v>22</v>
      </c>
      <c r="B9" s="1013" t="s">
        <v>23</v>
      </c>
      <c r="C9" s="1036">
        <f ca="1">ROUND('Pricing Detail'!N12,0)</f>
        <v>0</v>
      </c>
      <c r="H9" s="1014"/>
    </row>
    <row r="10" spans="1:8" ht="15" x14ac:dyDescent="0.25">
      <c r="A10" s="1013" t="s">
        <v>24</v>
      </c>
      <c r="B10" s="1013" t="s">
        <v>25</v>
      </c>
      <c r="C10" s="1036">
        <f ca="1">'Pricing Detail'!P12</f>
        <v>0</v>
      </c>
      <c r="H10" s="1014"/>
    </row>
    <row r="11" spans="1:8" ht="15" x14ac:dyDescent="0.25">
      <c r="A11" s="1013" t="s">
        <v>26</v>
      </c>
      <c r="B11" s="1013" t="s">
        <v>27</v>
      </c>
      <c r="C11" s="1036">
        <f>ROUND('Pricing Detail'!N17,0)</f>
        <v>0</v>
      </c>
      <c r="H11" s="1014"/>
    </row>
    <row r="12" spans="1:8" ht="15" x14ac:dyDescent="0.25">
      <c r="A12" s="1013" t="s">
        <v>28</v>
      </c>
      <c r="B12" s="1013" t="s">
        <v>29</v>
      </c>
      <c r="C12" s="1036">
        <f ca="1">'Debt Input'!U31</f>
        <v>0</v>
      </c>
      <c r="H12" s="1014"/>
    </row>
    <row r="13" spans="1:8" ht="15" x14ac:dyDescent="0.25">
      <c r="A13" s="1013" t="s">
        <v>30</v>
      </c>
      <c r="B13" s="1013" t="s">
        <v>31</v>
      </c>
      <c r="C13" s="1014">
        <f>sale_price</f>
        <v>0</v>
      </c>
    </row>
    <row r="14" spans="1:8" ht="15" x14ac:dyDescent="0.25">
      <c r="A14" s="1013" t="s">
        <v>32</v>
      </c>
      <c r="B14" s="1013" t="s">
        <v>33</v>
      </c>
      <c r="C14" s="1014">
        <f ca="1">ROUND('Pricing Detail'!N18,0)</f>
        <v>0</v>
      </c>
    </row>
    <row r="15" spans="1:8" ht="15" x14ac:dyDescent="0.25">
      <c r="A15" s="1013" t="s">
        <v>34</v>
      </c>
      <c r="B15" s="1013" t="s">
        <v>35</v>
      </c>
      <c r="C15" s="1014">
        <f ca="1">ROUND('Pricing Detail'!P18,0)</f>
        <v>0</v>
      </c>
    </row>
    <row r="16" spans="1:8" x14ac:dyDescent="0.2">
      <c r="A16" s="1013" t="s">
        <v>36</v>
      </c>
      <c r="B16" s="1013" t="s">
        <v>37</v>
      </c>
      <c r="C16" s="1013">
        <f ca="1">ROUND('Pricing Detail'!M18*100,2)</f>
        <v>0</v>
      </c>
    </row>
    <row r="17" spans="1:5" x14ac:dyDescent="0.2">
      <c r="A17" s="1013" t="s">
        <v>38</v>
      </c>
      <c r="B17" s="1013" t="s">
        <v>39</v>
      </c>
      <c r="C17" s="1013">
        <f ca="1">ROUND('Pricing Detail'!O18*100,2)</f>
        <v>0</v>
      </c>
    </row>
    <row r="18" spans="1:5" x14ac:dyDescent="0.2">
      <c r="A18" s="1013" t="s">
        <v>40</v>
      </c>
      <c r="B18" s="1013" t="s">
        <v>41</v>
      </c>
      <c r="C18" s="1013" t="str">
        <f>IF(Acq_Financing_Type_Switch="All Cash","All Cash",IF(Acq_Financing_Type_Switch="Financed - Assumed Loan","Loan Assumption","New Loan"))</f>
        <v>New Loan</v>
      </c>
    </row>
    <row r="19" spans="1:5" ht="15" x14ac:dyDescent="0.25">
      <c r="A19" s="1013" t="s">
        <v>42</v>
      </c>
      <c r="B19" s="1013" t="s">
        <v>43</v>
      </c>
      <c r="C19" s="1014">
        <f ca="1">ROUND('Pricing Detail'!N7,0)</f>
        <v>0</v>
      </c>
    </row>
    <row r="20" spans="1:5" ht="15" x14ac:dyDescent="0.25">
      <c r="A20" s="1013" t="s">
        <v>44</v>
      </c>
      <c r="B20" s="1013" t="s">
        <v>45</v>
      </c>
      <c r="C20" s="1014">
        <f ca="1">ROUND('Pricing Detail'!P7,0)</f>
        <v>0</v>
      </c>
    </row>
    <row r="21" spans="1:5" ht="15" x14ac:dyDescent="0.25">
      <c r="A21" s="1013" t="s">
        <v>46</v>
      </c>
      <c r="B21" s="1013" t="s">
        <v>47</v>
      </c>
      <c r="C21" s="1014">
        <f>ROUND('Pricing Detail'!N10,0)</f>
        <v>0</v>
      </c>
    </row>
    <row r="22" spans="1:5" ht="15" x14ac:dyDescent="0.25">
      <c r="A22" s="1013" t="s">
        <v>48</v>
      </c>
      <c r="B22" s="1013" t="s">
        <v>49</v>
      </c>
      <c r="C22" s="1014">
        <f>ROUND('Pricing Detail'!P10,0)</f>
        <v>0</v>
      </c>
    </row>
    <row r="23" spans="1:5" ht="15" x14ac:dyDescent="0.25">
      <c r="A23" s="1013" t="s">
        <v>50</v>
      </c>
      <c r="B23" s="1013" t="s">
        <v>51</v>
      </c>
      <c r="C23" s="1014">
        <f ca="1">ROUND('Pricing Detail'!N8,0)</f>
        <v>0</v>
      </c>
    </row>
    <row r="24" spans="1:5" ht="15" x14ac:dyDescent="0.25">
      <c r="A24" s="1013" t="s">
        <v>52</v>
      </c>
      <c r="B24" s="1013" t="s">
        <v>53</v>
      </c>
      <c r="C24" s="1014">
        <f ca="1">ROUND('Pricing Detail'!P8,0)</f>
        <v>0</v>
      </c>
    </row>
    <row r="25" spans="1:5" ht="15" x14ac:dyDescent="0.25">
      <c r="A25" s="1013" t="s">
        <v>54</v>
      </c>
      <c r="B25" s="1013" t="s">
        <v>55</v>
      </c>
      <c r="C25" s="1014"/>
    </row>
    <row r="26" spans="1:5" ht="15" x14ac:dyDescent="0.25">
      <c r="A26" s="1013" t="s">
        <v>56</v>
      </c>
      <c r="B26" s="1013" t="s">
        <v>57</v>
      </c>
      <c r="C26" s="1014"/>
    </row>
    <row r="27" spans="1:5" x14ac:dyDescent="0.2">
      <c r="A27" s="1013" t="s">
        <v>58</v>
      </c>
      <c r="B27" s="1013" t="s">
        <v>59</v>
      </c>
    </row>
    <row r="28" spans="1:5" x14ac:dyDescent="0.2">
      <c r="A28" s="1013" t="s">
        <v>60</v>
      </c>
      <c r="B28" s="1013" t="s">
        <v>61</v>
      </c>
    </row>
    <row r="29" spans="1:5" x14ac:dyDescent="0.2">
      <c r="A29" s="1013" t="s">
        <v>62</v>
      </c>
      <c r="B29" s="1013" t="s">
        <v>63</v>
      </c>
    </row>
    <row r="30" spans="1:5" x14ac:dyDescent="0.2">
      <c r="A30" s="1013" t="s">
        <v>64</v>
      </c>
      <c r="B30" s="1013" t="s">
        <v>65</v>
      </c>
    </row>
    <row r="31" spans="1:5" x14ac:dyDescent="0.2">
      <c r="A31" s="1013" t="s">
        <v>66</v>
      </c>
      <c r="B31" s="1013" t="s">
        <v>67</v>
      </c>
    </row>
    <row r="32" spans="1:5" x14ac:dyDescent="0.2">
      <c r="A32" s="1013" t="s">
        <v>68</v>
      </c>
      <c r="B32" s="1013" t="s">
        <v>69</v>
      </c>
      <c r="E32" s="1013" t="s">
        <v>70</v>
      </c>
    </row>
    <row r="33" spans="1:7" x14ac:dyDescent="0.2">
      <c r="A33" s="1013" t="s">
        <v>71</v>
      </c>
      <c r="B33" s="1013" t="s">
        <v>72</v>
      </c>
    </row>
    <row r="34" spans="1:7" x14ac:dyDescent="0.2">
      <c r="A34" s="1013" t="s">
        <v>73</v>
      </c>
      <c r="B34" s="1013" t="s">
        <v>74</v>
      </c>
      <c r="E34" s="1013" t="s">
        <v>75</v>
      </c>
      <c r="F34" s="1013" t="s">
        <v>76</v>
      </c>
      <c r="G34" s="1013" t="s">
        <v>77</v>
      </c>
    </row>
    <row r="35" spans="1:7" x14ac:dyDescent="0.2">
      <c r="A35" s="1013" t="s">
        <v>78</v>
      </c>
      <c r="B35" s="1013" t="s">
        <v>79</v>
      </c>
    </row>
    <row r="36" spans="1:7" x14ac:dyDescent="0.2">
      <c r="A36" s="1013" t="s">
        <v>80</v>
      </c>
      <c r="B36" s="1013" t="s">
        <v>81</v>
      </c>
    </row>
    <row r="37" spans="1:7" x14ac:dyDescent="0.2">
      <c r="A37" s="1013" t="s">
        <v>82</v>
      </c>
      <c r="B37" s="1013" t="s">
        <v>83</v>
      </c>
    </row>
    <row r="38" spans="1:7" x14ac:dyDescent="0.2">
      <c r="A38" s="1013" t="s">
        <v>84</v>
      </c>
      <c r="B38" s="1013" t="s">
        <v>85</v>
      </c>
    </row>
    <row r="39" spans="1:7" x14ac:dyDescent="0.2">
      <c r="A39" s="1013" t="s">
        <v>86</v>
      </c>
      <c r="B39" s="1013" t="s">
        <v>87</v>
      </c>
    </row>
    <row r="40" spans="1:7" x14ac:dyDescent="0.2">
      <c r="A40" s="1013" t="s">
        <v>88</v>
      </c>
      <c r="B40" s="1013" t="s">
        <v>89</v>
      </c>
    </row>
    <row r="41" spans="1:7" x14ac:dyDescent="0.2">
      <c r="A41" s="1013" t="s">
        <v>90</v>
      </c>
      <c r="B41" s="1013" t="s">
        <v>91</v>
      </c>
    </row>
    <row r="42" spans="1:7" x14ac:dyDescent="0.2">
      <c r="A42" s="1013" t="s">
        <v>92</v>
      </c>
      <c r="B42" s="1013" t="s">
        <v>93</v>
      </c>
    </row>
    <row r="43" spans="1:7" x14ac:dyDescent="0.2">
      <c r="A43" s="1013" t="s">
        <v>77</v>
      </c>
      <c r="B43" s="1013" t="s">
        <v>94</v>
      </c>
    </row>
    <row r="44" spans="1:7" x14ac:dyDescent="0.2">
      <c r="A44" s="1013" t="s">
        <v>95</v>
      </c>
      <c r="B44" s="1013" t="s">
        <v>96</v>
      </c>
    </row>
    <row r="45" spans="1:7" x14ac:dyDescent="0.2">
      <c r="A45" s="1013" t="s">
        <v>97</v>
      </c>
      <c r="B45" s="1013" t="s">
        <v>98</v>
      </c>
    </row>
    <row r="46" spans="1:7" x14ac:dyDescent="0.2">
      <c r="A46" s="1013" t="s">
        <v>99</v>
      </c>
      <c r="B46" s="1013" t="s">
        <v>98</v>
      </c>
    </row>
    <row r="47" spans="1:7" x14ac:dyDescent="0.2">
      <c r="A47" s="1013" t="s">
        <v>100</v>
      </c>
      <c r="B47" s="1013" t="s">
        <v>101</v>
      </c>
    </row>
    <row r="48" spans="1:7" x14ac:dyDescent="0.2">
      <c r="A48" s="1013" t="s">
        <v>102</v>
      </c>
      <c r="B48" s="1013" t="s">
        <v>103</v>
      </c>
    </row>
    <row r="49" spans="1:2" x14ac:dyDescent="0.2">
      <c r="A49" s="1013" t="s">
        <v>104</v>
      </c>
      <c r="B49" s="1013" t="s">
        <v>70</v>
      </c>
    </row>
    <row r="50" spans="1:2" x14ac:dyDescent="0.2">
      <c r="A50" s="1013" t="s">
        <v>105</v>
      </c>
      <c r="B50" s="1013" t="s">
        <v>106</v>
      </c>
    </row>
    <row r="51" spans="1:2" x14ac:dyDescent="0.2">
      <c r="A51" s="1013" t="s">
        <v>107</v>
      </c>
      <c r="B51" s="1013" t="s">
        <v>108</v>
      </c>
    </row>
    <row r="52" spans="1:2" x14ac:dyDescent="0.2">
      <c r="A52" s="1013" t="s">
        <v>109</v>
      </c>
      <c r="B52" s="1013" t="s">
        <v>110</v>
      </c>
    </row>
    <row r="53" spans="1:2" x14ac:dyDescent="0.2">
      <c r="A53" s="1013" t="s">
        <v>111</v>
      </c>
      <c r="B53" s="1013" t="s">
        <v>112</v>
      </c>
    </row>
    <row r="54" spans="1:2" x14ac:dyDescent="0.2">
      <c r="A54" s="1013" t="s">
        <v>113</v>
      </c>
      <c r="B54" s="1013" t="s">
        <v>114</v>
      </c>
    </row>
    <row r="55" spans="1:2" x14ac:dyDescent="0.2">
      <c r="A55" s="1013" t="s">
        <v>115</v>
      </c>
      <c r="B55" s="1013" t="s">
        <v>116</v>
      </c>
    </row>
    <row r="56" spans="1:2" x14ac:dyDescent="0.2">
      <c r="A56" s="1013" t="s">
        <v>117</v>
      </c>
      <c r="B56" s="1013" t="s">
        <v>118</v>
      </c>
    </row>
    <row r="57" spans="1:2" x14ac:dyDescent="0.2">
      <c r="A57" s="1013" t="s">
        <v>119</v>
      </c>
      <c r="B57" s="1013" t="s">
        <v>120</v>
      </c>
    </row>
    <row r="58" spans="1:2" x14ac:dyDescent="0.2">
      <c r="A58" s="1013" t="s">
        <v>121</v>
      </c>
      <c r="B58" s="1013" t="s">
        <v>122</v>
      </c>
    </row>
    <row r="59" spans="1:2" x14ac:dyDescent="0.2">
      <c r="A59" s="1013" t="s">
        <v>123</v>
      </c>
      <c r="B59" s="1013" t="s">
        <v>124</v>
      </c>
    </row>
  </sheetData>
  <conditionalFormatting sqref="B4">
    <cfRule type="containsText" dxfId="69" priority="1" operator="containsText" text="(Pro Forma)">
      <formula>NOT(ISERROR(SEARCH("(Pro Forma)",B4)))</formula>
    </cfRule>
  </conditionalFormatting>
  <dataValidations disablePrompts="1" count="1">
    <dataValidation type="list" allowBlank="1" showInputMessage="1" showErrorMessage="1" sqref="F35:F42 F44" xr:uid="{54B1C18C-5F9C-4521-B78A-FA57F3170484}">
      <formula1>"Yes, No"</formula1>
    </dataValidation>
  </dataValidations>
  <pageMargins left="0.7" right="0.7" top="0.75" bottom="0.75" header="0.3" footer="0.3"/>
  <pageSetup orientation="portrait" r:id="rId1"/>
  <customProperties>
    <customPr name="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BEC41-FCE5-42E3-BCFE-B14FF9ADB2EE}">
  <sheetPr codeName="Sheet2">
    <tabColor rgb="FFD8E2EC"/>
  </sheetPr>
  <dimension ref="A1:X41"/>
  <sheetViews>
    <sheetView tabSelected="1" zoomScaleNormal="100" workbookViewId="0">
      <selection activeCell="F24" sqref="F24"/>
    </sheetView>
  </sheetViews>
  <sheetFormatPr defaultColWidth="9.140625" defaultRowHeight="15.75" x14ac:dyDescent="0.3"/>
  <cols>
    <col min="1" max="1" width="37.7109375" style="3" customWidth="1"/>
    <col min="2" max="2" width="27.42578125" style="3" customWidth="1"/>
    <col min="3" max="3" width="3.85546875" style="3" customWidth="1"/>
    <col min="4" max="4" width="12.85546875" style="3" bestFit="1" customWidth="1"/>
    <col min="5" max="14" width="10.7109375" style="3" customWidth="1"/>
    <col min="15" max="16" width="9.7109375" style="3" customWidth="1"/>
    <col min="17" max="17" width="16" style="3" hidden="1" customWidth="1"/>
    <col min="18" max="18" width="9.140625" style="3" hidden="1" customWidth="1"/>
    <col min="19" max="19" width="11.42578125" style="3" hidden="1" customWidth="1"/>
    <col min="20" max="24" width="9.140625" style="3" hidden="1" customWidth="1"/>
    <col min="25" max="16384" width="9.140625" style="3"/>
  </cols>
  <sheetData>
    <row r="1" spans="1:19" ht="27" customHeight="1" x14ac:dyDescent="0.3">
      <c r="A1" s="1068" t="s">
        <v>125</v>
      </c>
      <c r="B1" s="1069"/>
      <c r="C1" s="1069"/>
      <c r="D1" s="1069"/>
      <c r="E1" s="1069"/>
      <c r="F1" s="1069"/>
      <c r="G1" s="1069"/>
      <c r="H1" s="1069"/>
      <c r="I1" s="1069"/>
      <c r="J1" s="1069"/>
      <c r="K1" s="1069"/>
      <c r="L1" s="1069"/>
      <c r="M1" s="1069"/>
      <c r="N1" s="1070"/>
      <c r="O1" s="2"/>
      <c r="P1" s="2"/>
      <c r="Q1" s="1"/>
      <c r="R1" s="32"/>
      <c r="S1" s="1"/>
    </row>
    <row r="2" spans="1:19" ht="4.3499999999999996" customHeight="1" x14ac:dyDescent="0.3">
      <c r="A2" s="4"/>
      <c r="B2" s="5"/>
      <c r="C2" s="5"/>
      <c r="D2" s="5"/>
      <c r="E2" s="5"/>
      <c r="F2" s="5"/>
      <c r="G2" s="5"/>
      <c r="H2" s="5"/>
      <c r="I2" s="5"/>
      <c r="J2" s="5"/>
      <c r="K2" s="5"/>
      <c r="L2" s="5"/>
      <c r="M2" s="5"/>
      <c r="N2" s="5"/>
      <c r="O2" s="2"/>
      <c r="P2" s="2"/>
      <c r="Q2" s="7"/>
      <c r="R2" s="2"/>
      <c r="S2" s="7"/>
    </row>
    <row r="3" spans="1:19" ht="4.3499999999999996" customHeight="1" thickBot="1" x14ac:dyDescent="0.35">
      <c r="A3" s="8"/>
      <c r="B3" s="9"/>
      <c r="C3" s="9"/>
      <c r="D3" s="9"/>
      <c r="E3" s="9"/>
      <c r="F3" s="9"/>
      <c r="G3" s="9"/>
      <c r="H3" s="9"/>
      <c r="I3" s="9"/>
      <c r="J3" s="9"/>
      <c r="K3" s="9"/>
      <c r="L3" s="9"/>
      <c r="M3" s="9"/>
      <c r="N3" s="9"/>
      <c r="O3" s="2"/>
      <c r="P3" s="2"/>
      <c r="Q3" s="7"/>
      <c r="R3" s="2"/>
      <c r="S3" s="7"/>
    </row>
    <row r="4" spans="1:19" ht="15" customHeight="1" thickBot="1" x14ac:dyDescent="0.35">
      <c r="A4" s="10"/>
      <c r="B4" s="10"/>
      <c r="C4" s="11"/>
      <c r="D4" s="11"/>
      <c r="E4" s="11"/>
      <c r="F4" s="6"/>
      <c r="G4" s="7"/>
      <c r="H4" s="2"/>
      <c r="I4" s="2"/>
      <c r="J4" s="2"/>
      <c r="K4" s="2"/>
      <c r="L4" s="2"/>
      <c r="M4" s="2"/>
      <c r="N4" s="2"/>
      <c r="O4" s="2"/>
      <c r="P4" s="2"/>
      <c r="Q4" s="7"/>
      <c r="R4" s="2"/>
      <c r="S4" s="7"/>
    </row>
    <row r="5" spans="1:19" ht="15" customHeight="1" thickBot="1" x14ac:dyDescent="0.35">
      <c r="A5" s="12" t="s">
        <v>126</v>
      </c>
      <c r="B5" s="13"/>
      <c r="C5" s="14"/>
      <c r="D5" s="1071" t="str" cm="1">
        <f t="array" ref="D5">IF(IFERROR(_xlfn.SEQUENCE(1,1,1,1),FALSE)=1, "This model is compatible with your version of Excel", "This model is NOT compatible with your version of Excel, please upgrade to Office 365")</f>
        <v>This model is compatible with your version of Excel</v>
      </c>
      <c r="E5" s="1072"/>
      <c r="F5" s="1072"/>
      <c r="G5" s="1072"/>
      <c r="H5" s="1072"/>
      <c r="I5" s="1072"/>
      <c r="J5" s="1072"/>
      <c r="K5" s="1072"/>
      <c r="L5" s="1072"/>
      <c r="M5" s="1072"/>
      <c r="N5" s="1073"/>
      <c r="O5" s="2"/>
      <c r="P5" s="2"/>
      <c r="Q5" s="7"/>
      <c r="R5" s="2"/>
      <c r="S5" s="7"/>
    </row>
    <row r="6" spans="1:19" ht="15" customHeight="1" thickBot="1" x14ac:dyDescent="0.35">
      <c r="A6" s="17" t="s">
        <v>127</v>
      </c>
      <c r="B6" s="1055"/>
      <c r="C6" s="1037"/>
      <c r="D6" s="1071"/>
      <c r="E6" s="1072"/>
      <c r="F6" s="1072"/>
      <c r="G6" s="1072"/>
      <c r="H6" s="1072"/>
      <c r="I6" s="1072"/>
      <c r="J6" s="1072"/>
      <c r="K6" s="1072"/>
      <c r="L6" s="1072"/>
      <c r="M6" s="1072"/>
      <c r="N6" s="1073"/>
      <c r="O6" s="2"/>
      <c r="P6" s="2"/>
      <c r="Q6" s="7"/>
      <c r="R6" s="2"/>
      <c r="S6" s="7"/>
    </row>
    <row r="7" spans="1:19" ht="15" customHeight="1" thickBot="1" x14ac:dyDescent="0.35">
      <c r="A7" s="17" t="s">
        <v>128</v>
      </c>
      <c r="B7" s="133" t="s">
        <v>129</v>
      </c>
      <c r="C7" s="1038"/>
      <c r="D7" s="56"/>
      <c r="E7" s="56"/>
      <c r="F7" s="16"/>
      <c r="G7" s="7"/>
      <c r="H7" s="2"/>
      <c r="I7" s="2"/>
      <c r="J7" s="2"/>
      <c r="K7" s="2"/>
      <c r="L7" s="2"/>
      <c r="M7" s="2"/>
      <c r="N7" s="2"/>
      <c r="O7" s="2"/>
      <c r="P7" s="2"/>
      <c r="Q7" s="7"/>
      <c r="R7" s="2"/>
      <c r="S7" s="7"/>
    </row>
    <row r="8" spans="1:19" ht="15" customHeight="1" thickBot="1" x14ac:dyDescent="0.35">
      <c r="A8" s="17" t="s">
        <v>130</v>
      </c>
      <c r="B8" s="134"/>
      <c r="C8" s="18"/>
      <c r="D8" s="56"/>
      <c r="E8" s="56"/>
      <c r="F8" s="16"/>
      <c r="G8" s="7"/>
      <c r="H8" s="2"/>
      <c r="I8" s="2"/>
      <c r="J8" s="2"/>
      <c r="K8" s="2"/>
      <c r="L8" s="2"/>
      <c r="M8" s="2"/>
      <c r="N8" s="2"/>
      <c r="O8" s="2"/>
      <c r="P8" s="2"/>
      <c r="Q8" s="7"/>
      <c r="R8" s="2"/>
      <c r="S8" s="7"/>
    </row>
    <row r="9" spans="1:19" ht="15" customHeight="1" thickBot="1" x14ac:dyDescent="0.35">
      <c r="A9" s="19" t="s">
        <v>131</v>
      </c>
      <c r="B9" s="135"/>
      <c r="C9" s="18"/>
      <c r="D9" s="56"/>
      <c r="E9" s="56"/>
      <c r="F9" s="27"/>
      <c r="G9" s="62"/>
      <c r="H9" s="34"/>
      <c r="I9" s="34"/>
      <c r="J9" s="34"/>
      <c r="K9" s="34"/>
      <c r="L9" s="34"/>
      <c r="M9" s="34"/>
      <c r="N9" s="34"/>
      <c r="O9" s="34"/>
      <c r="P9" s="34"/>
      <c r="Q9" s="35"/>
      <c r="R9" s="34"/>
      <c r="S9" s="7"/>
    </row>
    <row r="10" spans="1:19" ht="15" customHeight="1" thickBot="1" x14ac:dyDescent="0.35">
      <c r="A10" s="24" t="s">
        <v>132</v>
      </c>
      <c r="B10" s="25"/>
      <c r="C10" s="18"/>
      <c r="D10" s="56"/>
      <c r="E10" s="56"/>
      <c r="F10" s="15"/>
      <c r="G10" s="56"/>
      <c r="H10" s="56"/>
      <c r="I10" s="56"/>
      <c r="J10" s="56"/>
      <c r="K10" s="56"/>
      <c r="L10" s="56"/>
      <c r="M10" s="56"/>
      <c r="N10" s="56"/>
      <c r="O10" s="56"/>
      <c r="P10" s="56"/>
      <c r="Q10" s="56"/>
      <c r="R10" s="56"/>
      <c r="S10" s="61"/>
    </row>
    <row r="11" spans="1:19" ht="15" customHeight="1" thickBot="1" x14ac:dyDescent="0.35">
      <c r="A11" s="28" t="s">
        <v>133</v>
      </c>
      <c r="B11" s="136"/>
      <c r="C11" s="23"/>
      <c r="D11" s="56"/>
      <c r="E11" s="56"/>
      <c r="F11" s="15"/>
      <c r="G11" s="56"/>
      <c r="H11" s="56"/>
      <c r="I11" s="56"/>
      <c r="J11" s="56"/>
      <c r="K11" s="56"/>
      <c r="L11" s="56"/>
      <c r="M11" s="56"/>
      <c r="N11" s="56"/>
      <c r="O11" s="56"/>
      <c r="P11" s="56"/>
      <c r="Q11" s="56"/>
      <c r="R11" s="56"/>
      <c r="S11" s="61"/>
    </row>
    <row r="12" spans="1:19" ht="15" customHeight="1" thickBot="1" x14ac:dyDescent="0.35">
      <c r="A12" s="17" t="s">
        <v>134</v>
      </c>
      <c r="B12" s="133"/>
      <c r="C12" s="53"/>
      <c r="D12" s="56"/>
      <c r="E12" s="56"/>
      <c r="F12" s="15"/>
      <c r="G12" s="56"/>
      <c r="H12" s="56"/>
      <c r="I12" s="56"/>
      <c r="J12" s="56"/>
      <c r="K12" s="56"/>
      <c r="L12" s="56"/>
      <c r="M12" s="56"/>
      <c r="N12" s="56"/>
      <c r="O12" s="56"/>
      <c r="P12" s="56"/>
      <c r="Q12" s="56"/>
      <c r="R12" s="56"/>
      <c r="S12" s="61"/>
    </row>
    <row r="13" spans="1:19" ht="15" customHeight="1" thickBot="1" x14ac:dyDescent="0.35">
      <c r="A13" s="17" t="s">
        <v>135</v>
      </c>
      <c r="B13" s="133"/>
      <c r="C13" s="14"/>
      <c r="D13" s="56"/>
      <c r="E13" s="56"/>
      <c r="F13" s="15"/>
      <c r="G13" s="56"/>
      <c r="H13" s="56"/>
      <c r="I13" s="56"/>
      <c r="J13" s="56"/>
      <c r="K13" s="56"/>
      <c r="L13" s="56"/>
      <c r="M13" s="56"/>
      <c r="N13" s="56"/>
      <c r="O13" s="56"/>
      <c r="P13" s="56"/>
      <c r="Q13" s="56"/>
      <c r="R13" s="56"/>
      <c r="S13" s="61"/>
    </row>
    <row r="14" spans="1:19" ht="15" customHeight="1" thickBot="1" x14ac:dyDescent="0.35">
      <c r="A14" s="17" t="s">
        <v>136</v>
      </c>
      <c r="B14" s="133"/>
      <c r="C14" s="18"/>
      <c r="D14" s="36"/>
      <c r="E14" s="57"/>
      <c r="F14" s="15"/>
      <c r="G14" s="56"/>
      <c r="H14" s="56"/>
      <c r="I14" s="56"/>
      <c r="J14" s="56"/>
      <c r="K14" s="56"/>
      <c r="L14" s="56"/>
      <c r="M14" s="56"/>
      <c r="N14" s="56"/>
      <c r="O14" s="56"/>
      <c r="P14" s="56"/>
      <c r="Q14" s="56"/>
      <c r="R14" s="56"/>
      <c r="S14" s="61"/>
    </row>
    <row r="15" spans="1:19" ht="15" customHeight="1" thickBot="1" x14ac:dyDescent="0.35">
      <c r="A15" s="966" t="s">
        <v>137</v>
      </c>
      <c r="B15" s="967"/>
      <c r="C15" s="18"/>
      <c r="D15" s="36"/>
      <c r="E15" s="57"/>
      <c r="F15" s="15"/>
      <c r="G15" s="56"/>
      <c r="H15" s="56"/>
      <c r="I15" s="56"/>
      <c r="J15" s="56"/>
      <c r="K15" s="56"/>
      <c r="L15" s="56"/>
      <c r="M15" s="56"/>
      <c r="N15" s="56"/>
      <c r="O15" s="56"/>
      <c r="P15" s="56"/>
      <c r="Q15" s="56"/>
      <c r="R15" s="56"/>
      <c r="S15" s="61"/>
    </row>
    <row r="16" spans="1:19" ht="15" hidden="1" customHeight="1" thickBot="1" x14ac:dyDescent="0.35">
      <c r="A16" s="24" t="s">
        <v>138</v>
      </c>
      <c r="B16" s="26"/>
      <c r="C16" s="18"/>
      <c r="D16" s="56"/>
      <c r="E16" s="56"/>
      <c r="F16" s="15"/>
      <c r="G16" s="56"/>
      <c r="H16" s="56"/>
      <c r="I16" s="56"/>
      <c r="J16" s="56"/>
      <c r="K16" s="56"/>
      <c r="L16" s="56"/>
      <c r="M16" s="56"/>
      <c r="N16" s="56"/>
      <c r="O16" s="56"/>
      <c r="P16" s="56"/>
      <c r="Q16" s="56"/>
      <c r="R16" s="56"/>
      <c r="S16" s="61"/>
    </row>
    <row r="17" spans="1:24" ht="15" hidden="1" customHeight="1" thickBot="1" x14ac:dyDescent="0.35">
      <c r="A17" s="28" t="s">
        <v>139</v>
      </c>
      <c r="B17" s="136"/>
      <c r="C17" s="18"/>
      <c r="D17" s="36"/>
      <c r="E17" s="58"/>
      <c r="F17" s="15"/>
      <c r="G17" s="56"/>
      <c r="H17" s="56"/>
      <c r="I17" s="56"/>
      <c r="J17" s="56"/>
      <c r="K17" s="56"/>
      <c r="L17" s="56"/>
      <c r="M17" s="56"/>
      <c r="N17" s="56"/>
      <c r="O17" s="56"/>
      <c r="P17" s="56"/>
      <c r="Q17" s="56"/>
      <c r="R17" s="56"/>
      <c r="S17" s="61"/>
    </row>
    <row r="18" spans="1:24" ht="15" customHeight="1" thickBot="1" x14ac:dyDescent="0.35">
      <c r="A18" s="21" t="s">
        <v>140</v>
      </c>
      <c r="B18" s="22"/>
      <c r="C18" s="18"/>
      <c r="D18" s="54"/>
      <c r="E18" s="55"/>
      <c r="F18" s="63"/>
      <c r="G18" s="64"/>
      <c r="H18" s="65"/>
      <c r="I18" s="65"/>
      <c r="J18" s="65"/>
      <c r="K18" s="65"/>
      <c r="L18" s="65"/>
      <c r="M18" s="65"/>
      <c r="N18" s="65"/>
      <c r="O18" s="65"/>
      <c r="P18" s="65"/>
      <c r="Q18" s="64"/>
      <c r="R18" s="32"/>
      <c r="S18" s="7"/>
    </row>
    <row r="19" spans="1:24" ht="15" customHeight="1" thickBot="1" x14ac:dyDescent="0.35">
      <c r="A19" s="17" t="s">
        <v>141</v>
      </c>
      <c r="B19" s="137"/>
      <c r="C19" s="18"/>
      <c r="D19" s="2"/>
      <c r="E19" s="2"/>
      <c r="F19" s="52"/>
      <c r="G19" s="2"/>
      <c r="H19" s="2"/>
      <c r="I19" s="2"/>
      <c r="J19" s="2"/>
      <c r="K19" s="2"/>
      <c r="L19" s="2"/>
      <c r="M19" s="2"/>
      <c r="N19" s="2"/>
      <c r="O19" s="2"/>
      <c r="P19" s="2"/>
      <c r="Q19" s="2"/>
      <c r="R19" s="6"/>
      <c r="S19" s="7"/>
    </row>
    <row r="20" spans="1:24" ht="15" hidden="1" customHeight="1" thickBot="1" x14ac:dyDescent="0.35">
      <c r="A20" s="17" t="s">
        <v>142</v>
      </c>
      <c r="B20" s="138"/>
      <c r="C20" s="18"/>
      <c r="D20" s="2"/>
      <c r="E20" s="2"/>
      <c r="F20" s="52"/>
      <c r="G20" s="2"/>
      <c r="H20" s="2"/>
      <c r="I20" s="2"/>
      <c r="J20" s="2"/>
      <c r="K20" s="2"/>
      <c r="L20" s="2"/>
      <c r="M20" s="2"/>
      <c r="N20" s="2"/>
      <c r="O20" s="2"/>
      <c r="P20" s="2"/>
      <c r="Q20" s="2"/>
      <c r="R20" s="6"/>
      <c r="S20" s="7"/>
    </row>
    <row r="21" spans="1:24" ht="15" hidden="1" customHeight="1" thickBot="1" x14ac:dyDescent="0.35">
      <c r="A21" s="17" t="s">
        <v>143</v>
      </c>
      <c r="B21" s="139"/>
      <c r="C21" s="18"/>
      <c r="D21" s="2"/>
      <c r="E21" s="2"/>
      <c r="F21" s="52"/>
      <c r="G21" s="2"/>
      <c r="H21" s="2"/>
      <c r="I21" s="2"/>
      <c r="J21" s="2"/>
      <c r="K21" s="2"/>
      <c r="L21" s="2"/>
      <c r="M21" s="2"/>
      <c r="N21" s="2"/>
      <c r="O21" s="2"/>
      <c r="P21" s="2"/>
      <c r="Q21" s="971">
        <f>Input!B6</f>
        <v>0</v>
      </c>
      <c r="R21" s="6"/>
      <c r="S21" s="7"/>
    </row>
    <row r="22" spans="1:24" ht="16.5" hidden="1" thickBot="1" x14ac:dyDescent="0.35">
      <c r="A22" s="20" t="s">
        <v>144</v>
      </c>
      <c r="B22" s="133"/>
      <c r="C22" s="29"/>
      <c r="D22" s="51"/>
      <c r="E22" s="51"/>
      <c r="F22" s="30"/>
      <c r="G22" s="1"/>
      <c r="H22" s="32"/>
      <c r="I22" s="32"/>
      <c r="J22" s="32"/>
      <c r="K22" s="32"/>
      <c r="L22" s="32"/>
      <c r="M22" s="32"/>
      <c r="N22" s="32"/>
      <c r="O22" s="32"/>
      <c r="P22" s="32"/>
      <c r="Q22" s="1"/>
      <c r="R22" s="2"/>
      <c r="S22" s="7" t="s">
        <v>145</v>
      </c>
    </row>
    <row r="23" spans="1:24" hidden="1" x14ac:dyDescent="0.3">
      <c r="A23" s="20" t="s">
        <v>146</v>
      </c>
      <c r="B23" s="140"/>
      <c r="C23" s="32"/>
      <c r="D23" s="32"/>
      <c r="E23" s="32"/>
      <c r="F23" s="2"/>
      <c r="G23" s="7"/>
      <c r="H23" s="2"/>
      <c r="I23" s="2"/>
      <c r="J23" s="2"/>
      <c r="K23" s="2"/>
      <c r="L23" s="2"/>
      <c r="M23" s="2"/>
      <c r="N23" s="2"/>
      <c r="O23" s="2"/>
      <c r="P23" s="2"/>
      <c r="Q23" s="7"/>
      <c r="R23" s="2" t="s">
        <v>147</v>
      </c>
      <c r="S23" s="7" t="s">
        <v>148</v>
      </c>
      <c r="T23" s="3" t="s">
        <v>149</v>
      </c>
      <c r="U23" s="3" t="s">
        <v>150</v>
      </c>
      <c r="V23" s="3" t="s">
        <v>127</v>
      </c>
      <c r="W23" s="3" t="s">
        <v>127</v>
      </c>
      <c r="X23" s="3" t="s">
        <v>147</v>
      </c>
    </row>
    <row r="24" spans="1:24" ht="16.5" thickBot="1" x14ac:dyDescent="0.35">
      <c r="A24" s="17" t="s">
        <v>151</v>
      </c>
      <c r="B24" s="141"/>
      <c r="C24" s="2"/>
      <c r="D24" s="2"/>
      <c r="E24" s="2"/>
      <c r="F24" s="2"/>
      <c r="G24" s="7"/>
      <c r="H24" s="2"/>
      <c r="I24" s="2"/>
      <c r="J24" s="2"/>
      <c r="K24" s="2"/>
      <c r="L24" s="2"/>
      <c r="M24" s="2"/>
      <c r="N24" s="2"/>
      <c r="O24" s="2"/>
      <c r="P24" s="2"/>
      <c r="Q24" s="7" t="s">
        <v>127</v>
      </c>
      <c r="R24" s="2" t="s">
        <v>5</v>
      </c>
      <c r="S24" s="7" t="s">
        <v>152</v>
      </c>
      <c r="T24" s="3" t="s">
        <v>153</v>
      </c>
      <c r="U24" s="3" t="s">
        <v>154</v>
      </c>
      <c r="V24" s="3" t="s">
        <v>155</v>
      </c>
      <c r="W24" s="3" t="s">
        <v>156</v>
      </c>
      <c r="X24" s="3" t="s">
        <v>157</v>
      </c>
    </row>
    <row r="25" spans="1:24" ht="16.5" thickBot="1" x14ac:dyDescent="0.35">
      <c r="A25" s="24" t="s">
        <v>158</v>
      </c>
      <c r="B25" s="31"/>
      <c r="C25" s="2"/>
      <c r="D25" s="1065" t="s">
        <v>159</v>
      </c>
      <c r="E25" s="1066"/>
      <c r="F25" s="1066"/>
      <c r="G25" s="1066"/>
      <c r="H25" s="1066"/>
      <c r="I25" s="1066"/>
      <c r="J25" s="1066"/>
      <c r="K25" s="1066"/>
      <c r="L25" s="1066"/>
      <c r="M25" s="1066"/>
      <c r="N25" s="1067"/>
      <c r="O25" s="2"/>
      <c r="P25" s="2"/>
      <c r="Q25" s="760"/>
      <c r="R25" s="761">
        <f ca="1">'Pricing Detail'!$H$13</f>
        <v>0</v>
      </c>
      <c r="S25" s="762">
        <f ca="1">'Pricing Detail'!$G$15</f>
        <v>0</v>
      </c>
      <c r="T25" s="758">
        <f ca="1">'Cash Flow'!$P$45</f>
        <v>0</v>
      </c>
      <c r="U25" s="758">
        <f ca="1">'Cash Flow'!$P$46</f>
        <v>0</v>
      </c>
      <c r="V25" s="3">
        <f ca="1">'Pricing Detail'!$G$8</f>
        <v>0</v>
      </c>
      <c r="W25" s="3">
        <f ca="1">'Pricing Detail'!$G$7</f>
        <v>0</v>
      </c>
      <c r="X25" s="759">
        <f ca="1">'Pricing Detail'!H14</f>
        <v>0</v>
      </c>
    </row>
    <row r="26" spans="1:24" x14ac:dyDescent="0.3">
      <c r="A26" s="28" t="s">
        <v>160</v>
      </c>
      <c r="B26" s="136"/>
      <c r="C26" s="2"/>
      <c r="D26" s="81" t="s">
        <v>161</v>
      </c>
      <c r="E26" s="81">
        <v>1</v>
      </c>
      <c r="F26" s="81">
        <v>2</v>
      </c>
      <c r="G26" s="81">
        <v>3</v>
      </c>
      <c r="H26" s="81">
        <v>4</v>
      </c>
      <c r="I26" s="81">
        <v>5</v>
      </c>
      <c r="J26" s="81">
        <v>6</v>
      </c>
      <c r="K26" s="81">
        <v>7</v>
      </c>
      <c r="L26" s="81">
        <v>8</v>
      </c>
      <c r="M26" s="81">
        <v>9</v>
      </c>
      <c r="N26" s="81">
        <v>10</v>
      </c>
      <c r="O26" s="2"/>
      <c r="P26" s="2"/>
      <c r="Q26" s="760">
        <f>Q27+Price_Increments</f>
        <v>0</v>
      </c>
      <c r="R26" s="761">
        <f t="dataTable" ref="R26:X36" dt2D="0" dtr="0" r1="Q21" ca="1"/>
        <v>0</v>
      </c>
      <c r="S26" s="7">
        <v>0</v>
      </c>
      <c r="T26" s="3">
        <v>0</v>
      </c>
      <c r="U26" s="3">
        <v>0</v>
      </c>
      <c r="V26" s="3">
        <v>0</v>
      </c>
      <c r="W26" s="3">
        <v>0</v>
      </c>
      <c r="X26" s="3">
        <v>0</v>
      </c>
    </row>
    <row r="27" spans="1:24" x14ac:dyDescent="0.3">
      <c r="A27" s="59"/>
      <c r="B27" s="60"/>
      <c r="C27" s="2"/>
      <c r="D27" s="82" t="s">
        <v>162</v>
      </c>
      <c r="E27" s="690"/>
      <c r="F27" s="690"/>
      <c r="G27" s="690"/>
      <c r="H27" s="690"/>
      <c r="I27" s="690"/>
      <c r="J27" s="690"/>
      <c r="K27" s="690"/>
      <c r="L27" s="690"/>
      <c r="M27" s="690"/>
      <c r="N27" s="690"/>
      <c r="O27" s="2"/>
      <c r="P27" s="2"/>
      <c r="Q27" s="760">
        <f>Q28+Price_Increments</f>
        <v>0</v>
      </c>
      <c r="R27" s="761">
        <v>0</v>
      </c>
      <c r="S27" s="7">
        <v>0</v>
      </c>
      <c r="T27" s="3">
        <v>0</v>
      </c>
      <c r="U27" s="3">
        <v>0</v>
      </c>
      <c r="V27" s="3">
        <v>0</v>
      </c>
      <c r="W27" s="3">
        <v>0</v>
      </c>
      <c r="X27" s="3">
        <v>0</v>
      </c>
    </row>
    <row r="28" spans="1:24" x14ac:dyDescent="0.3">
      <c r="A28" s="552" t="s">
        <v>138</v>
      </c>
      <c r="B28" s="551"/>
      <c r="C28" s="2"/>
      <c r="D28" s="2"/>
      <c r="E28" s="2"/>
      <c r="F28" s="2"/>
      <c r="G28" s="2"/>
      <c r="H28" s="2"/>
      <c r="I28" s="2"/>
      <c r="J28" s="2"/>
      <c r="K28" s="2"/>
      <c r="L28" s="2"/>
      <c r="M28" s="2"/>
      <c r="N28" s="2"/>
      <c r="O28" s="2"/>
      <c r="P28" s="2"/>
      <c r="Q28" s="760">
        <f>Q29+Price_Increments</f>
        <v>0</v>
      </c>
      <c r="R28" s="761">
        <v>0</v>
      </c>
      <c r="S28" s="7">
        <v>0</v>
      </c>
      <c r="T28" s="3">
        <v>0</v>
      </c>
      <c r="U28" s="3">
        <v>0</v>
      </c>
      <c r="V28" s="3">
        <v>0</v>
      </c>
      <c r="W28" s="3">
        <v>0</v>
      </c>
      <c r="X28" s="3">
        <v>0</v>
      </c>
    </row>
    <row r="29" spans="1:24" x14ac:dyDescent="0.3">
      <c r="A29" s="554" t="s">
        <v>163</v>
      </c>
      <c r="B29" s="553"/>
      <c r="C29" s="2"/>
      <c r="D29" s="2"/>
      <c r="E29" s="2"/>
      <c r="F29" s="2"/>
      <c r="G29" s="2"/>
      <c r="H29" s="2"/>
      <c r="I29" s="2"/>
      <c r="J29" s="2"/>
      <c r="K29" s="2"/>
      <c r="L29" s="2"/>
      <c r="M29" s="2"/>
      <c r="N29" s="2"/>
      <c r="O29" s="2"/>
      <c r="P29" s="2"/>
      <c r="Q29" s="760">
        <f>Q30+Price_Increments</f>
        <v>0</v>
      </c>
      <c r="R29" s="761">
        <v>0</v>
      </c>
      <c r="S29" s="7">
        <v>0</v>
      </c>
      <c r="T29" s="3">
        <v>0</v>
      </c>
      <c r="U29" s="3">
        <v>0</v>
      </c>
      <c r="V29" s="3">
        <v>0</v>
      </c>
      <c r="W29" s="3">
        <v>0</v>
      </c>
      <c r="X29" s="3">
        <v>0</v>
      </c>
    </row>
    <row r="30" spans="1:24" x14ac:dyDescent="0.3">
      <c r="A30" s="555" t="s">
        <v>164</v>
      </c>
      <c r="B30" s="553"/>
      <c r="C30" s="2"/>
      <c r="D30" s="2"/>
      <c r="E30" s="2"/>
      <c r="F30" s="2"/>
      <c r="G30" s="2"/>
      <c r="H30" s="2"/>
      <c r="I30" s="2"/>
      <c r="J30" s="2"/>
      <c r="K30" s="2"/>
      <c r="L30" s="2"/>
      <c r="M30" s="2"/>
      <c r="N30" s="2"/>
      <c r="O30" s="2"/>
      <c r="P30" s="2"/>
      <c r="Q30" s="760">
        <f>Q31+Price_Increments</f>
        <v>0</v>
      </c>
      <c r="R30" s="761">
        <v>0</v>
      </c>
      <c r="S30" s="7">
        <v>0</v>
      </c>
      <c r="T30" s="3">
        <v>0</v>
      </c>
      <c r="U30" s="3">
        <v>0</v>
      </c>
      <c r="V30" s="3">
        <v>0</v>
      </c>
      <c r="W30" s="3">
        <v>0</v>
      </c>
      <c r="X30" s="3">
        <v>0</v>
      </c>
    </row>
    <row r="31" spans="1:24" x14ac:dyDescent="0.3">
      <c r="A31" s="32"/>
      <c r="B31" s="2"/>
      <c r="C31" s="2"/>
      <c r="D31" s="2"/>
      <c r="E31" s="2"/>
      <c r="F31" s="2"/>
      <c r="G31" s="2"/>
      <c r="H31" s="2"/>
      <c r="I31" s="2"/>
      <c r="J31" s="2"/>
      <c r="K31" s="2"/>
      <c r="L31" s="2"/>
      <c r="M31" s="2"/>
      <c r="N31" s="2"/>
      <c r="O31" s="2"/>
      <c r="P31" s="2"/>
      <c r="Q31" s="760" cm="1">
        <f t="array" ref="Q31">Price</f>
        <v>0</v>
      </c>
      <c r="R31" s="761">
        <v>0</v>
      </c>
      <c r="S31" s="7">
        <v>0</v>
      </c>
      <c r="T31" s="3">
        <v>0</v>
      </c>
      <c r="U31" s="3">
        <v>0</v>
      </c>
      <c r="V31" s="3">
        <v>0</v>
      </c>
      <c r="W31" s="3">
        <v>0</v>
      </c>
      <c r="X31" s="3">
        <v>0</v>
      </c>
    </row>
    <row r="32" spans="1:24" x14ac:dyDescent="0.3">
      <c r="A32" s="2"/>
      <c r="B32" s="2"/>
      <c r="C32" s="2"/>
      <c r="D32" s="2"/>
      <c r="E32" s="2"/>
      <c r="F32" s="2"/>
      <c r="G32" s="2"/>
      <c r="H32" s="2"/>
      <c r="I32" s="2"/>
      <c r="J32" s="2"/>
      <c r="K32" s="2"/>
      <c r="L32" s="2"/>
      <c r="M32" s="2"/>
      <c r="N32" s="2"/>
      <c r="O32" s="2"/>
      <c r="P32" s="2"/>
      <c r="Q32" s="760">
        <f>Q31-Price_Increments</f>
        <v>0</v>
      </c>
      <c r="R32" s="761">
        <v>0</v>
      </c>
      <c r="S32" s="7">
        <v>0</v>
      </c>
      <c r="T32" s="3">
        <v>0</v>
      </c>
      <c r="U32" s="3">
        <v>0</v>
      </c>
      <c r="V32" s="3">
        <v>0</v>
      </c>
      <c r="W32" s="3">
        <v>0</v>
      </c>
      <c r="X32" s="3">
        <v>0</v>
      </c>
    </row>
    <row r="33" spans="1:24" x14ac:dyDescent="0.3">
      <c r="A33" s="2"/>
      <c r="B33" s="2"/>
      <c r="C33" s="2"/>
      <c r="D33" s="2"/>
      <c r="E33" s="2"/>
      <c r="F33" s="2"/>
      <c r="G33" s="2"/>
      <c r="H33" s="2"/>
      <c r="I33" s="2"/>
      <c r="J33" s="2"/>
      <c r="K33" s="2"/>
      <c r="L33" s="2"/>
      <c r="M33" s="2"/>
      <c r="N33" s="2"/>
      <c r="O33" s="2"/>
      <c r="P33" s="2"/>
      <c r="Q33" s="760">
        <f>Q32-Price_Increments</f>
        <v>0</v>
      </c>
      <c r="R33" s="761">
        <v>0</v>
      </c>
      <c r="S33" s="7">
        <v>0</v>
      </c>
      <c r="T33" s="3">
        <v>0</v>
      </c>
      <c r="U33" s="3">
        <v>0</v>
      </c>
      <c r="V33" s="3">
        <v>0</v>
      </c>
      <c r="W33" s="3">
        <v>0</v>
      </c>
      <c r="X33" s="3">
        <v>0</v>
      </c>
    </row>
    <row r="34" spans="1:24" x14ac:dyDescent="0.3">
      <c r="A34" s="2"/>
      <c r="B34" s="2"/>
      <c r="C34" s="2"/>
      <c r="D34" s="2"/>
      <c r="E34" s="2"/>
      <c r="F34" s="2"/>
      <c r="G34" s="2"/>
      <c r="H34" s="2"/>
      <c r="I34" s="2"/>
      <c r="J34" s="2"/>
      <c r="K34" s="2"/>
      <c r="L34" s="2"/>
      <c r="M34" s="2"/>
      <c r="N34" s="2"/>
      <c r="O34" s="2"/>
      <c r="P34" s="2"/>
      <c r="Q34" s="760">
        <f>Q33-Price_Increments</f>
        <v>0</v>
      </c>
      <c r="R34" s="761">
        <v>0</v>
      </c>
      <c r="S34" s="7">
        <v>0</v>
      </c>
      <c r="T34" s="3">
        <v>0</v>
      </c>
      <c r="U34" s="3">
        <v>0</v>
      </c>
      <c r="V34" s="3">
        <v>0</v>
      </c>
      <c r="W34" s="3">
        <v>0</v>
      </c>
      <c r="X34" s="3">
        <v>0</v>
      </c>
    </row>
    <row r="35" spans="1:24" x14ac:dyDescent="0.3">
      <c r="A35" s="2"/>
      <c r="B35" s="2"/>
      <c r="C35" s="2"/>
      <c r="D35" s="2"/>
      <c r="E35" s="2"/>
      <c r="F35" s="2"/>
      <c r="G35" s="2"/>
      <c r="H35" s="2"/>
      <c r="I35" s="2"/>
      <c r="J35" s="2"/>
      <c r="K35" s="2"/>
      <c r="L35" s="2"/>
      <c r="M35" s="2"/>
      <c r="N35" s="2"/>
      <c r="O35" s="2"/>
      <c r="P35" s="2"/>
      <c r="Q35" s="760">
        <f>Q34-Price_Increments</f>
        <v>0</v>
      </c>
      <c r="R35" s="761">
        <v>0</v>
      </c>
      <c r="S35" s="7">
        <v>0</v>
      </c>
      <c r="T35" s="3">
        <v>0</v>
      </c>
      <c r="U35" s="3">
        <v>0</v>
      </c>
      <c r="V35" s="3">
        <v>0</v>
      </c>
      <c r="W35" s="3">
        <v>0</v>
      </c>
      <c r="X35" s="3">
        <v>0</v>
      </c>
    </row>
    <row r="36" spans="1:24" x14ac:dyDescent="0.3">
      <c r="A36" s="2"/>
      <c r="B36" s="2"/>
      <c r="C36" s="2"/>
      <c r="D36" s="2"/>
      <c r="E36" s="2"/>
      <c r="F36" s="2"/>
      <c r="G36" s="2"/>
      <c r="H36" s="2"/>
      <c r="I36" s="2"/>
      <c r="J36" s="2"/>
      <c r="K36" s="2"/>
      <c r="L36" s="2"/>
      <c r="M36" s="2"/>
      <c r="N36" s="2"/>
      <c r="O36" s="2"/>
      <c r="P36" s="2"/>
      <c r="Q36" s="760">
        <f>Q35-Price_Increments</f>
        <v>0</v>
      </c>
      <c r="R36" s="761">
        <v>0</v>
      </c>
      <c r="S36" s="7">
        <v>0</v>
      </c>
      <c r="T36" s="3">
        <v>0</v>
      </c>
      <c r="U36" s="3">
        <v>0</v>
      </c>
      <c r="V36" s="3">
        <v>0</v>
      </c>
      <c r="W36" s="3">
        <v>0</v>
      </c>
      <c r="X36" s="3">
        <v>0</v>
      </c>
    </row>
    <row r="37" spans="1:24" x14ac:dyDescent="0.3">
      <c r="A37" s="2"/>
      <c r="B37" s="2"/>
      <c r="C37" s="2"/>
      <c r="D37" s="2"/>
      <c r="E37" s="2"/>
      <c r="F37" s="2"/>
      <c r="G37" s="2"/>
      <c r="H37" s="2"/>
      <c r="I37" s="2"/>
      <c r="J37" s="2"/>
      <c r="K37" s="2"/>
      <c r="L37" s="2"/>
      <c r="M37" s="2"/>
      <c r="N37" s="2"/>
      <c r="O37" s="2"/>
      <c r="P37" s="2"/>
      <c r="Q37" s="7"/>
      <c r="R37" s="2"/>
      <c r="S37" s="7"/>
    </row>
    <row r="38" spans="1:24" x14ac:dyDescent="0.3">
      <c r="A38" s="2"/>
      <c r="B38" s="2"/>
      <c r="C38" s="2"/>
      <c r="D38" s="2"/>
      <c r="E38" s="2"/>
      <c r="F38" s="2"/>
      <c r="G38" s="2"/>
      <c r="H38" s="2"/>
      <c r="I38" s="2"/>
      <c r="J38" s="2"/>
      <c r="K38" s="2"/>
      <c r="L38" s="2"/>
      <c r="M38" s="2"/>
      <c r="N38" s="2"/>
      <c r="O38" s="2"/>
      <c r="P38" s="2"/>
      <c r="Q38" s="7"/>
      <c r="R38" s="2"/>
      <c r="S38" s="7"/>
    </row>
    <row r="39" spans="1:24" x14ac:dyDescent="0.3">
      <c r="A39" s="2"/>
      <c r="B39" s="2"/>
      <c r="C39" s="2"/>
      <c r="D39" s="2"/>
      <c r="E39" s="2"/>
      <c r="F39" s="2"/>
      <c r="G39" s="2"/>
      <c r="H39" s="2"/>
      <c r="I39" s="2"/>
      <c r="J39" s="2"/>
      <c r="K39" s="2"/>
      <c r="L39" s="2"/>
      <c r="M39" s="2"/>
      <c r="N39" s="2"/>
      <c r="O39" s="2"/>
      <c r="P39" s="2"/>
      <c r="Q39" s="7"/>
      <c r="R39" s="2"/>
      <c r="S39" s="7"/>
    </row>
    <row r="40" spans="1:24" x14ac:dyDescent="0.3">
      <c r="A40" s="2"/>
      <c r="B40" s="2"/>
      <c r="C40" s="2"/>
      <c r="D40" s="2"/>
      <c r="E40" s="2"/>
      <c r="F40" s="2"/>
      <c r="G40" s="2"/>
      <c r="H40" s="2"/>
      <c r="I40" s="2"/>
      <c r="J40" s="2"/>
      <c r="K40" s="2"/>
      <c r="L40" s="2"/>
      <c r="M40" s="2"/>
      <c r="N40" s="2"/>
      <c r="O40" s="2"/>
      <c r="P40" s="2"/>
      <c r="Q40" s="7"/>
      <c r="R40" s="2"/>
      <c r="S40" s="7"/>
    </row>
    <row r="41" spans="1:24" x14ac:dyDescent="0.3">
      <c r="A41" s="34"/>
      <c r="B41" s="34"/>
      <c r="C41" s="34"/>
      <c r="D41" s="34"/>
      <c r="E41" s="34"/>
      <c r="F41" s="34"/>
      <c r="G41" s="34"/>
      <c r="H41" s="34"/>
      <c r="I41" s="34"/>
      <c r="J41" s="34"/>
      <c r="K41" s="35"/>
      <c r="L41" s="33"/>
      <c r="M41" s="34"/>
      <c r="N41" s="34"/>
      <c r="O41" s="34"/>
      <c r="P41" s="34"/>
      <c r="Q41" s="35"/>
      <c r="R41" s="34"/>
      <c r="S41" s="35"/>
    </row>
  </sheetData>
  <mergeCells count="3">
    <mergeCell ref="D25:N25"/>
    <mergeCell ref="A1:N1"/>
    <mergeCell ref="D5:N6"/>
  </mergeCells>
  <conditionalFormatting sqref="D5">
    <cfRule type="expression" dxfId="68" priority="2">
      <formula>IFERROR(_xlfn.SEQUENCE(1,1,1,1),TRUE)=0</formula>
    </cfRule>
  </conditionalFormatting>
  <conditionalFormatting sqref="D25:N27">
    <cfRule type="expression" dxfId="67" priority="1">
      <formula>$B$26&lt;&gt;"Yes"</formula>
    </cfRule>
  </conditionalFormatting>
  <dataValidations count="3">
    <dataValidation type="list" allowBlank="1" showInputMessage="1" showErrorMessage="1" sqref="B17 B26 B21" xr:uid="{1B15CD69-CB20-4BA6-B658-D33A9AE3E570}">
      <formula1>"Yes, No"</formula1>
    </dataValidation>
    <dataValidation type="list" allowBlank="1" showInputMessage="1" showErrorMessage="1" sqref="B7" xr:uid="{2F9A13D2-57A7-4C8C-AFED-B449DAABC073}">
      <formula1>"Priced, Unpriced"</formula1>
    </dataValidation>
    <dataValidation type="list" allowBlank="1" showInputMessage="1" showErrorMessage="1" sqref="B20" xr:uid="{2CDFD7EF-F010-4220-B5F9-7AA520430FDD}">
      <formula1>"Detail, Summary"</formula1>
    </dataValidation>
  </dataValidations>
  <pageMargins left="0.7" right="0.7" top="0.75" bottom="0.75" header="0.3" footer="0.3"/>
  <pageSetup orientation="portrait" verticalDpi="1200" r:id="rId1"/>
  <customProperties>
    <customPr name="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A381-9443-44A9-B6B7-6E7E4192C9BB}">
  <sheetPr codeName="Sheet18">
    <tabColor rgb="FF4D4D4D"/>
  </sheetPr>
  <dimension ref="A3:AI501"/>
  <sheetViews>
    <sheetView topLeftCell="A19" workbookViewId="0">
      <selection activeCell="V474" sqref="V474"/>
    </sheetView>
  </sheetViews>
  <sheetFormatPr defaultColWidth="8.85546875" defaultRowHeight="15" x14ac:dyDescent="0.25"/>
  <cols>
    <col min="1" max="1" width="10.42578125" customWidth="1"/>
    <col min="2" max="2" width="12.140625" customWidth="1"/>
    <col min="3" max="3" width="16.7109375" customWidth="1"/>
    <col min="4" max="4" width="15.85546875" customWidth="1"/>
    <col min="5" max="5" width="12" customWidth="1"/>
    <col min="6" max="6" width="14.42578125" customWidth="1"/>
    <col min="7" max="7" width="11" customWidth="1"/>
    <col min="8" max="8" width="14.28515625" customWidth="1"/>
    <col min="12" max="12" width="9.7109375" bestFit="1" customWidth="1"/>
    <col min="13" max="13" width="11.85546875" bestFit="1" customWidth="1"/>
    <col min="14" max="14" width="10.140625" customWidth="1"/>
    <col min="15" max="15" width="10.85546875" customWidth="1"/>
    <col min="16" max="16" width="15.85546875" customWidth="1"/>
    <col min="17" max="17" width="11.85546875" bestFit="1" customWidth="1"/>
    <col min="21" max="21" width="9.7109375" bestFit="1" customWidth="1"/>
    <col min="22" max="22" width="12.85546875" bestFit="1" customWidth="1"/>
    <col min="23" max="25" width="9" bestFit="1" customWidth="1"/>
    <col min="26" max="26" width="11.85546875" bestFit="1" customWidth="1"/>
    <col min="30" max="30" width="9.7109375" bestFit="1" customWidth="1"/>
    <col min="31" max="31" width="11.85546875" bestFit="1" customWidth="1"/>
    <col min="32" max="34" width="9" bestFit="1" customWidth="1"/>
    <col min="35" max="35" width="11.85546875" bestFit="1" customWidth="1"/>
  </cols>
  <sheetData>
    <row r="3" spans="1:35" x14ac:dyDescent="0.25">
      <c r="A3" s="1074" t="s">
        <v>165</v>
      </c>
      <c r="B3" s="1074"/>
      <c r="D3">
        <f>SED_Loan_Name</f>
        <v>0</v>
      </c>
      <c r="J3" s="1074" t="s">
        <v>166</v>
      </c>
      <c r="K3" s="1074"/>
      <c r="M3">
        <f>NEW_Loan_Name</f>
        <v>0</v>
      </c>
      <c r="S3" s="1074" t="s">
        <v>167</v>
      </c>
      <c r="T3" s="1074"/>
      <c r="V3">
        <f>NEW_Loan_Name</f>
        <v>0</v>
      </c>
      <c r="AB3" s="1074" t="s">
        <v>168</v>
      </c>
      <c r="AC3" s="1074"/>
      <c r="AE3">
        <f>Refi_Loan_Name</f>
        <v>0</v>
      </c>
    </row>
    <row r="4" spans="1:35" x14ac:dyDescent="0.25">
      <c r="A4" s="529" t="s">
        <v>169</v>
      </c>
      <c r="B4" s="530"/>
      <c r="C4" s="530"/>
      <c r="D4" s="530" t="s">
        <v>170</v>
      </c>
      <c r="E4" s="530"/>
      <c r="F4" s="530"/>
      <c r="G4" s="530"/>
      <c r="H4" s="531" t="s">
        <v>171</v>
      </c>
      <c r="J4" s="529" t="s">
        <v>169</v>
      </c>
      <c r="K4" s="530"/>
      <c r="L4" s="530"/>
      <c r="M4" s="530" t="s">
        <v>170</v>
      </c>
      <c r="N4" s="530"/>
      <c r="O4" s="530"/>
      <c r="P4" s="530"/>
      <c r="Q4" s="531" t="s">
        <v>171</v>
      </c>
      <c r="S4" s="529" t="s">
        <v>169</v>
      </c>
      <c r="T4" s="530"/>
      <c r="U4" s="530"/>
      <c r="V4" s="530" t="s">
        <v>170</v>
      </c>
      <c r="W4" s="530"/>
      <c r="X4" s="530"/>
      <c r="Y4" s="530"/>
      <c r="Z4" s="531" t="s">
        <v>171</v>
      </c>
      <c r="AB4" s="529" t="s">
        <v>169</v>
      </c>
      <c r="AC4" s="530"/>
      <c r="AD4" s="530"/>
      <c r="AE4" s="530" t="s">
        <v>170</v>
      </c>
      <c r="AF4" s="530"/>
      <c r="AG4" s="530"/>
      <c r="AH4" s="530"/>
      <c r="AI4" s="531" t="s">
        <v>171</v>
      </c>
    </row>
    <row r="5" spans="1:35" x14ac:dyDescent="0.25">
      <c r="A5" s="532" t="s">
        <v>172</v>
      </c>
      <c r="B5" s="533" t="s">
        <v>173</v>
      </c>
      <c r="C5" s="533" t="s">
        <v>174</v>
      </c>
      <c r="D5" s="533" t="s">
        <v>175</v>
      </c>
      <c r="E5" s="533" t="s">
        <v>176</v>
      </c>
      <c r="F5" s="533" t="s">
        <v>177</v>
      </c>
      <c r="G5" s="533" t="s">
        <v>178</v>
      </c>
      <c r="H5" s="534" t="s">
        <v>175</v>
      </c>
      <c r="J5" s="532" t="s">
        <v>172</v>
      </c>
      <c r="K5" s="533" t="s">
        <v>173</v>
      </c>
      <c r="L5" s="533" t="s">
        <v>174</v>
      </c>
      <c r="M5" s="533" t="s">
        <v>175</v>
      </c>
      <c r="N5" s="533" t="s">
        <v>176</v>
      </c>
      <c r="O5" s="533" t="s">
        <v>177</v>
      </c>
      <c r="P5" s="533" t="s">
        <v>178</v>
      </c>
      <c r="Q5" s="534" t="s">
        <v>175</v>
      </c>
      <c r="S5" s="532" t="s">
        <v>172</v>
      </c>
      <c r="T5" s="533" t="s">
        <v>173</v>
      </c>
      <c r="U5" s="533" t="s">
        <v>174</v>
      </c>
      <c r="V5" s="533" t="s">
        <v>175</v>
      </c>
      <c r="W5" s="533" t="s">
        <v>176</v>
      </c>
      <c r="X5" s="533" t="s">
        <v>177</v>
      </c>
      <c r="Y5" s="533" t="s">
        <v>178</v>
      </c>
      <c r="Z5" s="534" t="s">
        <v>175</v>
      </c>
      <c r="AB5" s="532" t="s">
        <v>172</v>
      </c>
      <c r="AC5" s="533" t="s">
        <v>173</v>
      </c>
      <c r="AD5" s="533" t="s">
        <v>174</v>
      </c>
      <c r="AE5" s="533" t="s">
        <v>175</v>
      </c>
      <c r="AF5" s="533" t="s">
        <v>176</v>
      </c>
      <c r="AG5" s="533" t="s">
        <v>177</v>
      </c>
      <c r="AH5" s="533" t="s">
        <v>178</v>
      </c>
      <c r="AI5" s="534" t="s">
        <v>175</v>
      </c>
    </row>
    <row r="6" spans="1:35" x14ac:dyDescent="0.25">
      <c r="A6">
        <f t="shared" ref="A6:A69" si="0">IFERROR(ROUNDUP((DATEDIF(SED_Origination_Date,C6,"m")+1)/12,0),"")</f>
        <v>1</v>
      </c>
      <c r="B6">
        <f>IF(C6&gt;=SED_Begin_PMT,1,0)</f>
        <v>1</v>
      </c>
      <c r="C6" s="49">
        <f>DATE(YEAR(SED_Origination_Date), MONTH(SED_Origination_Date),1)</f>
        <v>1</v>
      </c>
      <c r="D6" s="78">
        <f>SED_Orig_Loan_Amount</f>
        <v>0</v>
      </c>
      <c r="E6" s="78">
        <f>F6+G6</f>
        <v>0</v>
      </c>
      <c r="F6" s="78">
        <f>IFERROR(IF(OR(B6=0, C6&gt;=Refi_Origination_Date),0, PPMT(SED_I_Adj,'Loan Amort Table'!B6,SED_Amort_Periods,SED_Orig_Loan_Amount)),0)</f>
        <v>0</v>
      </c>
      <c r="G6" s="78" cm="1">
        <f t="array" ref="G6">IFERROR(_xlfn.IFS(C6&gt;=Refi_Origination_Date, 0, SED_Amort = 0, -D6 * SED_I_Adj, 1, IPMT(SED_I_Adj,IF(B6 = 0, 1, B6),SED_Amort_Periods,SED_Orig_Loan_Amount)),0)</f>
        <v>0</v>
      </c>
      <c r="H6" s="78">
        <f>D6+F6</f>
        <v>0</v>
      </c>
      <c r="J6">
        <f t="shared" ref="J6:J69" si="1">IFERROR(ROUNDUP((DATEDIF(NEW_Origination_Date,L6,"m")+1)/12,0),"")</f>
        <v>1</v>
      </c>
      <c r="K6">
        <f>IF(L6&gt;=NEW_Begin_PMT,1,0)</f>
        <v>1</v>
      </c>
      <c r="L6" s="49">
        <f>DATE(YEAR(NEW_Origination_Date), MONTH(NEW_Origination_Date),1)</f>
        <v>1</v>
      </c>
      <c r="M6" s="78">
        <f>NEW_Orig_Loan_Amount</f>
        <v>0</v>
      </c>
      <c r="N6" s="78">
        <f>O6+P6</f>
        <v>0</v>
      </c>
      <c r="O6" s="78">
        <f>IFERROR(IF(K6=0,0, PPMT(NEW_I_Adj,'Loan Amort Table'!K6,NEW_Amort_Periods,NEW_Orig_Loan_Amount)),0)</f>
        <v>0</v>
      </c>
      <c r="P6" s="78">
        <f>IFERROR(IF(NEW_Amort = 0, -M6* NEW_I_Adj,IPMT(NEW_I_Adj,IF(K6 = 0, 1, K6),NEW_Amort_Periods,NEW_Orig_Loan_Amount)),0)</f>
        <v>0</v>
      </c>
      <c r="Q6" s="78">
        <f>M6+O6</f>
        <v>0</v>
      </c>
      <c r="S6">
        <f t="shared" ref="S6:S69" si="2">IFERROR(ROUNDUP((DATEDIF(Mezz_Origination_Date,U6,"m")+1)/12,0),"")</f>
        <v>1</v>
      </c>
      <c r="T6">
        <f>IF(U6&gt;=Mezz_Begin_PMT,1,0)</f>
        <v>1</v>
      </c>
      <c r="U6" s="49">
        <f>DATE(YEAR(Mezz_Origination_Date), MONTH(Mezz_Origination_Date),1)</f>
        <v>1</v>
      </c>
      <c r="V6" s="78">
        <f ca="1">Mezz_Loan_Balance</f>
        <v>0</v>
      </c>
      <c r="W6" s="78">
        <f ca="1">X6+Y6</f>
        <v>0</v>
      </c>
      <c r="X6" s="78">
        <f>IFERROR(IF(OR(T6=0, U6&gt;=Refi_Origination_Date),0, PPMT(Mezz_I_Adj,'Loan Amort Table'!T6,Mezz_Amort_Periods,Mezz_Orig_Loan_Amount)),0)</f>
        <v>0</v>
      </c>
      <c r="Y6" s="78" cm="1">
        <f t="array" aca="1" ref="Y6" ca="1">IFERROR(_xlfn.IFS(U6&gt;=Refi_Origination_Date,0, Mezz_Amort = 0, -V6 * Mezz_I_Adj, 1, IPMT(Mezz_I_Adj,IF(T6 = 0, 1, T6),Mezz_Amort_Periods,Mezz_Orig_Loan_Amount)),0)</f>
        <v>0</v>
      </c>
      <c r="Z6" s="78">
        <f ca="1">V6+X6</f>
        <v>0</v>
      </c>
      <c r="AB6">
        <f t="shared" ref="AB6:AB69" si="3">IFERROR(ROUNDUP((DATEDIF(Refi_Origination_Date,AD6,"m")+1)/12,0),"")</f>
        <v>1</v>
      </c>
      <c r="AC6">
        <f>IF(AD6&gt;=Refi_Begin_PMT,1,0)</f>
        <v>1</v>
      </c>
      <c r="AD6" s="49">
        <f>DATE(YEAR(Refi_Origination_Date), MONTH(Refi_Origination_Date),1)</f>
        <v>1</v>
      </c>
      <c r="AE6" s="78">
        <f ca="1">Refi_Loan_Balance</f>
        <v>0</v>
      </c>
      <c r="AF6" s="78">
        <f ca="1">AG6+AH6</f>
        <v>0</v>
      </c>
      <c r="AG6" s="78">
        <f ca="1">IFERROR(IF(AC6=0,0, PPMT(Refi_I_Adj,'Loan Amort Table'!AC6,Refi_Amort_Periods,Refi_Orig_Loan_Amount)),0)</f>
        <v>0</v>
      </c>
      <c r="AH6" s="78">
        <f t="shared" ref="AH6:AH69" ca="1" si="4">IFERROR(IF(Refi_Amort = 0, -AE6 * Refi_I_Adj, IPMT(Refi_I_Adj,IF(AC6 = 0, 1, AC6),Refi_Amort_Periods,Refi_Orig_Loan_Amount)),0)</f>
        <v>0</v>
      </c>
      <c r="AI6" s="78">
        <f ca="1">AE6+AG6</f>
        <v>0</v>
      </c>
    </row>
    <row r="7" spans="1:35" x14ac:dyDescent="0.25">
      <c r="A7">
        <f t="shared" si="0"/>
        <v>1</v>
      </c>
      <c r="B7">
        <f t="shared" ref="B7:B70" si="5">IF(C7&lt;SED_Begin_PMT,0, B6+1)</f>
        <v>2</v>
      </c>
      <c r="C7" s="49">
        <f>EDATE(C6,1)</f>
        <v>32</v>
      </c>
      <c r="D7" s="78">
        <f>IF(C7&gt;EDATE(DATE(YEAR(SED_Origination_Date)+ SED_Amort, MONTH(SED_Origination_Date), DAY(SED_Origination_Date)),SED_Interest_Only),0,H6)</f>
        <v>0</v>
      </c>
      <c r="E7" s="78">
        <f t="shared" ref="E7:E70" si="6">F7+G7</f>
        <v>0</v>
      </c>
      <c r="F7" s="78">
        <f>IFERROR(IF(OR(B7=0, C7&gt;=Refi_Origination_Date),0, PPMT(SED_I_Adj,'Loan Amort Table'!B7,SED_Amort_Periods,SED_Orig_Loan_Amount)),0)</f>
        <v>0</v>
      </c>
      <c r="G7" s="78" cm="1">
        <f t="array" ref="G7">IFERROR(_xlfn.IFS(C7&gt;=Refi_Origination_Date, 0, SED_Amort = 0, -D7 * SED_I_Adj, 1, IPMT(SED_I_Adj,IF(B7 = 0, 1, B7),SED_Amort_Periods,SED_Orig_Loan_Amount)),0)</f>
        <v>0</v>
      </c>
      <c r="H7" s="78">
        <f>D7+F7</f>
        <v>0</v>
      </c>
      <c r="J7">
        <f t="shared" si="1"/>
        <v>1</v>
      </c>
      <c r="K7">
        <f t="shared" ref="K7:K70" si="7">IF(L7&lt;NEW_Begin_PMT,0, K6+1)</f>
        <v>2</v>
      </c>
      <c r="L7" s="49">
        <f>EDATE(L6,1)</f>
        <v>32</v>
      </c>
      <c r="M7" s="78">
        <f>IF(L7&gt;EDATE(DATE(YEAR(NEW_Origination_Date)+ NEW_Amort, MONTH(NEW_Origination_Date), DAY(NEW_Origination_Date)),NEW_Interest_Only),0,Q6)</f>
        <v>0</v>
      </c>
      <c r="N7" s="78">
        <f t="shared" ref="N7:N70" si="8">O7+P7</f>
        <v>0</v>
      </c>
      <c r="O7" s="78">
        <f>IFERROR(IF(K7=0,0, PPMT(NEW_I_Adj,'Loan Amort Table'!K7,NEW_Amort_Periods,NEW_Orig_Loan_Amount)),0)</f>
        <v>0</v>
      </c>
      <c r="P7" s="78">
        <f>IFERROR(IF(NEW_Amort = 0, -M7* NEW_I_Adj,IPMT(NEW_I_Adj,IF(K7 = 0, 1, K7),NEW_Amort_Periods,NEW_Orig_Loan_Amount)),0)</f>
        <v>0</v>
      </c>
      <c r="Q7" s="78">
        <f t="shared" ref="Q7:Q70" si="9">M7+O7</f>
        <v>0</v>
      </c>
      <c r="S7">
        <f t="shared" si="2"/>
        <v>1</v>
      </c>
      <c r="T7">
        <f t="shared" ref="T7:T70" si="10">IF(U7&lt;Mezz_Begin_PMT,0, T6+1)</f>
        <v>2</v>
      </c>
      <c r="U7" s="49">
        <f>EDATE(U6,1)</f>
        <v>32</v>
      </c>
      <c r="V7" s="78">
        <f t="shared" ref="V7:V70" si="11">IF(U7&gt;EDATE(DATE(YEAR(Mezz_Origination_Date)+ Mezz_Amort, MONTH(Mezz_Origination_Date), DAY(Mezz_Origination_Date)),Mezz_Interest_Only),0,Z6)</f>
        <v>0</v>
      </c>
      <c r="W7" s="78">
        <f t="shared" ref="W7" ca="1" si="12">X7+Y7</f>
        <v>0</v>
      </c>
      <c r="X7" s="78">
        <f>IFERROR(IF(OR(T7=0, U7&gt;=Refi_Origination_Date),0, PPMT(Mezz_I_Adj,'Loan Amort Table'!T7,Mezz_Amort_Periods,Mezz_Orig_Loan_Amount)),0)</f>
        <v>0</v>
      </c>
      <c r="Y7" s="78" cm="1">
        <f t="array" aca="1" ref="Y7" ca="1">IFERROR(_xlfn.IFS(U7&gt;=Refi_Origination_Date,0, Mezz_Amort = 0, -V7 * Mezz_I_Adj, 1, IPMT(Mezz_I_Adj,IF(T7 = 0, 1, T7),Mezz_Amort_Periods,Mezz_Orig_Loan_Amount)),0)</f>
        <v>0</v>
      </c>
      <c r="Z7" s="78">
        <f t="shared" ref="Z7" si="13">V7+X7</f>
        <v>0</v>
      </c>
      <c r="AB7">
        <f t="shared" si="3"/>
        <v>1</v>
      </c>
      <c r="AC7">
        <f t="shared" ref="AC7:AC70" si="14">IF(AD7&lt;Refi_Begin_PMT,0, AC6+1)</f>
        <v>2</v>
      </c>
      <c r="AD7" s="49">
        <f>EDATE(AD6,1)</f>
        <v>32</v>
      </c>
      <c r="AE7" s="78">
        <f t="shared" ref="AE7:AE70" si="15">IF(AD7&gt;EDATE(DATE(YEAR(Refi_Origination_Date)+ Refi_Amort, MONTH(Refi_Origination_Date), DAY(Refi_Origination_Date)),Refi_Interest_Only),0,AI6)</f>
        <v>0</v>
      </c>
      <c r="AF7" s="78">
        <f t="shared" ref="AF7" ca="1" si="16">AG7+AH7</f>
        <v>0</v>
      </c>
      <c r="AG7" s="78">
        <f ca="1">IFERROR(IF(AC7=0,0, PPMT(Refi_I_Adj,'Loan Amort Table'!AC7,Refi_Amort_Periods,Refi_Orig_Loan_Amount)),0)</f>
        <v>0</v>
      </c>
      <c r="AH7" s="78">
        <f t="shared" ca="1" si="4"/>
        <v>0</v>
      </c>
      <c r="AI7" s="78">
        <f t="shared" ref="AI7" ca="1" si="17">AE7+AG7</f>
        <v>0</v>
      </c>
    </row>
    <row r="8" spans="1:35" x14ac:dyDescent="0.25">
      <c r="A8">
        <f t="shared" si="0"/>
        <v>1</v>
      </c>
      <c r="B8">
        <f t="shared" si="5"/>
        <v>3</v>
      </c>
      <c r="C8" s="49">
        <f t="shared" ref="C8:C47" si="18">EDATE(C7,1)</f>
        <v>61</v>
      </c>
      <c r="D8" s="78">
        <f>IF(C8&gt;EDATE(DATE(YEAR(SED_Origination_Date)+ SED_Amort, MONTH(SED_Origination_Date), DAY(SED_Origination_Date)),SED_Interest_Only),0,H7)</f>
        <v>0</v>
      </c>
      <c r="E8" s="78">
        <f t="shared" si="6"/>
        <v>0</v>
      </c>
      <c r="F8" s="78">
        <f>IFERROR(IF(OR(B8=0, C8&gt;=Refi_Origination_Date),0, PPMT(SED_I_Adj,'Loan Amort Table'!B8,SED_Amort_Periods,SED_Orig_Loan_Amount)),0)</f>
        <v>0</v>
      </c>
      <c r="G8" s="78" cm="1">
        <f t="array" ref="G8">IFERROR(_xlfn.IFS(C8&gt;=Refi_Origination_Date, 0, SED_Amort = 0, -D8 * SED_I_Adj, 1, IPMT(SED_I_Adj,IF(B8 = 0, 1, B8),SED_Amort_Periods,SED_Orig_Loan_Amount)),0)</f>
        <v>0</v>
      </c>
      <c r="H8" s="78">
        <f t="shared" ref="H8:H10" si="19">D8+F8</f>
        <v>0</v>
      </c>
      <c r="J8">
        <f t="shared" si="1"/>
        <v>1</v>
      </c>
      <c r="K8">
        <f t="shared" si="7"/>
        <v>3</v>
      </c>
      <c r="L8" s="49">
        <f t="shared" ref="L8:L71" si="20">EDATE(L7,1)</f>
        <v>61</v>
      </c>
      <c r="M8" s="78">
        <f>IF(L8&gt;EDATE(DATE(YEAR(NEW_Origination_Date)+ NEW_Amort, MONTH(NEW_Origination_Date), DAY(NEW_Origination_Date)),NEW_Interest_Only),0,Q7)</f>
        <v>0</v>
      </c>
      <c r="N8" s="78">
        <f t="shared" si="8"/>
        <v>0</v>
      </c>
      <c r="O8" s="78">
        <f>IFERROR(IF(K8=0,0, PPMT(NEW_I_Adj,'Loan Amort Table'!K8,NEW_Amort_Periods,NEW_Orig_Loan_Amount)),0)</f>
        <v>0</v>
      </c>
      <c r="P8" s="78">
        <f>IFERROR(IF(NEW_Amort = 0, -M8* NEW_I_Adj,IPMT(NEW_I_Adj,IF(K8 = 0, 1, K8),NEW_Amort_Periods,NEW_Orig_Loan_Amount)),0)</f>
        <v>0</v>
      </c>
      <c r="Q8" s="78">
        <f t="shared" si="9"/>
        <v>0</v>
      </c>
      <c r="S8">
        <f t="shared" si="2"/>
        <v>1</v>
      </c>
      <c r="T8">
        <f t="shared" si="10"/>
        <v>3</v>
      </c>
      <c r="U8" s="49">
        <f t="shared" ref="U8:U71" si="21">EDATE(U7,1)</f>
        <v>61</v>
      </c>
      <c r="V8" s="78">
        <f t="shared" si="11"/>
        <v>0</v>
      </c>
      <c r="W8" s="78">
        <f t="shared" ref="W8:W71" ca="1" si="22">X8+Y8</f>
        <v>0</v>
      </c>
      <c r="X8" s="78">
        <f>IFERROR(IF(OR(T8=0, U8&gt;=Refi_Origination_Date),0, PPMT(Mezz_I_Adj,'Loan Amort Table'!T8,Mezz_Amort_Periods,Mezz_Orig_Loan_Amount)),0)</f>
        <v>0</v>
      </c>
      <c r="Y8" s="78" cm="1">
        <f t="array" aca="1" ref="Y8" ca="1">IFERROR(_xlfn.IFS(U8&gt;=Refi_Origination_Date,0, Mezz_Amort = 0, -V8 * Mezz_I_Adj, 1, IPMT(Mezz_I_Adj,IF(T8 = 0, 1, T8),Mezz_Amort_Periods,Mezz_Orig_Loan_Amount)),0)</f>
        <v>0</v>
      </c>
      <c r="Z8" s="78">
        <f t="shared" ref="Z8:Z71" si="23">V8+X8</f>
        <v>0</v>
      </c>
      <c r="AB8">
        <f t="shared" si="3"/>
        <v>1</v>
      </c>
      <c r="AC8">
        <f t="shared" si="14"/>
        <v>3</v>
      </c>
      <c r="AD8" s="49">
        <f t="shared" ref="AD8:AD71" si="24">EDATE(AD7,1)</f>
        <v>61</v>
      </c>
      <c r="AE8" s="78">
        <f t="shared" si="15"/>
        <v>0</v>
      </c>
      <c r="AF8" s="78">
        <f t="shared" ref="AF8:AF71" ca="1" si="25">AG8+AH8</f>
        <v>0</v>
      </c>
      <c r="AG8" s="78">
        <f ca="1">IFERROR(IF(AC8=0,0, PPMT(Refi_I_Adj,'Loan Amort Table'!AC8,Refi_Amort_Periods,Refi_Orig_Loan_Amount)),0)</f>
        <v>0</v>
      </c>
      <c r="AH8" s="78">
        <f t="shared" ca="1" si="4"/>
        <v>0</v>
      </c>
      <c r="AI8" s="78">
        <f t="shared" ref="AI8:AI71" ca="1" si="26">AE8+AG8</f>
        <v>0</v>
      </c>
    </row>
    <row r="9" spans="1:35" x14ac:dyDescent="0.25">
      <c r="A9">
        <f t="shared" si="0"/>
        <v>1</v>
      </c>
      <c r="B9">
        <f t="shared" si="5"/>
        <v>4</v>
      </c>
      <c r="C9" s="49">
        <f t="shared" si="18"/>
        <v>92</v>
      </c>
      <c r="D9" s="78">
        <f>IF(C9&gt;EDATE(DATE(YEAR(SED_Origination_Date)+ SED_Amort, MONTH(SED_Origination_Date), DAY(SED_Origination_Date)),SED_Interest_Only),0,H8)</f>
        <v>0</v>
      </c>
      <c r="E9" s="78">
        <f t="shared" si="6"/>
        <v>0</v>
      </c>
      <c r="F9" s="78">
        <f>IFERROR(IF(OR(B9=0, C9&gt;=Refi_Origination_Date),0, PPMT(SED_I_Adj,'Loan Amort Table'!B9,SED_Amort_Periods,SED_Orig_Loan_Amount)),0)</f>
        <v>0</v>
      </c>
      <c r="G9" s="78" cm="1">
        <f t="array" ref="G9">IFERROR(_xlfn.IFS(C9&gt;=Refi_Origination_Date, 0, SED_Amort = 0, -D9 * SED_I_Adj, 1, IPMT(SED_I_Adj,IF(B9 = 0, 1, B9),SED_Amort_Periods,SED_Orig_Loan_Amount)),0)</f>
        <v>0</v>
      </c>
      <c r="H9" s="78">
        <f t="shared" si="19"/>
        <v>0</v>
      </c>
      <c r="J9">
        <f t="shared" si="1"/>
        <v>1</v>
      </c>
      <c r="K9">
        <f t="shared" si="7"/>
        <v>4</v>
      </c>
      <c r="L9" s="49">
        <f t="shared" si="20"/>
        <v>92</v>
      </c>
      <c r="M9" s="78">
        <f>IF(L9&gt;EDATE(DATE(YEAR(NEW_Origination_Date)+ NEW_Amort, MONTH(NEW_Origination_Date), DAY(NEW_Origination_Date)),NEW_Interest_Only),0,Q8)</f>
        <v>0</v>
      </c>
      <c r="N9" s="78">
        <f t="shared" si="8"/>
        <v>0</v>
      </c>
      <c r="O9" s="78">
        <f>IFERROR(IF(K9=0,0, PPMT(NEW_I_Adj,'Loan Amort Table'!K9,NEW_Amort_Periods,NEW_Orig_Loan_Amount)),0)</f>
        <v>0</v>
      </c>
      <c r="P9" s="78">
        <f>IFERROR(IF(NEW_Amort = 0, -M9* NEW_I_Adj,IPMT(NEW_I_Adj,IF(K9 = 0, 1, K9),NEW_Amort_Periods,NEW_Orig_Loan_Amount)),0)</f>
        <v>0</v>
      </c>
      <c r="Q9" s="78">
        <f t="shared" si="9"/>
        <v>0</v>
      </c>
      <c r="S9">
        <f t="shared" si="2"/>
        <v>1</v>
      </c>
      <c r="T9">
        <f t="shared" si="10"/>
        <v>4</v>
      </c>
      <c r="U9" s="49">
        <f t="shared" si="21"/>
        <v>92</v>
      </c>
      <c r="V9" s="78">
        <f t="shared" si="11"/>
        <v>0</v>
      </c>
      <c r="W9" s="78">
        <f t="shared" ca="1" si="22"/>
        <v>0</v>
      </c>
      <c r="X9" s="78">
        <f>IFERROR(IF(OR(T9=0, U9&gt;=Refi_Origination_Date),0, PPMT(Mezz_I_Adj,'Loan Amort Table'!T9,Mezz_Amort_Periods,Mezz_Orig_Loan_Amount)),0)</f>
        <v>0</v>
      </c>
      <c r="Y9" s="78" cm="1">
        <f t="array" aca="1" ref="Y9" ca="1">IFERROR(_xlfn.IFS(U9&gt;=Refi_Origination_Date,0, Mezz_Amort = 0, -V9 * Mezz_I_Adj, 1, IPMT(Mezz_I_Adj,IF(T9 = 0, 1, T9),Mezz_Amort_Periods,Mezz_Orig_Loan_Amount)),0)</f>
        <v>0</v>
      </c>
      <c r="Z9" s="78">
        <f t="shared" si="23"/>
        <v>0</v>
      </c>
      <c r="AB9">
        <f t="shared" si="3"/>
        <v>1</v>
      </c>
      <c r="AC9">
        <f t="shared" si="14"/>
        <v>4</v>
      </c>
      <c r="AD9" s="49">
        <f t="shared" si="24"/>
        <v>92</v>
      </c>
      <c r="AE9" s="78">
        <f t="shared" si="15"/>
        <v>0</v>
      </c>
      <c r="AF9" s="78">
        <f t="shared" ca="1" si="25"/>
        <v>0</v>
      </c>
      <c r="AG9" s="78">
        <f ca="1">IFERROR(IF(AC9=0,0, PPMT(Refi_I_Adj,'Loan Amort Table'!AC9,Refi_Amort_Periods,Refi_Orig_Loan_Amount)),0)</f>
        <v>0</v>
      </c>
      <c r="AH9" s="78">
        <f t="shared" ca="1" si="4"/>
        <v>0</v>
      </c>
      <c r="AI9" s="78">
        <f t="shared" ca="1" si="26"/>
        <v>0</v>
      </c>
    </row>
    <row r="10" spans="1:35" x14ac:dyDescent="0.25">
      <c r="A10">
        <f t="shared" si="0"/>
        <v>1</v>
      </c>
      <c r="B10">
        <f t="shared" si="5"/>
        <v>5</v>
      </c>
      <c r="C10" s="49">
        <f t="shared" si="18"/>
        <v>122</v>
      </c>
      <c r="D10" s="78">
        <f>IF(C10&gt;EDATE(DATE(YEAR(SED_Origination_Date)+ SED_Amort, MONTH(SED_Origination_Date), DAY(SED_Origination_Date)),SED_Interest_Only),0,H9)</f>
        <v>0</v>
      </c>
      <c r="E10" s="78">
        <f t="shared" si="6"/>
        <v>0</v>
      </c>
      <c r="F10" s="78">
        <f>IFERROR(IF(OR(B10=0, C10&gt;=Refi_Origination_Date),0, PPMT(SED_I_Adj,'Loan Amort Table'!B10,SED_Amort_Periods,SED_Orig_Loan_Amount)),0)</f>
        <v>0</v>
      </c>
      <c r="G10" s="78" cm="1">
        <f t="array" ref="G10">IFERROR(_xlfn.IFS(C10&gt;=Refi_Origination_Date, 0, SED_Amort = 0, -D10 * SED_I_Adj, 1, IPMT(SED_I_Adj,IF(B10 = 0, 1, B10),SED_Amort_Periods,SED_Orig_Loan_Amount)),0)</f>
        <v>0</v>
      </c>
      <c r="H10" s="78">
        <f t="shared" si="19"/>
        <v>0</v>
      </c>
      <c r="J10">
        <f t="shared" si="1"/>
        <v>1</v>
      </c>
      <c r="K10">
        <f t="shared" si="7"/>
        <v>5</v>
      </c>
      <c r="L10" s="49">
        <f t="shared" si="20"/>
        <v>122</v>
      </c>
      <c r="M10" s="78">
        <f>IF(L10&gt;EDATE(DATE(YEAR(NEW_Origination_Date)+ NEW_Amort, MONTH(NEW_Origination_Date), DAY(NEW_Origination_Date)),NEW_Interest_Only),0,Q9)</f>
        <v>0</v>
      </c>
      <c r="N10" s="78">
        <f t="shared" si="8"/>
        <v>0</v>
      </c>
      <c r="O10" s="78">
        <f>IFERROR(IF(K10=0,0, PPMT(NEW_I_Adj,'Loan Amort Table'!K10,NEW_Amort_Periods,NEW_Orig_Loan_Amount)),0)</f>
        <v>0</v>
      </c>
      <c r="P10" s="78">
        <f>IFERROR(IF(NEW_Amort = 0, -M10* NEW_I_Adj,IPMT(NEW_I_Adj,IF(K10 = 0, 1, K10),NEW_Amort_Periods,NEW_Orig_Loan_Amount)),0)</f>
        <v>0</v>
      </c>
      <c r="Q10" s="78">
        <f t="shared" si="9"/>
        <v>0</v>
      </c>
      <c r="S10">
        <f t="shared" si="2"/>
        <v>1</v>
      </c>
      <c r="T10">
        <f t="shared" si="10"/>
        <v>5</v>
      </c>
      <c r="U10" s="49">
        <f t="shared" si="21"/>
        <v>122</v>
      </c>
      <c r="V10" s="78">
        <f t="shared" si="11"/>
        <v>0</v>
      </c>
      <c r="W10" s="78">
        <f t="shared" ca="1" si="22"/>
        <v>0</v>
      </c>
      <c r="X10" s="78">
        <f>IFERROR(IF(OR(T10=0, U10&gt;=Refi_Origination_Date),0, PPMT(Mezz_I_Adj,'Loan Amort Table'!T10,Mezz_Amort_Periods,Mezz_Orig_Loan_Amount)),0)</f>
        <v>0</v>
      </c>
      <c r="Y10" s="78" cm="1">
        <f t="array" aca="1" ref="Y10" ca="1">IFERROR(_xlfn.IFS(U10&gt;=Refi_Origination_Date,0, Mezz_Amort = 0, -V10 * Mezz_I_Adj, 1, IPMT(Mezz_I_Adj,IF(T10 = 0, 1, T10),Mezz_Amort_Periods,Mezz_Orig_Loan_Amount)),0)</f>
        <v>0</v>
      </c>
      <c r="Z10" s="78">
        <f t="shared" si="23"/>
        <v>0</v>
      </c>
      <c r="AB10">
        <f t="shared" si="3"/>
        <v>1</v>
      </c>
      <c r="AC10">
        <f t="shared" si="14"/>
        <v>5</v>
      </c>
      <c r="AD10" s="49">
        <f t="shared" si="24"/>
        <v>122</v>
      </c>
      <c r="AE10" s="78">
        <f t="shared" si="15"/>
        <v>0</v>
      </c>
      <c r="AF10" s="78">
        <f t="shared" ca="1" si="25"/>
        <v>0</v>
      </c>
      <c r="AG10" s="78">
        <f ca="1">IFERROR(IF(AC10=0,0, PPMT(Refi_I_Adj,'Loan Amort Table'!AC10,Refi_Amort_Periods,Refi_Orig_Loan_Amount)),0)</f>
        <v>0</v>
      </c>
      <c r="AH10" s="78">
        <f t="shared" ca="1" si="4"/>
        <v>0</v>
      </c>
      <c r="AI10" s="78">
        <f t="shared" ca="1" si="26"/>
        <v>0</v>
      </c>
    </row>
    <row r="11" spans="1:35" x14ac:dyDescent="0.25">
      <c r="A11">
        <f t="shared" si="0"/>
        <v>1</v>
      </c>
      <c r="B11">
        <f t="shared" si="5"/>
        <v>6</v>
      </c>
      <c r="C11" s="49">
        <f t="shared" si="18"/>
        <v>153</v>
      </c>
      <c r="D11" s="78">
        <f>IF(C11&gt;EDATE(DATE(YEAR(SED_Origination_Date)+ SED_Amort, MONTH(SED_Origination_Date), DAY(SED_Origination_Date)),SED_Interest_Only),0,H10)</f>
        <v>0</v>
      </c>
      <c r="E11" s="78">
        <f t="shared" si="6"/>
        <v>0</v>
      </c>
      <c r="F11" s="78">
        <f>IFERROR(IF(OR(B11=0, C11&gt;=Refi_Origination_Date),0, PPMT(SED_I_Adj,'Loan Amort Table'!B11,SED_Amort_Periods,SED_Orig_Loan_Amount)),0)</f>
        <v>0</v>
      </c>
      <c r="G11" s="78" cm="1">
        <f t="array" ref="G11">IFERROR(_xlfn.IFS(C11&gt;=Refi_Origination_Date, 0, SED_Amort = 0, -D11 * SED_I_Adj, 1, IPMT(SED_I_Adj,IF(B11 = 0, 1, B11),SED_Amort_Periods,SED_Orig_Loan_Amount)),0)</f>
        <v>0</v>
      </c>
      <c r="H11" s="78">
        <f t="shared" ref="H11:H74" si="27">D11+F11</f>
        <v>0</v>
      </c>
      <c r="J11">
        <f t="shared" si="1"/>
        <v>1</v>
      </c>
      <c r="K11">
        <f t="shared" si="7"/>
        <v>6</v>
      </c>
      <c r="L11" s="49">
        <f t="shared" si="20"/>
        <v>153</v>
      </c>
      <c r="M11" s="78">
        <f>IF(L11&gt;EDATE(DATE(YEAR(NEW_Origination_Date)+ NEW_Amort, MONTH(NEW_Origination_Date), DAY(NEW_Origination_Date)),NEW_Interest_Only),0,Q10)</f>
        <v>0</v>
      </c>
      <c r="N11" s="78">
        <f t="shared" si="8"/>
        <v>0</v>
      </c>
      <c r="O11" s="78">
        <f>IFERROR(IF(K11=0,0, PPMT(NEW_I_Adj,'Loan Amort Table'!K11,NEW_Amort_Periods,NEW_Orig_Loan_Amount)),0)</f>
        <v>0</v>
      </c>
      <c r="P11" s="78">
        <f>IFERROR(IF(NEW_Amort = 0, -M11* NEW_I_Adj,IPMT(NEW_I_Adj,IF(K11 = 0, 1, K11),NEW_Amort_Periods,NEW_Orig_Loan_Amount)),0)</f>
        <v>0</v>
      </c>
      <c r="Q11" s="78">
        <f t="shared" si="9"/>
        <v>0</v>
      </c>
      <c r="S11">
        <f t="shared" si="2"/>
        <v>1</v>
      </c>
      <c r="T11">
        <f t="shared" si="10"/>
        <v>6</v>
      </c>
      <c r="U11" s="49">
        <f t="shared" si="21"/>
        <v>153</v>
      </c>
      <c r="V11" s="78">
        <f t="shared" si="11"/>
        <v>0</v>
      </c>
      <c r="W11" s="78">
        <f t="shared" ca="1" si="22"/>
        <v>0</v>
      </c>
      <c r="X11" s="78">
        <f>IFERROR(IF(OR(T11=0, U11&gt;=Refi_Origination_Date),0, PPMT(Mezz_I_Adj,'Loan Amort Table'!T11,Mezz_Amort_Periods,Mezz_Orig_Loan_Amount)),0)</f>
        <v>0</v>
      </c>
      <c r="Y11" s="78" cm="1">
        <f t="array" aca="1" ref="Y11" ca="1">IFERROR(_xlfn.IFS(U11&gt;=Refi_Origination_Date,0, Mezz_Amort = 0, -V11 * Mezz_I_Adj, 1, IPMT(Mezz_I_Adj,IF(T11 = 0, 1, T11),Mezz_Amort_Periods,Mezz_Orig_Loan_Amount)),0)</f>
        <v>0</v>
      </c>
      <c r="Z11" s="78">
        <f t="shared" si="23"/>
        <v>0</v>
      </c>
      <c r="AB11">
        <f t="shared" si="3"/>
        <v>1</v>
      </c>
      <c r="AC11">
        <f t="shared" si="14"/>
        <v>6</v>
      </c>
      <c r="AD11" s="49">
        <f t="shared" si="24"/>
        <v>153</v>
      </c>
      <c r="AE11" s="78">
        <f t="shared" si="15"/>
        <v>0</v>
      </c>
      <c r="AF11" s="78">
        <f t="shared" ca="1" si="25"/>
        <v>0</v>
      </c>
      <c r="AG11" s="78">
        <f ca="1">IFERROR(IF(AC11=0,0, PPMT(Refi_I_Adj,'Loan Amort Table'!AC11,Refi_Amort_Periods,Refi_Orig_Loan_Amount)),0)</f>
        <v>0</v>
      </c>
      <c r="AH11" s="78">
        <f t="shared" ca="1" si="4"/>
        <v>0</v>
      </c>
      <c r="AI11" s="78">
        <f t="shared" ca="1" si="26"/>
        <v>0</v>
      </c>
    </row>
    <row r="12" spans="1:35" x14ac:dyDescent="0.25">
      <c r="A12">
        <f t="shared" si="0"/>
        <v>1</v>
      </c>
      <c r="B12">
        <f t="shared" si="5"/>
        <v>7</v>
      </c>
      <c r="C12" s="49">
        <f t="shared" si="18"/>
        <v>183</v>
      </c>
      <c r="D12" s="78">
        <f>IF(C12&gt;EDATE(DATE(YEAR(SED_Origination_Date)+ SED_Amort, MONTH(SED_Origination_Date), DAY(SED_Origination_Date)),SED_Interest_Only),0,H11)</f>
        <v>0</v>
      </c>
      <c r="E12" s="78">
        <f t="shared" si="6"/>
        <v>0</v>
      </c>
      <c r="F12" s="78">
        <f>IFERROR(IF(OR(B12=0, C12&gt;=Refi_Origination_Date),0, PPMT(SED_I_Adj,'Loan Amort Table'!B12,SED_Amort_Periods,SED_Orig_Loan_Amount)),0)</f>
        <v>0</v>
      </c>
      <c r="G12" s="78" cm="1">
        <f t="array" ref="G12">IFERROR(_xlfn.IFS(C12&gt;=Refi_Origination_Date, 0, SED_Amort = 0, -D12 * SED_I_Adj, 1, IPMT(SED_I_Adj,IF(B12 = 0, 1, B12),SED_Amort_Periods,SED_Orig_Loan_Amount)),0)</f>
        <v>0</v>
      </c>
      <c r="H12" s="78">
        <f t="shared" si="27"/>
        <v>0</v>
      </c>
      <c r="J12">
        <f t="shared" si="1"/>
        <v>1</v>
      </c>
      <c r="K12">
        <f t="shared" si="7"/>
        <v>7</v>
      </c>
      <c r="L12" s="49">
        <f t="shared" si="20"/>
        <v>183</v>
      </c>
      <c r="M12" s="78">
        <f>IF(L12&gt;EDATE(DATE(YEAR(NEW_Origination_Date)+ NEW_Amort, MONTH(NEW_Origination_Date), DAY(NEW_Origination_Date)),NEW_Interest_Only),0,Q11)</f>
        <v>0</v>
      </c>
      <c r="N12" s="78">
        <f t="shared" si="8"/>
        <v>0</v>
      </c>
      <c r="O12" s="78">
        <f>IFERROR(IF(K12=0,0, PPMT(NEW_I_Adj,'Loan Amort Table'!K12,NEW_Amort_Periods,NEW_Orig_Loan_Amount)),0)</f>
        <v>0</v>
      </c>
      <c r="P12" s="78">
        <f>IFERROR(IF(NEW_Amort = 0, -M12* NEW_I_Adj,IPMT(NEW_I_Adj,IF(K12 = 0, 1, K12),NEW_Amort_Periods,NEW_Orig_Loan_Amount)),0)</f>
        <v>0</v>
      </c>
      <c r="Q12" s="78">
        <f t="shared" si="9"/>
        <v>0</v>
      </c>
      <c r="S12">
        <f t="shared" si="2"/>
        <v>1</v>
      </c>
      <c r="T12">
        <f t="shared" si="10"/>
        <v>7</v>
      </c>
      <c r="U12" s="49">
        <f t="shared" si="21"/>
        <v>183</v>
      </c>
      <c r="V12" s="78">
        <f t="shared" si="11"/>
        <v>0</v>
      </c>
      <c r="W12" s="78">
        <f t="shared" ca="1" si="22"/>
        <v>0</v>
      </c>
      <c r="X12" s="78">
        <f>IFERROR(IF(OR(T12=0, U12&gt;=Refi_Origination_Date),0, PPMT(Mezz_I_Adj,'Loan Amort Table'!T12,Mezz_Amort_Periods,Mezz_Orig_Loan_Amount)),0)</f>
        <v>0</v>
      </c>
      <c r="Y12" s="78" cm="1">
        <f t="array" aca="1" ref="Y12" ca="1">IFERROR(_xlfn.IFS(U12&gt;=Refi_Origination_Date,0, Mezz_Amort = 0, -V12 * Mezz_I_Adj, 1, IPMT(Mezz_I_Adj,IF(T12 = 0, 1, T12),Mezz_Amort_Periods,Mezz_Orig_Loan_Amount)),0)</f>
        <v>0</v>
      </c>
      <c r="Z12" s="78">
        <f t="shared" si="23"/>
        <v>0</v>
      </c>
      <c r="AB12">
        <f t="shared" si="3"/>
        <v>1</v>
      </c>
      <c r="AC12">
        <f t="shared" si="14"/>
        <v>7</v>
      </c>
      <c r="AD12" s="49">
        <f t="shared" si="24"/>
        <v>183</v>
      </c>
      <c r="AE12" s="78">
        <f t="shared" si="15"/>
        <v>0</v>
      </c>
      <c r="AF12" s="78">
        <f t="shared" ca="1" si="25"/>
        <v>0</v>
      </c>
      <c r="AG12" s="78">
        <f ca="1">IFERROR(IF(AC12=0,0, PPMT(Refi_I_Adj,'Loan Amort Table'!AC12,Refi_Amort_Periods,Refi_Orig_Loan_Amount)),0)</f>
        <v>0</v>
      </c>
      <c r="AH12" s="78">
        <f t="shared" ca="1" si="4"/>
        <v>0</v>
      </c>
      <c r="AI12" s="78">
        <f t="shared" ca="1" si="26"/>
        <v>0</v>
      </c>
    </row>
    <row r="13" spans="1:35" x14ac:dyDescent="0.25">
      <c r="A13">
        <f t="shared" si="0"/>
        <v>1</v>
      </c>
      <c r="B13">
        <f t="shared" si="5"/>
        <v>8</v>
      </c>
      <c r="C13" s="49">
        <f t="shared" si="18"/>
        <v>214</v>
      </c>
      <c r="D13" s="78">
        <f>IF(C13&gt;EDATE(DATE(YEAR(SED_Origination_Date)+ SED_Amort, MONTH(SED_Origination_Date), DAY(SED_Origination_Date)),SED_Interest_Only),0,H12)</f>
        <v>0</v>
      </c>
      <c r="E13" s="78">
        <f t="shared" si="6"/>
        <v>0</v>
      </c>
      <c r="F13" s="78">
        <f>IFERROR(IF(OR(B13=0, C13&gt;=Refi_Origination_Date),0, PPMT(SED_I_Adj,'Loan Amort Table'!B13,SED_Amort_Periods,SED_Orig_Loan_Amount)),0)</f>
        <v>0</v>
      </c>
      <c r="G13" s="78" cm="1">
        <f t="array" ref="G13">IFERROR(_xlfn.IFS(C13&gt;=Refi_Origination_Date, 0, SED_Amort = 0, -D13 * SED_I_Adj, 1, IPMT(SED_I_Adj,IF(B13 = 0, 1, B13),SED_Amort_Periods,SED_Orig_Loan_Amount)),0)</f>
        <v>0</v>
      </c>
      <c r="H13" s="78">
        <f t="shared" si="27"/>
        <v>0</v>
      </c>
      <c r="J13">
        <f t="shared" si="1"/>
        <v>1</v>
      </c>
      <c r="K13">
        <f t="shared" si="7"/>
        <v>8</v>
      </c>
      <c r="L13" s="49">
        <f t="shared" si="20"/>
        <v>214</v>
      </c>
      <c r="M13" s="78">
        <f>IF(L13&gt;EDATE(DATE(YEAR(NEW_Origination_Date)+ NEW_Amort, MONTH(NEW_Origination_Date), DAY(NEW_Origination_Date)),NEW_Interest_Only),0,Q12)</f>
        <v>0</v>
      </c>
      <c r="N13" s="78">
        <f t="shared" si="8"/>
        <v>0</v>
      </c>
      <c r="O13" s="78">
        <f>IFERROR(IF(K13=0,0, PPMT(NEW_I_Adj,'Loan Amort Table'!K13,NEW_Amort_Periods,NEW_Orig_Loan_Amount)),0)</f>
        <v>0</v>
      </c>
      <c r="P13" s="78">
        <f>IFERROR(IF(NEW_Amort = 0, -M13* NEW_I_Adj,IPMT(NEW_I_Adj,IF(K13 = 0, 1, K13),NEW_Amort_Periods,NEW_Orig_Loan_Amount)),0)</f>
        <v>0</v>
      </c>
      <c r="Q13" s="78">
        <f t="shared" si="9"/>
        <v>0</v>
      </c>
      <c r="S13">
        <f t="shared" si="2"/>
        <v>1</v>
      </c>
      <c r="T13">
        <f t="shared" si="10"/>
        <v>8</v>
      </c>
      <c r="U13" s="49">
        <f t="shared" si="21"/>
        <v>214</v>
      </c>
      <c r="V13" s="78">
        <f t="shared" si="11"/>
        <v>0</v>
      </c>
      <c r="W13" s="78">
        <f t="shared" ca="1" si="22"/>
        <v>0</v>
      </c>
      <c r="X13" s="78">
        <f>IFERROR(IF(OR(T13=0, U13&gt;=Refi_Origination_Date),0, PPMT(Mezz_I_Adj,'Loan Amort Table'!T13,Mezz_Amort_Periods,Mezz_Orig_Loan_Amount)),0)</f>
        <v>0</v>
      </c>
      <c r="Y13" s="78" cm="1">
        <f t="array" aca="1" ref="Y13" ca="1">IFERROR(_xlfn.IFS(U13&gt;=Refi_Origination_Date,0, Mezz_Amort = 0, -V13 * Mezz_I_Adj, 1, IPMT(Mezz_I_Adj,IF(T13 = 0, 1, T13),Mezz_Amort_Periods,Mezz_Orig_Loan_Amount)),0)</f>
        <v>0</v>
      </c>
      <c r="Z13" s="78">
        <f t="shared" si="23"/>
        <v>0</v>
      </c>
      <c r="AB13">
        <f t="shared" si="3"/>
        <v>1</v>
      </c>
      <c r="AC13">
        <f t="shared" si="14"/>
        <v>8</v>
      </c>
      <c r="AD13" s="49">
        <f t="shared" si="24"/>
        <v>214</v>
      </c>
      <c r="AE13" s="78">
        <f t="shared" si="15"/>
        <v>0</v>
      </c>
      <c r="AF13" s="78">
        <f t="shared" ca="1" si="25"/>
        <v>0</v>
      </c>
      <c r="AG13" s="78">
        <f ca="1">IFERROR(IF(AC13=0,0, PPMT(Refi_I_Adj,'Loan Amort Table'!AC13,Refi_Amort_Periods,Refi_Orig_Loan_Amount)),0)</f>
        <v>0</v>
      </c>
      <c r="AH13" s="78">
        <f t="shared" ca="1" si="4"/>
        <v>0</v>
      </c>
      <c r="AI13" s="78">
        <f t="shared" ca="1" si="26"/>
        <v>0</v>
      </c>
    </row>
    <row r="14" spans="1:35" x14ac:dyDescent="0.25">
      <c r="A14">
        <f t="shared" si="0"/>
        <v>1</v>
      </c>
      <c r="B14">
        <f t="shared" si="5"/>
        <v>9</v>
      </c>
      <c r="C14" s="49">
        <f t="shared" si="18"/>
        <v>245</v>
      </c>
      <c r="D14" s="78">
        <f>IF(C14&gt;EDATE(DATE(YEAR(SED_Origination_Date)+ SED_Amort, MONTH(SED_Origination_Date), DAY(SED_Origination_Date)),SED_Interest_Only),0,H13)</f>
        <v>0</v>
      </c>
      <c r="E14" s="78">
        <f t="shared" si="6"/>
        <v>0</v>
      </c>
      <c r="F14" s="78">
        <f>IFERROR(IF(OR(B14=0, C14&gt;=Refi_Origination_Date),0, PPMT(SED_I_Adj,'Loan Amort Table'!B14,SED_Amort_Periods,SED_Orig_Loan_Amount)),0)</f>
        <v>0</v>
      </c>
      <c r="G14" s="78" cm="1">
        <f t="array" ref="G14">IFERROR(_xlfn.IFS(C14&gt;=Refi_Origination_Date, 0, SED_Amort = 0, -D14 * SED_I_Adj, 1, IPMT(SED_I_Adj,IF(B14 = 0, 1, B14),SED_Amort_Periods,SED_Orig_Loan_Amount)),0)</f>
        <v>0</v>
      </c>
      <c r="H14" s="78">
        <f t="shared" si="27"/>
        <v>0</v>
      </c>
      <c r="J14">
        <f t="shared" si="1"/>
        <v>1</v>
      </c>
      <c r="K14">
        <f t="shared" si="7"/>
        <v>9</v>
      </c>
      <c r="L14" s="49">
        <f t="shared" si="20"/>
        <v>245</v>
      </c>
      <c r="M14" s="78">
        <f>IF(L14&gt;EDATE(DATE(YEAR(NEW_Origination_Date)+ NEW_Amort, MONTH(NEW_Origination_Date), DAY(NEW_Origination_Date)),NEW_Interest_Only),0,Q13)</f>
        <v>0</v>
      </c>
      <c r="N14" s="78">
        <f t="shared" si="8"/>
        <v>0</v>
      </c>
      <c r="O14" s="78">
        <f>IFERROR(IF(K14=0,0, PPMT(NEW_I_Adj,'Loan Amort Table'!K14,NEW_Amort_Periods,NEW_Orig_Loan_Amount)),0)</f>
        <v>0</v>
      </c>
      <c r="P14" s="78">
        <f>IFERROR(IF(NEW_Amort = 0, -M14* NEW_I_Adj,IPMT(NEW_I_Adj,IF(K14 = 0, 1, K14),NEW_Amort_Periods,NEW_Orig_Loan_Amount)),0)</f>
        <v>0</v>
      </c>
      <c r="Q14" s="78">
        <f t="shared" si="9"/>
        <v>0</v>
      </c>
      <c r="S14">
        <f t="shared" si="2"/>
        <v>1</v>
      </c>
      <c r="T14">
        <f t="shared" si="10"/>
        <v>9</v>
      </c>
      <c r="U14" s="49">
        <f t="shared" si="21"/>
        <v>245</v>
      </c>
      <c r="V14" s="78">
        <f t="shared" si="11"/>
        <v>0</v>
      </c>
      <c r="W14" s="78">
        <f t="shared" ca="1" si="22"/>
        <v>0</v>
      </c>
      <c r="X14" s="78">
        <f>IFERROR(IF(OR(T14=0, U14&gt;=Refi_Origination_Date),0, PPMT(Mezz_I_Adj,'Loan Amort Table'!T14,Mezz_Amort_Periods,Mezz_Orig_Loan_Amount)),0)</f>
        <v>0</v>
      </c>
      <c r="Y14" s="78" cm="1">
        <f t="array" aca="1" ref="Y14" ca="1">IFERROR(_xlfn.IFS(U14&gt;=Refi_Origination_Date,0, Mezz_Amort = 0, -V14 * Mezz_I_Adj, 1, IPMT(Mezz_I_Adj,IF(T14 = 0, 1, T14),Mezz_Amort_Periods,Mezz_Orig_Loan_Amount)),0)</f>
        <v>0</v>
      </c>
      <c r="Z14" s="78">
        <f t="shared" si="23"/>
        <v>0</v>
      </c>
      <c r="AB14">
        <f t="shared" si="3"/>
        <v>1</v>
      </c>
      <c r="AC14">
        <f t="shared" si="14"/>
        <v>9</v>
      </c>
      <c r="AD14" s="49">
        <f t="shared" si="24"/>
        <v>245</v>
      </c>
      <c r="AE14" s="78">
        <f t="shared" si="15"/>
        <v>0</v>
      </c>
      <c r="AF14" s="78">
        <f t="shared" ca="1" si="25"/>
        <v>0</v>
      </c>
      <c r="AG14" s="78">
        <f ca="1">IFERROR(IF(AC14=0,0, PPMT(Refi_I_Adj,'Loan Amort Table'!AC14,Refi_Amort_Periods,Refi_Orig_Loan_Amount)),0)</f>
        <v>0</v>
      </c>
      <c r="AH14" s="78">
        <f t="shared" ca="1" si="4"/>
        <v>0</v>
      </c>
      <c r="AI14" s="78">
        <f t="shared" ca="1" si="26"/>
        <v>0</v>
      </c>
    </row>
    <row r="15" spans="1:35" x14ac:dyDescent="0.25">
      <c r="A15">
        <f t="shared" si="0"/>
        <v>1</v>
      </c>
      <c r="B15">
        <f t="shared" si="5"/>
        <v>10</v>
      </c>
      <c r="C15" s="49">
        <f t="shared" si="18"/>
        <v>275</v>
      </c>
      <c r="D15" s="78">
        <f>IF(C15&gt;EDATE(DATE(YEAR(SED_Origination_Date)+ SED_Amort, MONTH(SED_Origination_Date), DAY(SED_Origination_Date)),SED_Interest_Only),0,H14)</f>
        <v>0</v>
      </c>
      <c r="E15" s="78">
        <f t="shared" si="6"/>
        <v>0</v>
      </c>
      <c r="F15" s="78">
        <f>IFERROR(IF(OR(B15=0, C15&gt;=Refi_Origination_Date),0, PPMT(SED_I_Adj,'Loan Amort Table'!B15,SED_Amort_Periods,SED_Orig_Loan_Amount)),0)</f>
        <v>0</v>
      </c>
      <c r="G15" s="78" cm="1">
        <f t="array" ref="G15">IFERROR(_xlfn.IFS(C15&gt;=Refi_Origination_Date, 0, SED_Amort = 0, -D15 * SED_I_Adj, 1, IPMT(SED_I_Adj,IF(B15 = 0, 1, B15),SED_Amort_Periods,SED_Orig_Loan_Amount)),0)</f>
        <v>0</v>
      </c>
      <c r="H15" s="78">
        <f t="shared" si="27"/>
        <v>0</v>
      </c>
      <c r="J15">
        <f t="shared" si="1"/>
        <v>1</v>
      </c>
      <c r="K15">
        <f t="shared" si="7"/>
        <v>10</v>
      </c>
      <c r="L15" s="49">
        <f t="shared" si="20"/>
        <v>275</v>
      </c>
      <c r="M15" s="78">
        <f>IF(L15&gt;EDATE(DATE(YEAR(NEW_Origination_Date)+ NEW_Amort, MONTH(NEW_Origination_Date), DAY(NEW_Origination_Date)),NEW_Interest_Only),0,Q14)</f>
        <v>0</v>
      </c>
      <c r="N15" s="78">
        <f t="shared" si="8"/>
        <v>0</v>
      </c>
      <c r="O15" s="78">
        <f>IFERROR(IF(K15=0,0, PPMT(NEW_I_Adj,'Loan Amort Table'!K15,NEW_Amort_Periods,NEW_Orig_Loan_Amount)),0)</f>
        <v>0</v>
      </c>
      <c r="P15" s="78">
        <f>IFERROR(IF(NEW_Amort = 0, -M15* NEW_I_Adj,IPMT(NEW_I_Adj,IF(K15 = 0, 1, K15),NEW_Amort_Periods,NEW_Orig_Loan_Amount)),0)</f>
        <v>0</v>
      </c>
      <c r="Q15" s="78">
        <f t="shared" si="9"/>
        <v>0</v>
      </c>
      <c r="S15">
        <f t="shared" si="2"/>
        <v>1</v>
      </c>
      <c r="T15">
        <f t="shared" si="10"/>
        <v>10</v>
      </c>
      <c r="U15" s="49">
        <f t="shared" si="21"/>
        <v>275</v>
      </c>
      <c r="V15" s="78">
        <f t="shared" si="11"/>
        <v>0</v>
      </c>
      <c r="W15" s="78">
        <f t="shared" ca="1" si="22"/>
        <v>0</v>
      </c>
      <c r="X15" s="78">
        <f>IFERROR(IF(OR(T15=0, U15&gt;=Refi_Origination_Date),0, PPMT(Mezz_I_Adj,'Loan Amort Table'!T15,Mezz_Amort_Periods,Mezz_Orig_Loan_Amount)),0)</f>
        <v>0</v>
      </c>
      <c r="Y15" s="78" cm="1">
        <f t="array" aca="1" ref="Y15" ca="1">IFERROR(_xlfn.IFS(U15&gt;=Refi_Origination_Date,0, Mezz_Amort = 0, -V15 * Mezz_I_Adj, 1, IPMT(Mezz_I_Adj,IF(T15 = 0, 1, T15),Mezz_Amort_Periods,Mezz_Orig_Loan_Amount)),0)</f>
        <v>0</v>
      </c>
      <c r="Z15" s="78">
        <f t="shared" si="23"/>
        <v>0</v>
      </c>
      <c r="AB15">
        <f t="shared" si="3"/>
        <v>1</v>
      </c>
      <c r="AC15">
        <f t="shared" si="14"/>
        <v>10</v>
      </c>
      <c r="AD15" s="49">
        <f t="shared" si="24"/>
        <v>275</v>
      </c>
      <c r="AE15" s="78">
        <f t="shared" si="15"/>
        <v>0</v>
      </c>
      <c r="AF15" s="78">
        <f t="shared" ca="1" si="25"/>
        <v>0</v>
      </c>
      <c r="AG15" s="78">
        <f ca="1">IFERROR(IF(AC15=0,0, PPMT(Refi_I_Adj,'Loan Amort Table'!AC15,Refi_Amort_Periods,Refi_Orig_Loan_Amount)),0)</f>
        <v>0</v>
      </c>
      <c r="AH15" s="78">
        <f t="shared" ca="1" si="4"/>
        <v>0</v>
      </c>
      <c r="AI15" s="78">
        <f t="shared" ca="1" si="26"/>
        <v>0</v>
      </c>
    </row>
    <row r="16" spans="1:35" x14ac:dyDescent="0.25">
      <c r="A16">
        <f t="shared" si="0"/>
        <v>1</v>
      </c>
      <c r="B16">
        <f t="shared" si="5"/>
        <v>11</v>
      </c>
      <c r="C16" s="49">
        <f t="shared" si="18"/>
        <v>306</v>
      </c>
      <c r="D16" s="78">
        <f>IF(C16&gt;EDATE(DATE(YEAR(SED_Origination_Date)+ SED_Amort, MONTH(SED_Origination_Date), DAY(SED_Origination_Date)),SED_Interest_Only),0,H15)</f>
        <v>0</v>
      </c>
      <c r="E16" s="78">
        <f t="shared" si="6"/>
        <v>0</v>
      </c>
      <c r="F16" s="78">
        <f>IFERROR(IF(OR(B16=0, C16&gt;=Refi_Origination_Date),0, PPMT(SED_I_Adj,'Loan Amort Table'!B16,SED_Amort_Periods,SED_Orig_Loan_Amount)),0)</f>
        <v>0</v>
      </c>
      <c r="G16" s="78" cm="1">
        <f t="array" ref="G16">IFERROR(_xlfn.IFS(C16&gt;=Refi_Origination_Date, 0, SED_Amort = 0, -D16 * SED_I_Adj, 1, IPMT(SED_I_Adj,IF(B16 = 0, 1, B16),SED_Amort_Periods,SED_Orig_Loan_Amount)),0)</f>
        <v>0</v>
      </c>
      <c r="H16" s="78">
        <f t="shared" si="27"/>
        <v>0</v>
      </c>
      <c r="J16">
        <f t="shared" si="1"/>
        <v>1</v>
      </c>
      <c r="K16">
        <f t="shared" si="7"/>
        <v>11</v>
      </c>
      <c r="L16" s="49">
        <f t="shared" si="20"/>
        <v>306</v>
      </c>
      <c r="M16" s="78">
        <f>IF(L16&gt;EDATE(DATE(YEAR(NEW_Origination_Date)+ NEW_Amort, MONTH(NEW_Origination_Date), DAY(NEW_Origination_Date)),NEW_Interest_Only),0,Q15)</f>
        <v>0</v>
      </c>
      <c r="N16" s="78">
        <f t="shared" si="8"/>
        <v>0</v>
      </c>
      <c r="O16" s="78">
        <f>IFERROR(IF(K16=0,0, PPMT(NEW_I_Adj,'Loan Amort Table'!K16,NEW_Amort_Periods,NEW_Orig_Loan_Amount)),0)</f>
        <v>0</v>
      </c>
      <c r="P16" s="78">
        <f>IFERROR(IF(NEW_Amort = 0, -M16* NEW_I_Adj,IPMT(NEW_I_Adj,IF(K16 = 0, 1, K16),NEW_Amort_Periods,NEW_Orig_Loan_Amount)),0)</f>
        <v>0</v>
      </c>
      <c r="Q16" s="78">
        <f t="shared" si="9"/>
        <v>0</v>
      </c>
      <c r="S16">
        <f t="shared" si="2"/>
        <v>1</v>
      </c>
      <c r="T16">
        <f t="shared" si="10"/>
        <v>11</v>
      </c>
      <c r="U16" s="49">
        <f t="shared" si="21"/>
        <v>306</v>
      </c>
      <c r="V16" s="78">
        <f t="shared" si="11"/>
        <v>0</v>
      </c>
      <c r="W16" s="78">
        <f t="shared" ca="1" si="22"/>
        <v>0</v>
      </c>
      <c r="X16" s="78">
        <f>IFERROR(IF(OR(T16=0, U16&gt;=Refi_Origination_Date),0, PPMT(Mezz_I_Adj,'Loan Amort Table'!T16,Mezz_Amort_Periods,Mezz_Orig_Loan_Amount)),0)</f>
        <v>0</v>
      </c>
      <c r="Y16" s="78" cm="1">
        <f t="array" aca="1" ref="Y16" ca="1">IFERROR(_xlfn.IFS(U16&gt;=Refi_Origination_Date,0, Mezz_Amort = 0, -V16 * Mezz_I_Adj, 1, IPMT(Mezz_I_Adj,IF(T16 = 0, 1, T16),Mezz_Amort_Periods,Mezz_Orig_Loan_Amount)),0)</f>
        <v>0</v>
      </c>
      <c r="Z16" s="78">
        <f t="shared" si="23"/>
        <v>0</v>
      </c>
      <c r="AB16">
        <f t="shared" si="3"/>
        <v>1</v>
      </c>
      <c r="AC16">
        <f t="shared" si="14"/>
        <v>11</v>
      </c>
      <c r="AD16" s="49">
        <f t="shared" si="24"/>
        <v>306</v>
      </c>
      <c r="AE16" s="78">
        <f t="shared" si="15"/>
        <v>0</v>
      </c>
      <c r="AF16" s="78">
        <f t="shared" ca="1" si="25"/>
        <v>0</v>
      </c>
      <c r="AG16" s="78">
        <f ca="1">IFERROR(IF(AC16=0,0, PPMT(Refi_I_Adj,'Loan Amort Table'!AC16,Refi_Amort_Periods,Refi_Orig_Loan_Amount)),0)</f>
        <v>0</v>
      </c>
      <c r="AH16" s="78">
        <f t="shared" ca="1" si="4"/>
        <v>0</v>
      </c>
      <c r="AI16" s="78">
        <f t="shared" ca="1" si="26"/>
        <v>0</v>
      </c>
    </row>
    <row r="17" spans="1:35" x14ac:dyDescent="0.25">
      <c r="A17">
        <f t="shared" si="0"/>
        <v>1</v>
      </c>
      <c r="B17">
        <f t="shared" si="5"/>
        <v>12</v>
      </c>
      <c r="C17" s="49">
        <f t="shared" si="18"/>
        <v>336</v>
      </c>
      <c r="D17" s="78">
        <f>IF(C17&gt;EDATE(DATE(YEAR(SED_Origination_Date)+ SED_Amort, MONTH(SED_Origination_Date), DAY(SED_Origination_Date)),SED_Interest_Only),0,H16)</f>
        <v>0</v>
      </c>
      <c r="E17" s="78">
        <f t="shared" si="6"/>
        <v>0</v>
      </c>
      <c r="F17" s="78">
        <f>IFERROR(IF(OR(B17=0, C17&gt;=Refi_Origination_Date),0, PPMT(SED_I_Adj,'Loan Amort Table'!B17,SED_Amort_Periods,SED_Orig_Loan_Amount)),0)</f>
        <v>0</v>
      </c>
      <c r="G17" s="78" cm="1">
        <f t="array" ref="G17">IFERROR(_xlfn.IFS(C17&gt;=Refi_Origination_Date, 0, SED_Amort = 0, -D17 * SED_I_Adj, 1, IPMT(SED_I_Adj,IF(B17 = 0, 1, B17),SED_Amort_Periods,SED_Orig_Loan_Amount)),0)</f>
        <v>0</v>
      </c>
      <c r="H17" s="78">
        <f t="shared" si="27"/>
        <v>0</v>
      </c>
      <c r="J17">
        <f t="shared" si="1"/>
        <v>1</v>
      </c>
      <c r="K17">
        <f t="shared" si="7"/>
        <v>12</v>
      </c>
      <c r="L17" s="49">
        <f t="shared" si="20"/>
        <v>336</v>
      </c>
      <c r="M17" s="78">
        <f>IF(L17&gt;EDATE(DATE(YEAR(NEW_Origination_Date)+ NEW_Amort, MONTH(NEW_Origination_Date), DAY(NEW_Origination_Date)),NEW_Interest_Only),0,Q16)</f>
        <v>0</v>
      </c>
      <c r="N17" s="78">
        <f t="shared" si="8"/>
        <v>0</v>
      </c>
      <c r="O17" s="78">
        <f>IFERROR(IF(K17=0,0, PPMT(NEW_I_Adj,'Loan Amort Table'!K17,NEW_Amort_Periods,NEW_Orig_Loan_Amount)),0)</f>
        <v>0</v>
      </c>
      <c r="P17" s="78">
        <f>IFERROR(IF(NEW_Amort = 0, -M17* NEW_I_Adj,IPMT(NEW_I_Adj,IF(K17 = 0, 1, K17),NEW_Amort_Periods,NEW_Orig_Loan_Amount)),0)</f>
        <v>0</v>
      </c>
      <c r="Q17" s="78">
        <f t="shared" si="9"/>
        <v>0</v>
      </c>
      <c r="S17">
        <f t="shared" si="2"/>
        <v>1</v>
      </c>
      <c r="T17">
        <f t="shared" si="10"/>
        <v>12</v>
      </c>
      <c r="U17" s="49">
        <f t="shared" si="21"/>
        <v>336</v>
      </c>
      <c r="V17" s="78">
        <f t="shared" si="11"/>
        <v>0</v>
      </c>
      <c r="W17" s="78">
        <f t="shared" ca="1" si="22"/>
        <v>0</v>
      </c>
      <c r="X17" s="78">
        <f>IFERROR(IF(OR(T17=0, U17&gt;=Refi_Origination_Date),0, PPMT(Mezz_I_Adj,'Loan Amort Table'!T17,Mezz_Amort_Periods,Mezz_Orig_Loan_Amount)),0)</f>
        <v>0</v>
      </c>
      <c r="Y17" s="78" cm="1">
        <f t="array" aca="1" ref="Y17" ca="1">IFERROR(_xlfn.IFS(U17&gt;=Refi_Origination_Date,0, Mezz_Amort = 0, -V17 * Mezz_I_Adj, 1, IPMT(Mezz_I_Adj,IF(T17 = 0, 1, T17),Mezz_Amort_Periods,Mezz_Orig_Loan_Amount)),0)</f>
        <v>0</v>
      </c>
      <c r="Z17" s="78">
        <f t="shared" si="23"/>
        <v>0</v>
      </c>
      <c r="AB17">
        <f t="shared" si="3"/>
        <v>1</v>
      </c>
      <c r="AC17">
        <f t="shared" si="14"/>
        <v>12</v>
      </c>
      <c r="AD17" s="49">
        <f t="shared" si="24"/>
        <v>336</v>
      </c>
      <c r="AE17" s="78">
        <f t="shared" si="15"/>
        <v>0</v>
      </c>
      <c r="AF17" s="78">
        <f t="shared" ca="1" si="25"/>
        <v>0</v>
      </c>
      <c r="AG17" s="78">
        <f ca="1">IFERROR(IF(AC17=0,0, PPMT(Refi_I_Adj,'Loan Amort Table'!AC17,Refi_Amort_Periods,Refi_Orig_Loan_Amount)),0)</f>
        <v>0</v>
      </c>
      <c r="AH17" s="78">
        <f t="shared" ca="1" si="4"/>
        <v>0</v>
      </c>
      <c r="AI17" s="78">
        <f t="shared" ca="1" si="26"/>
        <v>0</v>
      </c>
    </row>
    <row r="18" spans="1:35" x14ac:dyDescent="0.25">
      <c r="A18">
        <f t="shared" si="0"/>
        <v>2</v>
      </c>
      <c r="B18">
        <f t="shared" si="5"/>
        <v>13</v>
      </c>
      <c r="C18" s="49">
        <f t="shared" si="18"/>
        <v>367</v>
      </c>
      <c r="D18" s="78">
        <f>IF(C18&gt;EDATE(DATE(YEAR(SED_Origination_Date)+ SED_Amort, MONTH(SED_Origination_Date), DAY(SED_Origination_Date)),SED_Interest_Only),0,H17)</f>
        <v>0</v>
      </c>
      <c r="E18" s="78">
        <f t="shared" si="6"/>
        <v>0</v>
      </c>
      <c r="F18" s="78">
        <f>IFERROR(IF(OR(B18=0, C18&gt;=Refi_Origination_Date),0, PPMT(SED_I_Adj,'Loan Amort Table'!B18,SED_Amort_Periods,SED_Orig_Loan_Amount)),0)</f>
        <v>0</v>
      </c>
      <c r="G18" s="78" cm="1">
        <f t="array" ref="G18">IFERROR(_xlfn.IFS(C18&gt;=Refi_Origination_Date, 0, SED_Amort = 0, -D18 * SED_I_Adj, 1, IPMT(SED_I_Adj,IF(B18 = 0, 1, B18),SED_Amort_Periods,SED_Orig_Loan_Amount)),0)</f>
        <v>0</v>
      </c>
      <c r="H18" s="78">
        <f t="shared" si="27"/>
        <v>0</v>
      </c>
      <c r="J18">
        <f t="shared" si="1"/>
        <v>2</v>
      </c>
      <c r="K18">
        <f t="shared" si="7"/>
        <v>13</v>
      </c>
      <c r="L18" s="49">
        <f t="shared" si="20"/>
        <v>367</v>
      </c>
      <c r="M18" s="78">
        <f>IF(L18&gt;EDATE(DATE(YEAR(NEW_Origination_Date)+ NEW_Amort, MONTH(NEW_Origination_Date), DAY(NEW_Origination_Date)),NEW_Interest_Only),0,Q17)</f>
        <v>0</v>
      </c>
      <c r="N18" s="78">
        <f t="shared" si="8"/>
        <v>0</v>
      </c>
      <c r="O18" s="78">
        <f>IFERROR(IF(K18=0,0, PPMT(NEW_I_Adj,'Loan Amort Table'!K18,NEW_Amort_Periods,NEW_Orig_Loan_Amount)),0)</f>
        <v>0</v>
      </c>
      <c r="P18" s="78">
        <f>IFERROR(IF(NEW_Amort = 0, -M18* NEW_I_Adj,IPMT(NEW_I_Adj,IF(K18 = 0, 1, K18),NEW_Amort_Periods,NEW_Orig_Loan_Amount)),0)</f>
        <v>0</v>
      </c>
      <c r="Q18" s="78">
        <f t="shared" si="9"/>
        <v>0</v>
      </c>
      <c r="S18">
        <f t="shared" si="2"/>
        <v>2</v>
      </c>
      <c r="T18">
        <f t="shared" si="10"/>
        <v>13</v>
      </c>
      <c r="U18" s="49">
        <f t="shared" si="21"/>
        <v>367</v>
      </c>
      <c r="V18" s="78">
        <f t="shared" si="11"/>
        <v>0</v>
      </c>
      <c r="W18" s="78">
        <f t="shared" ca="1" si="22"/>
        <v>0</v>
      </c>
      <c r="X18" s="78">
        <f>IFERROR(IF(OR(T18=0, U18&gt;=Refi_Origination_Date),0, PPMT(Mezz_I_Adj,'Loan Amort Table'!T18,Mezz_Amort_Periods,Mezz_Orig_Loan_Amount)),0)</f>
        <v>0</v>
      </c>
      <c r="Y18" s="78" cm="1">
        <f t="array" aca="1" ref="Y18" ca="1">IFERROR(_xlfn.IFS(U18&gt;=Refi_Origination_Date,0, Mezz_Amort = 0, -V18 * Mezz_I_Adj, 1, IPMT(Mezz_I_Adj,IF(T18 = 0, 1, T18),Mezz_Amort_Periods,Mezz_Orig_Loan_Amount)),0)</f>
        <v>0</v>
      </c>
      <c r="Z18" s="78">
        <f t="shared" si="23"/>
        <v>0</v>
      </c>
      <c r="AB18">
        <f t="shared" si="3"/>
        <v>2</v>
      </c>
      <c r="AC18">
        <f t="shared" si="14"/>
        <v>13</v>
      </c>
      <c r="AD18" s="49">
        <f t="shared" si="24"/>
        <v>367</v>
      </c>
      <c r="AE18" s="78">
        <f t="shared" si="15"/>
        <v>0</v>
      </c>
      <c r="AF18" s="78">
        <f t="shared" ca="1" si="25"/>
        <v>0</v>
      </c>
      <c r="AG18" s="78">
        <f ca="1">IFERROR(IF(AC18=0,0, PPMT(Refi_I_Adj,'Loan Amort Table'!AC18,Refi_Amort_Periods,Refi_Orig_Loan_Amount)),0)</f>
        <v>0</v>
      </c>
      <c r="AH18" s="78">
        <f t="shared" ca="1" si="4"/>
        <v>0</v>
      </c>
      <c r="AI18" s="78">
        <f t="shared" ca="1" si="26"/>
        <v>0</v>
      </c>
    </row>
    <row r="19" spans="1:35" x14ac:dyDescent="0.25">
      <c r="A19">
        <f t="shared" si="0"/>
        <v>2</v>
      </c>
      <c r="B19">
        <f t="shared" si="5"/>
        <v>14</v>
      </c>
      <c r="C19" s="49">
        <f t="shared" si="18"/>
        <v>398</v>
      </c>
      <c r="D19" s="78">
        <f>IF(C19&gt;EDATE(DATE(YEAR(SED_Origination_Date)+ SED_Amort, MONTH(SED_Origination_Date), DAY(SED_Origination_Date)),SED_Interest_Only),0,H18)</f>
        <v>0</v>
      </c>
      <c r="E19" s="78">
        <f t="shared" si="6"/>
        <v>0</v>
      </c>
      <c r="F19" s="78">
        <f>IFERROR(IF(OR(B19=0, C19&gt;=Refi_Origination_Date),0, PPMT(SED_I_Adj,'Loan Amort Table'!B19,SED_Amort_Periods,SED_Orig_Loan_Amount)),0)</f>
        <v>0</v>
      </c>
      <c r="G19" s="78" cm="1">
        <f t="array" ref="G19">IFERROR(_xlfn.IFS(C19&gt;=Refi_Origination_Date, 0, SED_Amort = 0, -D19 * SED_I_Adj, 1, IPMT(SED_I_Adj,IF(B19 = 0, 1, B19),SED_Amort_Periods,SED_Orig_Loan_Amount)),0)</f>
        <v>0</v>
      </c>
      <c r="H19" s="78">
        <f t="shared" si="27"/>
        <v>0</v>
      </c>
      <c r="J19">
        <f t="shared" si="1"/>
        <v>2</v>
      </c>
      <c r="K19">
        <f t="shared" si="7"/>
        <v>14</v>
      </c>
      <c r="L19" s="49">
        <f t="shared" si="20"/>
        <v>398</v>
      </c>
      <c r="M19" s="78">
        <f>IF(L19&gt;EDATE(DATE(YEAR(NEW_Origination_Date)+ NEW_Amort, MONTH(NEW_Origination_Date), DAY(NEW_Origination_Date)),NEW_Interest_Only),0,Q18)</f>
        <v>0</v>
      </c>
      <c r="N19" s="78">
        <f t="shared" si="8"/>
        <v>0</v>
      </c>
      <c r="O19" s="78">
        <f>IFERROR(IF(K19=0,0, PPMT(NEW_I_Adj,'Loan Amort Table'!K19,NEW_Amort_Periods,NEW_Orig_Loan_Amount)),0)</f>
        <v>0</v>
      </c>
      <c r="P19" s="78">
        <f>IFERROR(IF(NEW_Amort = 0, -M19* NEW_I_Adj,IPMT(NEW_I_Adj,IF(K19 = 0, 1, K19),NEW_Amort_Periods,NEW_Orig_Loan_Amount)),0)</f>
        <v>0</v>
      </c>
      <c r="Q19" s="78">
        <f t="shared" si="9"/>
        <v>0</v>
      </c>
      <c r="S19">
        <f t="shared" si="2"/>
        <v>2</v>
      </c>
      <c r="T19">
        <f t="shared" si="10"/>
        <v>14</v>
      </c>
      <c r="U19" s="49">
        <f t="shared" si="21"/>
        <v>398</v>
      </c>
      <c r="V19" s="78">
        <f t="shared" si="11"/>
        <v>0</v>
      </c>
      <c r="W19" s="78">
        <f t="shared" ca="1" si="22"/>
        <v>0</v>
      </c>
      <c r="X19" s="78">
        <f>IFERROR(IF(OR(T19=0, U19&gt;=Refi_Origination_Date),0, PPMT(Mezz_I_Adj,'Loan Amort Table'!T19,Mezz_Amort_Periods,Mezz_Orig_Loan_Amount)),0)</f>
        <v>0</v>
      </c>
      <c r="Y19" s="78" cm="1">
        <f t="array" aca="1" ref="Y19" ca="1">IFERROR(_xlfn.IFS(U19&gt;=Refi_Origination_Date,0, Mezz_Amort = 0, -V19 * Mezz_I_Adj, 1, IPMT(Mezz_I_Adj,IF(T19 = 0, 1, T19),Mezz_Amort_Periods,Mezz_Orig_Loan_Amount)),0)</f>
        <v>0</v>
      </c>
      <c r="Z19" s="78">
        <f t="shared" si="23"/>
        <v>0</v>
      </c>
      <c r="AB19">
        <f t="shared" si="3"/>
        <v>2</v>
      </c>
      <c r="AC19">
        <f t="shared" si="14"/>
        <v>14</v>
      </c>
      <c r="AD19" s="49">
        <f t="shared" si="24"/>
        <v>398</v>
      </c>
      <c r="AE19" s="78">
        <f t="shared" si="15"/>
        <v>0</v>
      </c>
      <c r="AF19" s="78">
        <f t="shared" ca="1" si="25"/>
        <v>0</v>
      </c>
      <c r="AG19" s="78">
        <f ca="1">IFERROR(IF(AC19=0,0, PPMT(Refi_I_Adj,'Loan Amort Table'!AC19,Refi_Amort_Periods,Refi_Orig_Loan_Amount)),0)</f>
        <v>0</v>
      </c>
      <c r="AH19" s="78">
        <f t="shared" ca="1" si="4"/>
        <v>0</v>
      </c>
      <c r="AI19" s="78">
        <f t="shared" ca="1" si="26"/>
        <v>0</v>
      </c>
    </row>
    <row r="20" spans="1:35" x14ac:dyDescent="0.25">
      <c r="A20">
        <f t="shared" si="0"/>
        <v>2</v>
      </c>
      <c r="B20">
        <f t="shared" si="5"/>
        <v>15</v>
      </c>
      <c r="C20" s="49">
        <f t="shared" si="18"/>
        <v>426</v>
      </c>
      <c r="D20" s="78">
        <f>IF(C20&gt;EDATE(DATE(YEAR(SED_Origination_Date)+ SED_Amort, MONTH(SED_Origination_Date), DAY(SED_Origination_Date)),SED_Interest_Only),0,H19)</f>
        <v>0</v>
      </c>
      <c r="E20" s="78">
        <f t="shared" si="6"/>
        <v>0</v>
      </c>
      <c r="F20" s="78">
        <f>IFERROR(IF(OR(B20=0, C20&gt;=Refi_Origination_Date),0, PPMT(SED_I_Adj,'Loan Amort Table'!B20,SED_Amort_Periods,SED_Orig_Loan_Amount)),0)</f>
        <v>0</v>
      </c>
      <c r="G20" s="78" cm="1">
        <f t="array" ref="G20">IFERROR(_xlfn.IFS(C20&gt;=Refi_Origination_Date, 0, SED_Amort = 0, -D20 * SED_I_Adj, 1, IPMT(SED_I_Adj,IF(B20 = 0, 1, B20),SED_Amort_Periods,SED_Orig_Loan_Amount)),0)</f>
        <v>0</v>
      </c>
      <c r="H20" s="78">
        <f t="shared" si="27"/>
        <v>0</v>
      </c>
      <c r="J20">
        <f t="shared" si="1"/>
        <v>2</v>
      </c>
      <c r="K20">
        <f t="shared" si="7"/>
        <v>15</v>
      </c>
      <c r="L20" s="49">
        <f t="shared" si="20"/>
        <v>426</v>
      </c>
      <c r="M20" s="78">
        <f>IF(L20&gt;EDATE(DATE(YEAR(NEW_Origination_Date)+ NEW_Amort, MONTH(NEW_Origination_Date), DAY(NEW_Origination_Date)),NEW_Interest_Only),0,Q19)</f>
        <v>0</v>
      </c>
      <c r="N20" s="78">
        <f t="shared" si="8"/>
        <v>0</v>
      </c>
      <c r="O20" s="78">
        <f>IFERROR(IF(K20=0,0, PPMT(NEW_I_Adj,'Loan Amort Table'!K20,NEW_Amort_Periods,NEW_Orig_Loan_Amount)),0)</f>
        <v>0</v>
      </c>
      <c r="P20" s="78">
        <f>IFERROR(IF(NEW_Amort = 0, -M20* NEW_I_Adj,IPMT(NEW_I_Adj,IF(K20 = 0, 1, K20),NEW_Amort_Periods,NEW_Orig_Loan_Amount)),0)</f>
        <v>0</v>
      </c>
      <c r="Q20" s="78">
        <f t="shared" si="9"/>
        <v>0</v>
      </c>
      <c r="S20">
        <f t="shared" si="2"/>
        <v>2</v>
      </c>
      <c r="T20">
        <f t="shared" si="10"/>
        <v>15</v>
      </c>
      <c r="U20" s="49">
        <f t="shared" si="21"/>
        <v>426</v>
      </c>
      <c r="V20" s="78">
        <f t="shared" si="11"/>
        <v>0</v>
      </c>
      <c r="W20" s="78">
        <f t="shared" ca="1" si="22"/>
        <v>0</v>
      </c>
      <c r="X20" s="78">
        <f>IFERROR(IF(OR(T20=0, U20&gt;=Refi_Origination_Date),0, PPMT(Mezz_I_Adj,'Loan Amort Table'!T20,Mezz_Amort_Periods,Mezz_Orig_Loan_Amount)),0)</f>
        <v>0</v>
      </c>
      <c r="Y20" s="78" cm="1">
        <f t="array" aca="1" ref="Y20" ca="1">IFERROR(_xlfn.IFS(U20&gt;=Refi_Origination_Date,0, Mezz_Amort = 0, -V20 * Mezz_I_Adj, 1, IPMT(Mezz_I_Adj,IF(T20 = 0, 1, T20),Mezz_Amort_Periods,Mezz_Orig_Loan_Amount)),0)</f>
        <v>0</v>
      </c>
      <c r="Z20" s="78">
        <f t="shared" si="23"/>
        <v>0</v>
      </c>
      <c r="AB20">
        <f t="shared" si="3"/>
        <v>2</v>
      </c>
      <c r="AC20">
        <f t="shared" si="14"/>
        <v>15</v>
      </c>
      <c r="AD20" s="49">
        <f t="shared" si="24"/>
        <v>426</v>
      </c>
      <c r="AE20" s="78">
        <f t="shared" si="15"/>
        <v>0</v>
      </c>
      <c r="AF20" s="78">
        <f t="shared" ca="1" si="25"/>
        <v>0</v>
      </c>
      <c r="AG20" s="78">
        <f ca="1">IFERROR(IF(AC20=0,0, PPMT(Refi_I_Adj,'Loan Amort Table'!AC20,Refi_Amort_Periods,Refi_Orig_Loan_Amount)),0)</f>
        <v>0</v>
      </c>
      <c r="AH20" s="78">
        <f t="shared" ca="1" si="4"/>
        <v>0</v>
      </c>
      <c r="AI20" s="78">
        <f t="shared" ca="1" si="26"/>
        <v>0</v>
      </c>
    </row>
    <row r="21" spans="1:35" x14ac:dyDescent="0.25">
      <c r="A21">
        <f t="shared" si="0"/>
        <v>2</v>
      </c>
      <c r="B21">
        <f t="shared" si="5"/>
        <v>16</v>
      </c>
      <c r="C21" s="49">
        <f t="shared" si="18"/>
        <v>457</v>
      </c>
      <c r="D21" s="78">
        <f>IF(C21&gt;EDATE(DATE(YEAR(SED_Origination_Date)+ SED_Amort, MONTH(SED_Origination_Date), DAY(SED_Origination_Date)),SED_Interest_Only),0,H20)</f>
        <v>0</v>
      </c>
      <c r="E21" s="78">
        <f t="shared" si="6"/>
        <v>0</v>
      </c>
      <c r="F21" s="78">
        <f>IFERROR(IF(OR(B21=0, C21&gt;=Refi_Origination_Date),0, PPMT(SED_I_Adj,'Loan Amort Table'!B21,SED_Amort_Periods,SED_Orig_Loan_Amount)),0)</f>
        <v>0</v>
      </c>
      <c r="G21" s="78" cm="1">
        <f t="array" ref="G21">IFERROR(_xlfn.IFS(C21&gt;=Refi_Origination_Date, 0, SED_Amort = 0, -D21 * SED_I_Adj, 1, IPMT(SED_I_Adj,IF(B21 = 0, 1, B21),SED_Amort_Periods,SED_Orig_Loan_Amount)),0)</f>
        <v>0</v>
      </c>
      <c r="H21" s="78">
        <f t="shared" si="27"/>
        <v>0</v>
      </c>
      <c r="J21">
        <f t="shared" si="1"/>
        <v>2</v>
      </c>
      <c r="K21">
        <f t="shared" si="7"/>
        <v>16</v>
      </c>
      <c r="L21" s="49">
        <f t="shared" si="20"/>
        <v>457</v>
      </c>
      <c r="M21" s="78">
        <f>IF(L21&gt;EDATE(DATE(YEAR(NEW_Origination_Date)+ NEW_Amort, MONTH(NEW_Origination_Date), DAY(NEW_Origination_Date)),NEW_Interest_Only),0,Q20)</f>
        <v>0</v>
      </c>
      <c r="N21" s="78">
        <f t="shared" si="8"/>
        <v>0</v>
      </c>
      <c r="O21" s="78">
        <f>IFERROR(IF(K21=0,0, PPMT(NEW_I_Adj,'Loan Amort Table'!K21,NEW_Amort_Periods,NEW_Orig_Loan_Amount)),0)</f>
        <v>0</v>
      </c>
      <c r="P21" s="78">
        <f>IFERROR(IF(NEW_Amort = 0, -M21* NEW_I_Adj,IPMT(NEW_I_Adj,IF(K21 = 0, 1, K21),NEW_Amort_Periods,NEW_Orig_Loan_Amount)),0)</f>
        <v>0</v>
      </c>
      <c r="Q21" s="78">
        <f t="shared" si="9"/>
        <v>0</v>
      </c>
      <c r="S21">
        <f t="shared" si="2"/>
        <v>2</v>
      </c>
      <c r="T21">
        <f t="shared" si="10"/>
        <v>16</v>
      </c>
      <c r="U21" s="49">
        <f t="shared" si="21"/>
        <v>457</v>
      </c>
      <c r="V21" s="78">
        <f t="shared" si="11"/>
        <v>0</v>
      </c>
      <c r="W21" s="78">
        <f t="shared" ca="1" si="22"/>
        <v>0</v>
      </c>
      <c r="X21" s="78">
        <f>IFERROR(IF(OR(T21=0, U21&gt;=Refi_Origination_Date),0, PPMT(Mezz_I_Adj,'Loan Amort Table'!T21,Mezz_Amort_Periods,Mezz_Orig_Loan_Amount)),0)</f>
        <v>0</v>
      </c>
      <c r="Y21" s="78" cm="1">
        <f t="array" aca="1" ref="Y21" ca="1">IFERROR(_xlfn.IFS(U21&gt;=Refi_Origination_Date,0, Mezz_Amort = 0, -V21 * Mezz_I_Adj, 1, IPMT(Mezz_I_Adj,IF(T21 = 0, 1, T21),Mezz_Amort_Periods,Mezz_Orig_Loan_Amount)),0)</f>
        <v>0</v>
      </c>
      <c r="Z21" s="78">
        <f t="shared" si="23"/>
        <v>0</v>
      </c>
      <c r="AB21">
        <f t="shared" si="3"/>
        <v>2</v>
      </c>
      <c r="AC21">
        <f t="shared" si="14"/>
        <v>16</v>
      </c>
      <c r="AD21" s="49">
        <f t="shared" si="24"/>
        <v>457</v>
      </c>
      <c r="AE21" s="78">
        <f t="shared" si="15"/>
        <v>0</v>
      </c>
      <c r="AF21" s="78">
        <f t="shared" ca="1" si="25"/>
        <v>0</v>
      </c>
      <c r="AG21" s="78">
        <f ca="1">IFERROR(IF(AC21=0,0, PPMT(Refi_I_Adj,'Loan Amort Table'!AC21,Refi_Amort_Periods,Refi_Orig_Loan_Amount)),0)</f>
        <v>0</v>
      </c>
      <c r="AH21" s="78">
        <f t="shared" ca="1" si="4"/>
        <v>0</v>
      </c>
      <c r="AI21" s="78">
        <f t="shared" ca="1" si="26"/>
        <v>0</v>
      </c>
    </row>
    <row r="22" spans="1:35" x14ac:dyDescent="0.25">
      <c r="A22">
        <f t="shared" si="0"/>
        <v>2</v>
      </c>
      <c r="B22">
        <f t="shared" si="5"/>
        <v>17</v>
      </c>
      <c r="C22" s="49">
        <f t="shared" si="18"/>
        <v>487</v>
      </c>
      <c r="D22" s="78">
        <f>IF(C22&gt;EDATE(DATE(YEAR(SED_Origination_Date)+ SED_Amort, MONTH(SED_Origination_Date), DAY(SED_Origination_Date)),SED_Interest_Only),0,H21)</f>
        <v>0</v>
      </c>
      <c r="E22" s="78">
        <f t="shared" si="6"/>
        <v>0</v>
      </c>
      <c r="F22" s="78">
        <f>IFERROR(IF(OR(B22=0, C22&gt;=Refi_Origination_Date),0, PPMT(SED_I_Adj,'Loan Amort Table'!B22,SED_Amort_Periods,SED_Orig_Loan_Amount)),0)</f>
        <v>0</v>
      </c>
      <c r="G22" s="78" cm="1">
        <f t="array" ref="G22">IFERROR(_xlfn.IFS(C22&gt;=Refi_Origination_Date, 0, SED_Amort = 0, -D22 * SED_I_Adj, 1, IPMT(SED_I_Adj,IF(B22 = 0, 1, B22),SED_Amort_Periods,SED_Orig_Loan_Amount)),0)</f>
        <v>0</v>
      </c>
      <c r="H22" s="78">
        <f t="shared" si="27"/>
        <v>0</v>
      </c>
      <c r="J22">
        <f t="shared" si="1"/>
        <v>2</v>
      </c>
      <c r="K22">
        <f t="shared" si="7"/>
        <v>17</v>
      </c>
      <c r="L22" s="49">
        <f t="shared" si="20"/>
        <v>487</v>
      </c>
      <c r="M22" s="78">
        <f>IF(L22&gt;EDATE(DATE(YEAR(NEW_Origination_Date)+ NEW_Amort, MONTH(NEW_Origination_Date), DAY(NEW_Origination_Date)),NEW_Interest_Only),0,Q21)</f>
        <v>0</v>
      </c>
      <c r="N22" s="78">
        <f t="shared" si="8"/>
        <v>0</v>
      </c>
      <c r="O22" s="78">
        <f>IFERROR(IF(K22=0,0, PPMT(NEW_I_Adj,'Loan Amort Table'!K22,NEW_Amort_Periods,NEW_Orig_Loan_Amount)),0)</f>
        <v>0</v>
      </c>
      <c r="P22" s="78">
        <f>IFERROR(IF(NEW_Amort = 0, -M22* NEW_I_Adj,IPMT(NEW_I_Adj,IF(K22 = 0, 1, K22),NEW_Amort_Periods,NEW_Orig_Loan_Amount)),0)</f>
        <v>0</v>
      </c>
      <c r="Q22" s="78">
        <f t="shared" si="9"/>
        <v>0</v>
      </c>
      <c r="S22">
        <f t="shared" si="2"/>
        <v>2</v>
      </c>
      <c r="T22">
        <f t="shared" si="10"/>
        <v>17</v>
      </c>
      <c r="U22" s="49">
        <f t="shared" si="21"/>
        <v>487</v>
      </c>
      <c r="V22" s="78">
        <f t="shared" si="11"/>
        <v>0</v>
      </c>
      <c r="W22" s="78">
        <f t="shared" ca="1" si="22"/>
        <v>0</v>
      </c>
      <c r="X22" s="78">
        <f>IFERROR(IF(OR(T22=0, U22&gt;=Refi_Origination_Date),0, PPMT(Mezz_I_Adj,'Loan Amort Table'!T22,Mezz_Amort_Periods,Mezz_Orig_Loan_Amount)),0)</f>
        <v>0</v>
      </c>
      <c r="Y22" s="78" cm="1">
        <f t="array" aca="1" ref="Y22" ca="1">IFERROR(_xlfn.IFS(U22&gt;=Refi_Origination_Date,0, Mezz_Amort = 0, -V22 * Mezz_I_Adj, 1, IPMT(Mezz_I_Adj,IF(T22 = 0, 1, T22),Mezz_Amort_Periods,Mezz_Orig_Loan_Amount)),0)</f>
        <v>0</v>
      </c>
      <c r="Z22" s="78">
        <f t="shared" si="23"/>
        <v>0</v>
      </c>
      <c r="AB22">
        <f t="shared" si="3"/>
        <v>2</v>
      </c>
      <c r="AC22">
        <f t="shared" si="14"/>
        <v>17</v>
      </c>
      <c r="AD22" s="49">
        <f t="shared" si="24"/>
        <v>487</v>
      </c>
      <c r="AE22" s="78">
        <f t="shared" si="15"/>
        <v>0</v>
      </c>
      <c r="AF22" s="78">
        <f t="shared" ca="1" si="25"/>
        <v>0</v>
      </c>
      <c r="AG22" s="78">
        <f ca="1">IFERROR(IF(AC22=0,0, PPMT(Refi_I_Adj,'Loan Amort Table'!AC22,Refi_Amort_Periods,Refi_Orig_Loan_Amount)),0)</f>
        <v>0</v>
      </c>
      <c r="AH22" s="78">
        <f t="shared" ca="1" si="4"/>
        <v>0</v>
      </c>
      <c r="AI22" s="78">
        <f t="shared" ca="1" si="26"/>
        <v>0</v>
      </c>
    </row>
    <row r="23" spans="1:35" x14ac:dyDescent="0.25">
      <c r="A23">
        <f t="shared" si="0"/>
        <v>2</v>
      </c>
      <c r="B23">
        <f t="shared" si="5"/>
        <v>18</v>
      </c>
      <c r="C23" s="49">
        <f t="shared" si="18"/>
        <v>518</v>
      </c>
      <c r="D23" s="78">
        <f>IF(C23&gt;EDATE(DATE(YEAR(SED_Origination_Date)+ SED_Amort, MONTH(SED_Origination_Date), DAY(SED_Origination_Date)),SED_Interest_Only),0,H22)</f>
        <v>0</v>
      </c>
      <c r="E23" s="78">
        <f t="shared" si="6"/>
        <v>0</v>
      </c>
      <c r="F23" s="78">
        <f>IFERROR(IF(OR(B23=0, C23&gt;=Refi_Origination_Date),0, PPMT(SED_I_Adj,'Loan Amort Table'!B23,SED_Amort_Periods,SED_Orig_Loan_Amount)),0)</f>
        <v>0</v>
      </c>
      <c r="G23" s="78" cm="1">
        <f t="array" ref="G23">IFERROR(_xlfn.IFS(C23&gt;=Refi_Origination_Date, 0, SED_Amort = 0, -D23 * SED_I_Adj, 1, IPMT(SED_I_Adj,IF(B23 = 0, 1, B23),SED_Amort_Periods,SED_Orig_Loan_Amount)),0)</f>
        <v>0</v>
      </c>
      <c r="H23" s="78">
        <f t="shared" si="27"/>
        <v>0</v>
      </c>
      <c r="J23">
        <f t="shared" si="1"/>
        <v>2</v>
      </c>
      <c r="K23">
        <f t="shared" si="7"/>
        <v>18</v>
      </c>
      <c r="L23" s="49">
        <f t="shared" si="20"/>
        <v>518</v>
      </c>
      <c r="M23" s="78">
        <f>IF(L23&gt;EDATE(DATE(YEAR(NEW_Origination_Date)+ NEW_Amort, MONTH(NEW_Origination_Date), DAY(NEW_Origination_Date)),NEW_Interest_Only),0,Q22)</f>
        <v>0</v>
      </c>
      <c r="N23" s="78">
        <f t="shared" si="8"/>
        <v>0</v>
      </c>
      <c r="O23" s="78">
        <f>IFERROR(IF(K23=0,0, PPMT(NEW_I_Adj,'Loan Amort Table'!K23,NEW_Amort_Periods,NEW_Orig_Loan_Amount)),0)</f>
        <v>0</v>
      </c>
      <c r="P23" s="78">
        <f>IFERROR(IF(NEW_Amort = 0, -M23* NEW_I_Adj,IPMT(NEW_I_Adj,IF(K23 = 0, 1, K23),NEW_Amort_Periods,NEW_Orig_Loan_Amount)),0)</f>
        <v>0</v>
      </c>
      <c r="Q23" s="78">
        <f t="shared" si="9"/>
        <v>0</v>
      </c>
      <c r="S23">
        <f t="shared" si="2"/>
        <v>2</v>
      </c>
      <c r="T23">
        <f t="shared" si="10"/>
        <v>18</v>
      </c>
      <c r="U23" s="49">
        <f t="shared" si="21"/>
        <v>518</v>
      </c>
      <c r="V23" s="78">
        <f t="shared" si="11"/>
        <v>0</v>
      </c>
      <c r="W23" s="78">
        <f t="shared" ca="1" si="22"/>
        <v>0</v>
      </c>
      <c r="X23" s="78">
        <f>IFERROR(IF(OR(T23=0, U23&gt;=Refi_Origination_Date),0, PPMT(Mezz_I_Adj,'Loan Amort Table'!T23,Mezz_Amort_Periods,Mezz_Orig_Loan_Amount)),0)</f>
        <v>0</v>
      </c>
      <c r="Y23" s="78" cm="1">
        <f t="array" aca="1" ref="Y23" ca="1">IFERROR(_xlfn.IFS(U23&gt;=Refi_Origination_Date,0, Mezz_Amort = 0, -V23 * Mezz_I_Adj, 1, IPMT(Mezz_I_Adj,IF(T23 = 0, 1, T23),Mezz_Amort_Periods,Mezz_Orig_Loan_Amount)),0)</f>
        <v>0</v>
      </c>
      <c r="Z23" s="78">
        <f t="shared" si="23"/>
        <v>0</v>
      </c>
      <c r="AB23">
        <f t="shared" si="3"/>
        <v>2</v>
      </c>
      <c r="AC23">
        <f t="shared" si="14"/>
        <v>18</v>
      </c>
      <c r="AD23" s="49">
        <f t="shared" si="24"/>
        <v>518</v>
      </c>
      <c r="AE23" s="78">
        <f t="shared" si="15"/>
        <v>0</v>
      </c>
      <c r="AF23" s="78">
        <f t="shared" ca="1" si="25"/>
        <v>0</v>
      </c>
      <c r="AG23" s="78">
        <f ca="1">IFERROR(IF(AC23=0,0, PPMT(Refi_I_Adj,'Loan Amort Table'!AC23,Refi_Amort_Periods,Refi_Orig_Loan_Amount)),0)</f>
        <v>0</v>
      </c>
      <c r="AH23" s="78">
        <f t="shared" ca="1" si="4"/>
        <v>0</v>
      </c>
      <c r="AI23" s="78">
        <f t="shared" ca="1" si="26"/>
        <v>0</v>
      </c>
    </row>
    <row r="24" spans="1:35" x14ac:dyDescent="0.25">
      <c r="A24">
        <f t="shared" si="0"/>
        <v>2</v>
      </c>
      <c r="B24">
        <f t="shared" si="5"/>
        <v>19</v>
      </c>
      <c r="C24" s="49">
        <f t="shared" si="18"/>
        <v>548</v>
      </c>
      <c r="D24" s="78">
        <f>IF(C24&gt;EDATE(DATE(YEAR(SED_Origination_Date)+ SED_Amort, MONTH(SED_Origination_Date), DAY(SED_Origination_Date)),SED_Interest_Only),0,H23)</f>
        <v>0</v>
      </c>
      <c r="E24" s="78">
        <f t="shared" si="6"/>
        <v>0</v>
      </c>
      <c r="F24" s="78">
        <f>IFERROR(IF(OR(B24=0, C24&gt;=Refi_Origination_Date),0, PPMT(SED_I_Adj,'Loan Amort Table'!B24,SED_Amort_Periods,SED_Orig_Loan_Amount)),0)</f>
        <v>0</v>
      </c>
      <c r="G24" s="78" cm="1">
        <f t="array" ref="G24">IFERROR(_xlfn.IFS(C24&gt;=Refi_Origination_Date, 0, SED_Amort = 0, -D24 * SED_I_Adj, 1, IPMT(SED_I_Adj,IF(B24 = 0, 1, B24),SED_Amort_Periods,SED_Orig_Loan_Amount)),0)</f>
        <v>0</v>
      </c>
      <c r="H24" s="78">
        <f t="shared" si="27"/>
        <v>0</v>
      </c>
      <c r="J24">
        <f t="shared" si="1"/>
        <v>2</v>
      </c>
      <c r="K24">
        <f t="shared" si="7"/>
        <v>19</v>
      </c>
      <c r="L24" s="49">
        <f t="shared" si="20"/>
        <v>548</v>
      </c>
      <c r="M24" s="78">
        <f>IF(L24&gt;EDATE(DATE(YEAR(NEW_Origination_Date)+ NEW_Amort, MONTH(NEW_Origination_Date), DAY(NEW_Origination_Date)),NEW_Interest_Only),0,Q23)</f>
        <v>0</v>
      </c>
      <c r="N24" s="78">
        <f t="shared" si="8"/>
        <v>0</v>
      </c>
      <c r="O24" s="78">
        <f>IFERROR(IF(K24=0,0, PPMT(NEW_I_Adj,'Loan Amort Table'!K24,NEW_Amort_Periods,NEW_Orig_Loan_Amount)),0)</f>
        <v>0</v>
      </c>
      <c r="P24" s="78">
        <f>IFERROR(IF(NEW_Amort = 0, -M24* NEW_I_Adj,IPMT(NEW_I_Adj,IF(K24 = 0, 1, K24),NEW_Amort_Periods,NEW_Orig_Loan_Amount)),0)</f>
        <v>0</v>
      </c>
      <c r="Q24" s="78">
        <f t="shared" si="9"/>
        <v>0</v>
      </c>
      <c r="S24">
        <f t="shared" si="2"/>
        <v>2</v>
      </c>
      <c r="T24">
        <f t="shared" si="10"/>
        <v>19</v>
      </c>
      <c r="U24" s="49">
        <f t="shared" si="21"/>
        <v>548</v>
      </c>
      <c r="V24" s="78">
        <f t="shared" si="11"/>
        <v>0</v>
      </c>
      <c r="W24" s="78">
        <f t="shared" ca="1" si="22"/>
        <v>0</v>
      </c>
      <c r="X24" s="78">
        <f>IFERROR(IF(OR(T24=0, U24&gt;=Refi_Origination_Date),0, PPMT(Mezz_I_Adj,'Loan Amort Table'!T24,Mezz_Amort_Periods,Mezz_Orig_Loan_Amount)),0)</f>
        <v>0</v>
      </c>
      <c r="Y24" s="78" cm="1">
        <f t="array" aca="1" ref="Y24" ca="1">IFERROR(_xlfn.IFS(U24&gt;=Refi_Origination_Date,0, Mezz_Amort = 0, -V24 * Mezz_I_Adj, 1, IPMT(Mezz_I_Adj,IF(T24 = 0, 1, T24),Mezz_Amort_Periods,Mezz_Orig_Loan_Amount)),0)</f>
        <v>0</v>
      </c>
      <c r="Z24" s="78">
        <f t="shared" si="23"/>
        <v>0</v>
      </c>
      <c r="AB24">
        <f t="shared" si="3"/>
        <v>2</v>
      </c>
      <c r="AC24">
        <f t="shared" si="14"/>
        <v>19</v>
      </c>
      <c r="AD24" s="49">
        <f t="shared" si="24"/>
        <v>548</v>
      </c>
      <c r="AE24" s="78">
        <f t="shared" si="15"/>
        <v>0</v>
      </c>
      <c r="AF24" s="78">
        <f t="shared" ca="1" si="25"/>
        <v>0</v>
      </c>
      <c r="AG24" s="78">
        <f ca="1">IFERROR(IF(AC24=0,0, PPMT(Refi_I_Adj,'Loan Amort Table'!AC24,Refi_Amort_Periods,Refi_Orig_Loan_Amount)),0)</f>
        <v>0</v>
      </c>
      <c r="AH24" s="78">
        <f t="shared" ca="1" si="4"/>
        <v>0</v>
      </c>
      <c r="AI24" s="78">
        <f t="shared" ca="1" si="26"/>
        <v>0</v>
      </c>
    </row>
    <row r="25" spans="1:35" x14ac:dyDescent="0.25">
      <c r="A25">
        <f t="shared" si="0"/>
        <v>2</v>
      </c>
      <c r="B25">
        <f t="shared" si="5"/>
        <v>20</v>
      </c>
      <c r="C25" s="49">
        <f t="shared" si="18"/>
        <v>579</v>
      </c>
      <c r="D25" s="78">
        <f>IF(C25&gt;EDATE(DATE(YEAR(SED_Origination_Date)+ SED_Amort, MONTH(SED_Origination_Date), DAY(SED_Origination_Date)),SED_Interest_Only),0,H24)</f>
        <v>0</v>
      </c>
      <c r="E25" s="78">
        <f t="shared" si="6"/>
        <v>0</v>
      </c>
      <c r="F25" s="78">
        <f>IFERROR(IF(OR(B25=0, C25&gt;=Refi_Origination_Date),0, PPMT(SED_I_Adj,'Loan Amort Table'!B25,SED_Amort_Periods,SED_Orig_Loan_Amount)),0)</f>
        <v>0</v>
      </c>
      <c r="G25" s="78" cm="1">
        <f t="array" ref="G25">IFERROR(_xlfn.IFS(C25&gt;=Refi_Origination_Date, 0, SED_Amort = 0, -D25 * SED_I_Adj, 1, IPMT(SED_I_Adj,IF(B25 = 0, 1, B25),SED_Amort_Periods,SED_Orig_Loan_Amount)),0)</f>
        <v>0</v>
      </c>
      <c r="H25" s="78">
        <f t="shared" si="27"/>
        <v>0</v>
      </c>
      <c r="J25">
        <f t="shared" si="1"/>
        <v>2</v>
      </c>
      <c r="K25">
        <f t="shared" si="7"/>
        <v>20</v>
      </c>
      <c r="L25" s="49">
        <f t="shared" si="20"/>
        <v>579</v>
      </c>
      <c r="M25" s="78">
        <f>IF(L25&gt;EDATE(DATE(YEAR(NEW_Origination_Date)+ NEW_Amort, MONTH(NEW_Origination_Date), DAY(NEW_Origination_Date)),NEW_Interest_Only),0,Q24)</f>
        <v>0</v>
      </c>
      <c r="N25" s="78">
        <f t="shared" si="8"/>
        <v>0</v>
      </c>
      <c r="O25" s="78">
        <f>IFERROR(IF(K25=0,0, PPMT(NEW_I_Adj,'Loan Amort Table'!K25,NEW_Amort_Periods,NEW_Orig_Loan_Amount)),0)</f>
        <v>0</v>
      </c>
      <c r="P25" s="78">
        <f>IFERROR(IF(NEW_Amort = 0, -M25* NEW_I_Adj,IPMT(NEW_I_Adj,IF(K25 = 0, 1, K25),NEW_Amort_Periods,NEW_Orig_Loan_Amount)),0)</f>
        <v>0</v>
      </c>
      <c r="Q25" s="78">
        <f t="shared" si="9"/>
        <v>0</v>
      </c>
      <c r="S25">
        <f t="shared" si="2"/>
        <v>2</v>
      </c>
      <c r="T25">
        <f t="shared" si="10"/>
        <v>20</v>
      </c>
      <c r="U25" s="49">
        <f t="shared" si="21"/>
        <v>579</v>
      </c>
      <c r="V25" s="78">
        <f t="shared" si="11"/>
        <v>0</v>
      </c>
      <c r="W25" s="78">
        <f t="shared" ca="1" si="22"/>
        <v>0</v>
      </c>
      <c r="X25" s="78">
        <f>IFERROR(IF(OR(T25=0, U25&gt;=Refi_Origination_Date),0, PPMT(Mezz_I_Adj,'Loan Amort Table'!T25,Mezz_Amort_Periods,Mezz_Orig_Loan_Amount)),0)</f>
        <v>0</v>
      </c>
      <c r="Y25" s="78" cm="1">
        <f t="array" aca="1" ref="Y25" ca="1">IFERROR(_xlfn.IFS(U25&gt;=Refi_Origination_Date,0, Mezz_Amort = 0, -V25 * Mezz_I_Adj, 1, IPMT(Mezz_I_Adj,IF(T25 = 0, 1, T25),Mezz_Amort_Periods,Mezz_Orig_Loan_Amount)),0)</f>
        <v>0</v>
      </c>
      <c r="Z25" s="78">
        <f t="shared" si="23"/>
        <v>0</v>
      </c>
      <c r="AB25">
        <f t="shared" si="3"/>
        <v>2</v>
      </c>
      <c r="AC25">
        <f t="shared" si="14"/>
        <v>20</v>
      </c>
      <c r="AD25" s="49">
        <f t="shared" si="24"/>
        <v>579</v>
      </c>
      <c r="AE25" s="78">
        <f t="shared" si="15"/>
        <v>0</v>
      </c>
      <c r="AF25" s="78">
        <f t="shared" ca="1" si="25"/>
        <v>0</v>
      </c>
      <c r="AG25" s="78">
        <f ca="1">IFERROR(IF(AC25=0,0, PPMT(Refi_I_Adj,'Loan Amort Table'!AC25,Refi_Amort_Periods,Refi_Orig_Loan_Amount)),0)</f>
        <v>0</v>
      </c>
      <c r="AH25" s="78">
        <f t="shared" ca="1" si="4"/>
        <v>0</v>
      </c>
      <c r="AI25" s="78">
        <f t="shared" ca="1" si="26"/>
        <v>0</v>
      </c>
    </row>
    <row r="26" spans="1:35" x14ac:dyDescent="0.25">
      <c r="A26">
        <f t="shared" si="0"/>
        <v>2</v>
      </c>
      <c r="B26">
        <f t="shared" si="5"/>
        <v>21</v>
      </c>
      <c r="C26" s="49">
        <f t="shared" si="18"/>
        <v>610</v>
      </c>
      <c r="D26" s="78">
        <f>IF(C26&gt;EDATE(DATE(YEAR(SED_Origination_Date)+ SED_Amort, MONTH(SED_Origination_Date), DAY(SED_Origination_Date)),SED_Interest_Only),0,H25)</f>
        <v>0</v>
      </c>
      <c r="E26" s="78">
        <f t="shared" si="6"/>
        <v>0</v>
      </c>
      <c r="F26" s="78">
        <f>IFERROR(IF(OR(B26=0, C26&gt;=Refi_Origination_Date),0, PPMT(SED_I_Adj,'Loan Amort Table'!B26,SED_Amort_Periods,SED_Orig_Loan_Amount)),0)</f>
        <v>0</v>
      </c>
      <c r="G26" s="78" cm="1">
        <f t="array" ref="G26">IFERROR(_xlfn.IFS(C26&gt;=Refi_Origination_Date, 0, SED_Amort = 0, -D26 * SED_I_Adj, 1, IPMT(SED_I_Adj,IF(B26 = 0, 1, B26),SED_Amort_Periods,SED_Orig_Loan_Amount)),0)</f>
        <v>0</v>
      </c>
      <c r="H26" s="78">
        <f t="shared" si="27"/>
        <v>0</v>
      </c>
      <c r="J26">
        <f t="shared" si="1"/>
        <v>2</v>
      </c>
      <c r="K26">
        <f t="shared" si="7"/>
        <v>21</v>
      </c>
      <c r="L26" s="49">
        <f t="shared" si="20"/>
        <v>610</v>
      </c>
      <c r="M26" s="78">
        <f>IF(L26&gt;EDATE(DATE(YEAR(NEW_Origination_Date)+ NEW_Amort, MONTH(NEW_Origination_Date), DAY(NEW_Origination_Date)),NEW_Interest_Only),0,Q25)</f>
        <v>0</v>
      </c>
      <c r="N26" s="78">
        <f t="shared" si="8"/>
        <v>0</v>
      </c>
      <c r="O26" s="78">
        <f>IFERROR(IF(K26=0,0, PPMT(NEW_I_Adj,'Loan Amort Table'!K26,NEW_Amort_Periods,NEW_Orig_Loan_Amount)),0)</f>
        <v>0</v>
      </c>
      <c r="P26" s="78">
        <f>IFERROR(IF(NEW_Amort = 0, -M26* NEW_I_Adj,IPMT(NEW_I_Adj,IF(K26 = 0, 1, K26),NEW_Amort_Periods,NEW_Orig_Loan_Amount)),0)</f>
        <v>0</v>
      </c>
      <c r="Q26" s="78">
        <f t="shared" si="9"/>
        <v>0</v>
      </c>
      <c r="S26">
        <f t="shared" si="2"/>
        <v>2</v>
      </c>
      <c r="T26">
        <f t="shared" si="10"/>
        <v>21</v>
      </c>
      <c r="U26" s="49">
        <f t="shared" si="21"/>
        <v>610</v>
      </c>
      <c r="V26" s="78">
        <f t="shared" si="11"/>
        <v>0</v>
      </c>
      <c r="W26" s="78">
        <f t="shared" ca="1" si="22"/>
        <v>0</v>
      </c>
      <c r="X26" s="78">
        <f>IFERROR(IF(OR(T26=0, U26&gt;=Refi_Origination_Date),0, PPMT(Mezz_I_Adj,'Loan Amort Table'!T26,Mezz_Amort_Periods,Mezz_Orig_Loan_Amount)),0)</f>
        <v>0</v>
      </c>
      <c r="Y26" s="78" cm="1">
        <f t="array" aca="1" ref="Y26" ca="1">IFERROR(_xlfn.IFS(U26&gt;=Refi_Origination_Date,0, Mezz_Amort = 0, -V26 * Mezz_I_Adj, 1, IPMT(Mezz_I_Adj,IF(T26 = 0, 1, T26),Mezz_Amort_Periods,Mezz_Orig_Loan_Amount)),0)</f>
        <v>0</v>
      </c>
      <c r="Z26" s="78">
        <f t="shared" si="23"/>
        <v>0</v>
      </c>
      <c r="AB26">
        <f t="shared" si="3"/>
        <v>2</v>
      </c>
      <c r="AC26">
        <f t="shared" si="14"/>
        <v>21</v>
      </c>
      <c r="AD26" s="49">
        <f t="shared" si="24"/>
        <v>610</v>
      </c>
      <c r="AE26" s="78">
        <f t="shared" si="15"/>
        <v>0</v>
      </c>
      <c r="AF26" s="78">
        <f t="shared" ca="1" si="25"/>
        <v>0</v>
      </c>
      <c r="AG26" s="78">
        <f ca="1">IFERROR(IF(AC26=0,0, PPMT(Refi_I_Adj,'Loan Amort Table'!AC26,Refi_Amort_Periods,Refi_Orig_Loan_Amount)),0)</f>
        <v>0</v>
      </c>
      <c r="AH26" s="78">
        <f t="shared" ca="1" si="4"/>
        <v>0</v>
      </c>
      <c r="AI26" s="78">
        <f t="shared" ca="1" si="26"/>
        <v>0</v>
      </c>
    </row>
    <row r="27" spans="1:35" x14ac:dyDescent="0.25">
      <c r="A27">
        <f t="shared" si="0"/>
        <v>2</v>
      </c>
      <c r="B27">
        <f t="shared" si="5"/>
        <v>22</v>
      </c>
      <c r="C27" s="49">
        <f t="shared" si="18"/>
        <v>640</v>
      </c>
      <c r="D27" s="78">
        <f>IF(C27&gt;EDATE(DATE(YEAR(SED_Origination_Date)+ SED_Amort, MONTH(SED_Origination_Date), DAY(SED_Origination_Date)),SED_Interest_Only),0,H26)</f>
        <v>0</v>
      </c>
      <c r="E27" s="78">
        <f t="shared" si="6"/>
        <v>0</v>
      </c>
      <c r="F27" s="78">
        <f>IFERROR(IF(OR(B27=0, C27&gt;=Refi_Origination_Date),0, PPMT(SED_I_Adj,'Loan Amort Table'!B27,SED_Amort_Periods,SED_Orig_Loan_Amount)),0)</f>
        <v>0</v>
      </c>
      <c r="G27" s="78" cm="1">
        <f t="array" ref="G27">IFERROR(_xlfn.IFS(C27&gt;=Refi_Origination_Date, 0, SED_Amort = 0, -D27 * SED_I_Adj, 1, IPMT(SED_I_Adj,IF(B27 = 0, 1, B27),SED_Amort_Periods,SED_Orig_Loan_Amount)),0)</f>
        <v>0</v>
      </c>
      <c r="H27" s="78">
        <f t="shared" si="27"/>
        <v>0</v>
      </c>
      <c r="J27">
        <f t="shared" si="1"/>
        <v>2</v>
      </c>
      <c r="K27">
        <f t="shared" si="7"/>
        <v>22</v>
      </c>
      <c r="L27" s="49">
        <f t="shared" si="20"/>
        <v>640</v>
      </c>
      <c r="M27" s="78">
        <f>IF(L27&gt;EDATE(DATE(YEAR(NEW_Origination_Date)+ NEW_Amort, MONTH(NEW_Origination_Date), DAY(NEW_Origination_Date)),NEW_Interest_Only),0,Q26)</f>
        <v>0</v>
      </c>
      <c r="N27" s="78">
        <f t="shared" si="8"/>
        <v>0</v>
      </c>
      <c r="O27" s="78">
        <f>IFERROR(IF(K27=0,0, PPMT(NEW_I_Adj,'Loan Amort Table'!K27,NEW_Amort_Periods,NEW_Orig_Loan_Amount)),0)</f>
        <v>0</v>
      </c>
      <c r="P27" s="78">
        <f>IFERROR(IF(NEW_Amort = 0, -M27* NEW_I_Adj,IPMT(NEW_I_Adj,IF(K27 = 0, 1, K27),NEW_Amort_Periods,NEW_Orig_Loan_Amount)),0)</f>
        <v>0</v>
      </c>
      <c r="Q27" s="78">
        <f t="shared" si="9"/>
        <v>0</v>
      </c>
      <c r="S27">
        <f t="shared" si="2"/>
        <v>2</v>
      </c>
      <c r="T27">
        <f t="shared" si="10"/>
        <v>22</v>
      </c>
      <c r="U27" s="49">
        <f t="shared" si="21"/>
        <v>640</v>
      </c>
      <c r="V27" s="78">
        <f t="shared" si="11"/>
        <v>0</v>
      </c>
      <c r="W27" s="78">
        <f t="shared" ca="1" si="22"/>
        <v>0</v>
      </c>
      <c r="X27" s="78">
        <f>IFERROR(IF(OR(T27=0, U27&gt;=Refi_Origination_Date),0, PPMT(Mezz_I_Adj,'Loan Amort Table'!T27,Mezz_Amort_Periods,Mezz_Orig_Loan_Amount)),0)</f>
        <v>0</v>
      </c>
      <c r="Y27" s="78" cm="1">
        <f t="array" aca="1" ref="Y27" ca="1">IFERROR(_xlfn.IFS(U27&gt;=Refi_Origination_Date,0, Mezz_Amort = 0, -V27 * Mezz_I_Adj, 1, IPMT(Mezz_I_Adj,IF(T27 = 0, 1, T27),Mezz_Amort_Periods,Mezz_Orig_Loan_Amount)),0)</f>
        <v>0</v>
      </c>
      <c r="Z27" s="78">
        <f t="shared" si="23"/>
        <v>0</v>
      </c>
      <c r="AB27">
        <f t="shared" si="3"/>
        <v>2</v>
      </c>
      <c r="AC27">
        <f t="shared" si="14"/>
        <v>22</v>
      </c>
      <c r="AD27" s="49">
        <f t="shared" si="24"/>
        <v>640</v>
      </c>
      <c r="AE27" s="78">
        <f t="shared" si="15"/>
        <v>0</v>
      </c>
      <c r="AF27" s="78">
        <f t="shared" ca="1" si="25"/>
        <v>0</v>
      </c>
      <c r="AG27" s="78">
        <f ca="1">IFERROR(IF(AC27=0,0, PPMT(Refi_I_Adj,'Loan Amort Table'!AC27,Refi_Amort_Periods,Refi_Orig_Loan_Amount)),0)</f>
        <v>0</v>
      </c>
      <c r="AH27" s="78">
        <f t="shared" ca="1" si="4"/>
        <v>0</v>
      </c>
      <c r="AI27" s="78">
        <f t="shared" ca="1" si="26"/>
        <v>0</v>
      </c>
    </row>
    <row r="28" spans="1:35" x14ac:dyDescent="0.25">
      <c r="A28">
        <f t="shared" si="0"/>
        <v>2</v>
      </c>
      <c r="B28">
        <f t="shared" si="5"/>
        <v>23</v>
      </c>
      <c r="C28" s="49">
        <f t="shared" si="18"/>
        <v>671</v>
      </c>
      <c r="D28" s="78">
        <f>IF(C28&gt;EDATE(DATE(YEAR(SED_Origination_Date)+ SED_Amort, MONTH(SED_Origination_Date), DAY(SED_Origination_Date)),SED_Interest_Only),0,H27)</f>
        <v>0</v>
      </c>
      <c r="E28" s="78">
        <f t="shared" si="6"/>
        <v>0</v>
      </c>
      <c r="F28" s="78">
        <f>IFERROR(IF(OR(B28=0, C28&gt;=Refi_Origination_Date),0, PPMT(SED_I_Adj,'Loan Amort Table'!B28,SED_Amort_Periods,SED_Orig_Loan_Amount)),0)</f>
        <v>0</v>
      </c>
      <c r="G28" s="78" cm="1">
        <f t="array" ref="G28">IFERROR(_xlfn.IFS(C28&gt;=Refi_Origination_Date, 0, SED_Amort = 0, -D28 * SED_I_Adj, 1, IPMT(SED_I_Adj,IF(B28 = 0, 1, B28),SED_Amort_Periods,SED_Orig_Loan_Amount)),0)</f>
        <v>0</v>
      </c>
      <c r="H28" s="78">
        <f t="shared" si="27"/>
        <v>0</v>
      </c>
      <c r="J28">
        <f t="shared" si="1"/>
        <v>2</v>
      </c>
      <c r="K28">
        <f t="shared" si="7"/>
        <v>23</v>
      </c>
      <c r="L28" s="49">
        <f t="shared" si="20"/>
        <v>671</v>
      </c>
      <c r="M28" s="78">
        <f>IF(L28&gt;EDATE(DATE(YEAR(NEW_Origination_Date)+ NEW_Amort, MONTH(NEW_Origination_Date), DAY(NEW_Origination_Date)),NEW_Interest_Only),0,Q27)</f>
        <v>0</v>
      </c>
      <c r="N28" s="78">
        <f t="shared" si="8"/>
        <v>0</v>
      </c>
      <c r="O28" s="78">
        <f>IFERROR(IF(K28=0,0, PPMT(NEW_I_Adj,'Loan Amort Table'!K28,NEW_Amort_Periods,NEW_Orig_Loan_Amount)),0)</f>
        <v>0</v>
      </c>
      <c r="P28" s="78">
        <f>IFERROR(IF(NEW_Amort = 0, -M28* NEW_I_Adj,IPMT(NEW_I_Adj,IF(K28 = 0, 1, K28),NEW_Amort_Periods,NEW_Orig_Loan_Amount)),0)</f>
        <v>0</v>
      </c>
      <c r="Q28" s="78">
        <f t="shared" si="9"/>
        <v>0</v>
      </c>
      <c r="S28">
        <f t="shared" si="2"/>
        <v>2</v>
      </c>
      <c r="T28">
        <f t="shared" si="10"/>
        <v>23</v>
      </c>
      <c r="U28" s="49">
        <f t="shared" si="21"/>
        <v>671</v>
      </c>
      <c r="V28" s="78">
        <f t="shared" si="11"/>
        <v>0</v>
      </c>
      <c r="W28" s="78">
        <f t="shared" ca="1" si="22"/>
        <v>0</v>
      </c>
      <c r="X28" s="78">
        <f>IFERROR(IF(OR(T28=0, U28&gt;=Refi_Origination_Date),0, PPMT(Mezz_I_Adj,'Loan Amort Table'!T28,Mezz_Amort_Periods,Mezz_Orig_Loan_Amount)),0)</f>
        <v>0</v>
      </c>
      <c r="Y28" s="78" cm="1">
        <f t="array" aca="1" ref="Y28" ca="1">IFERROR(_xlfn.IFS(U28&gt;=Refi_Origination_Date,0, Mezz_Amort = 0, -V28 * Mezz_I_Adj, 1, IPMT(Mezz_I_Adj,IF(T28 = 0, 1, T28),Mezz_Amort_Periods,Mezz_Orig_Loan_Amount)),0)</f>
        <v>0</v>
      </c>
      <c r="Z28" s="78">
        <f t="shared" si="23"/>
        <v>0</v>
      </c>
      <c r="AB28">
        <f t="shared" si="3"/>
        <v>2</v>
      </c>
      <c r="AC28">
        <f t="shared" si="14"/>
        <v>23</v>
      </c>
      <c r="AD28" s="49">
        <f t="shared" si="24"/>
        <v>671</v>
      </c>
      <c r="AE28" s="78">
        <f t="shared" si="15"/>
        <v>0</v>
      </c>
      <c r="AF28" s="78">
        <f t="shared" ca="1" si="25"/>
        <v>0</v>
      </c>
      <c r="AG28" s="78">
        <f ca="1">IFERROR(IF(AC28=0,0, PPMT(Refi_I_Adj,'Loan Amort Table'!AC28,Refi_Amort_Periods,Refi_Orig_Loan_Amount)),0)</f>
        <v>0</v>
      </c>
      <c r="AH28" s="78">
        <f t="shared" ca="1" si="4"/>
        <v>0</v>
      </c>
      <c r="AI28" s="78">
        <f t="shared" ca="1" si="26"/>
        <v>0</v>
      </c>
    </row>
    <row r="29" spans="1:35" x14ac:dyDescent="0.25">
      <c r="A29">
        <f t="shared" si="0"/>
        <v>2</v>
      </c>
      <c r="B29">
        <f t="shared" si="5"/>
        <v>24</v>
      </c>
      <c r="C29" s="49">
        <f t="shared" si="18"/>
        <v>701</v>
      </c>
      <c r="D29" s="78">
        <f>IF(C29&gt;EDATE(DATE(YEAR(SED_Origination_Date)+ SED_Amort, MONTH(SED_Origination_Date), DAY(SED_Origination_Date)),SED_Interest_Only),0,H28)</f>
        <v>0</v>
      </c>
      <c r="E29" s="78">
        <f t="shared" si="6"/>
        <v>0</v>
      </c>
      <c r="F29" s="78">
        <f>IFERROR(IF(OR(B29=0, C29&gt;=Refi_Origination_Date),0, PPMT(SED_I_Adj,'Loan Amort Table'!B29,SED_Amort_Periods,SED_Orig_Loan_Amount)),0)</f>
        <v>0</v>
      </c>
      <c r="G29" s="78" cm="1">
        <f t="array" ref="G29">IFERROR(_xlfn.IFS(C29&gt;=Refi_Origination_Date, 0, SED_Amort = 0, -D29 * SED_I_Adj, 1, IPMT(SED_I_Adj,IF(B29 = 0, 1, B29),SED_Amort_Periods,SED_Orig_Loan_Amount)),0)</f>
        <v>0</v>
      </c>
      <c r="H29" s="78">
        <f t="shared" si="27"/>
        <v>0</v>
      </c>
      <c r="J29">
        <f t="shared" si="1"/>
        <v>2</v>
      </c>
      <c r="K29">
        <f t="shared" si="7"/>
        <v>24</v>
      </c>
      <c r="L29" s="49">
        <f t="shared" si="20"/>
        <v>701</v>
      </c>
      <c r="M29" s="78">
        <f>IF(L29&gt;EDATE(DATE(YEAR(NEW_Origination_Date)+ NEW_Amort, MONTH(NEW_Origination_Date), DAY(NEW_Origination_Date)),NEW_Interest_Only),0,Q28)</f>
        <v>0</v>
      </c>
      <c r="N29" s="78">
        <f t="shared" si="8"/>
        <v>0</v>
      </c>
      <c r="O29" s="78">
        <f>IFERROR(IF(K29=0,0, PPMT(NEW_I_Adj,'Loan Amort Table'!K29,NEW_Amort_Periods,NEW_Orig_Loan_Amount)),0)</f>
        <v>0</v>
      </c>
      <c r="P29" s="78">
        <f>IFERROR(IF(NEW_Amort = 0, -M29* NEW_I_Adj,IPMT(NEW_I_Adj,IF(K29 = 0, 1, K29),NEW_Amort_Periods,NEW_Orig_Loan_Amount)),0)</f>
        <v>0</v>
      </c>
      <c r="Q29" s="78">
        <f t="shared" si="9"/>
        <v>0</v>
      </c>
      <c r="S29">
        <f t="shared" si="2"/>
        <v>2</v>
      </c>
      <c r="T29">
        <f t="shared" si="10"/>
        <v>24</v>
      </c>
      <c r="U29" s="49">
        <f t="shared" si="21"/>
        <v>701</v>
      </c>
      <c r="V29" s="78">
        <f t="shared" si="11"/>
        <v>0</v>
      </c>
      <c r="W29" s="78">
        <f t="shared" ca="1" si="22"/>
        <v>0</v>
      </c>
      <c r="X29" s="78">
        <f>IFERROR(IF(OR(T29=0, U29&gt;=Refi_Origination_Date),0, PPMT(Mezz_I_Adj,'Loan Amort Table'!T29,Mezz_Amort_Periods,Mezz_Orig_Loan_Amount)),0)</f>
        <v>0</v>
      </c>
      <c r="Y29" s="78" cm="1">
        <f t="array" aca="1" ref="Y29" ca="1">IFERROR(_xlfn.IFS(U29&gt;=Refi_Origination_Date,0, Mezz_Amort = 0, -V29 * Mezz_I_Adj, 1, IPMT(Mezz_I_Adj,IF(T29 = 0, 1, T29),Mezz_Amort_Periods,Mezz_Orig_Loan_Amount)),0)</f>
        <v>0</v>
      </c>
      <c r="Z29" s="78">
        <f t="shared" si="23"/>
        <v>0</v>
      </c>
      <c r="AB29">
        <f t="shared" si="3"/>
        <v>2</v>
      </c>
      <c r="AC29">
        <f t="shared" si="14"/>
        <v>24</v>
      </c>
      <c r="AD29" s="49">
        <f t="shared" si="24"/>
        <v>701</v>
      </c>
      <c r="AE29" s="78">
        <f t="shared" si="15"/>
        <v>0</v>
      </c>
      <c r="AF29" s="78">
        <f t="shared" ca="1" si="25"/>
        <v>0</v>
      </c>
      <c r="AG29" s="78">
        <f ca="1">IFERROR(IF(AC29=0,0, PPMT(Refi_I_Adj,'Loan Amort Table'!AC29,Refi_Amort_Periods,Refi_Orig_Loan_Amount)),0)</f>
        <v>0</v>
      </c>
      <c r="AH29" s="78">
        <f t="shared" ca="1" si="4"/>
        <v>0</v>
      </c>
      <c r="AI29" s="78">
        <f t="shared" ca="1" si="26"/>
        <v>0</v>
      </c>
    </row>
    <row r="30" spans="1:35" x14ac:dyDescent="0.25">
      <c r="A30">
        <f t="shared" si="0"/>
        <v>3</v>
      </c>
      <c r="B30">
        <f t="shared" si="5"/>
        <v>25</v>
      </c>
      <c r="C30" s="49">
        <f t="shared" si="18"/>
        <v>732</v>
      </c>
      <c r="D30" s="78">
        <f>IF(C30&gt;EDATE(DATE(YEAR(SED_Origination_Date)+ SED_Amort, MONTH(SED_Origination_Date), DAY(SED_Origination_Date)),SED_Interest_Only),0,H29)</f>
        <v>0</v>
      </c>
      <c r="E30" s="78">
        <f t="shared" si="6"/>
        <v>0</v>
      </c>
      <c r="F30" s="78">
        <f>IFERROR(IF(OR(B30=0, C30&gt;=Refi_Origination_Date),0, PPMT(SED_I_Adj,'Loan Amort Table'!B30,SED_Amort_Periods,SED_Orig_Loan_Amount)),0)</f>
        <v>0</v>
      </c>
      <c r="G30" s="78" cm="1">
        <f t="array" ref="G30">IFERROR(_xlfn.IFS(C30&gt;=Refi_Origination_Date, 0, SED_Amort = 0, -D30 * SED_I_Adj, 1, IPMT(SED_I_Adj,IF(B30 = 0, 1, B30),SED_Amort_Periods,SED_Orig_Loan_Amount)),0)</f>
        <v>0</v>
      </c>
      <c r="H30" s="78">
        <f t="shared" si="27"/>
        <v>0</v>
      </c>
      <c r="J30">
        <f t="shared" si="1"/>
        <v>3</v>
      </c>
      <c r="K30">
        <f t="shared" si="7"/>
        <v>25</v>
      </c>
      <c r="L30" s="49">
        <f t="shared" si="20"/>
        <v>732</v>
      </c>
      <c r="M30" s="78">
        <f>IF(L30&gt;EDATE(DATE(YEAR(NEW_Origination_Date)+ NEW_Amort, MONTH(NEW_Origination_Date), DAY(NEW_Origination_Date)),NEW_Interest_Only),0,Q29)</f>
        <v>0</v>
      </c>
      <c r="N30" s="78">
        <f t="shared" si="8"/>
        <v>0</v>
      </c>
      <c r="O30" s="78">
        <f>IFERROR(IF(K30=0,0, PPMT(NEW_I_Adj,'Loan Amort Table'!K30,NEW_Amort_Periods,NEW_Orig_Loan_Amount)),0)</f>
        <v>0</v>
      </c>
      <c r="P30" s="78">
        <f>IFERROR(IF(NEW_Amort = 0, -M30* NEW_I_Adj,IPMT(NEW_I_Adj,IF(K30 = 0, 1, K30),NEW_Amort_Periods,NEW_Orig_Loan_Amount)),0)</f>
        <v>0</v>
      </c>
      <c r="Q30" s="78">
        <f t="shared" si="9"/>
        <v>0</v>
      </c>
      <c r="S30">
        <f t="shared" si="2"/>
        <v>3</v>
      </c>
      <c r="T30">
        <f t="shared" si="10"/>
        <v>25</v>
      </c>
      <c r="U30" s="49">
        <f t="shared" si="21"/>
        <v>732</v>
      </c>
      <c r="V30" s="78">
        <f t="shared" si="11"/>
        <v>0</v>
      </c>
      <c r="W30" s="78">
        <f t="shared" ca="1" si="22"/>
        <v>0</v>
      </c>
      <c r="X30" s="78">
        <f>IFERROR(IF(OR(T30=0, U30&gt;=Refi_Origination_Date),0, PPMT(Mezz_I_Adj,'Loan Amort Table'!T30,Mezz_Amort_Periods,Mezz_Orig_Loan_Amount)),0)</f>
        <v>0</v>
      </c>
      <c r="Y30" s="78" cm="1">
        <f t="array" aca="1" ref="Y30" ca="1">IFERROR(_xlfn.IFS(U30&gt;=Refi_Origination_Date,0, Mezz_Amort = 0, -V30 * Mezz_I_Adj, 1, IPMT(Mezz_I_Adj,IF(T30 = 0, 1, T30),Mezz_Amort_Periods,Mezz_Orig_Loan_Amount)),0)</f>
        <v>0</v>
      </c>
      <c r="Z30" s="78">
        <f t="shared" si="23"/>
        <v>0</v>
      </c>
      <c r="AB30">
        <f t="shared" si="3"/>
        <v>3</v>
      </c>
      <c r="AC30">
        <f t="shared" si="14"/>
        <v>25</v>
      </c>
      <c r="AD30" s="49">
        <f t="shared" si="24"/>
        <v>732</v>
      </c>
      <c r="AE30" s="78">
        <f t="shared" si="15"/>
        <v>0</v>
      </c>
      <c r="AF30" s="78">
        <f t="shared" ca="1" si="25"/>
        <v>0</v>
      </c>
      <c r="AG30" s="78">
        <f ca="1">IFERROR(IF(AC30=0,0, PPMT(Refi_I_Adj,'Loan Amort Table'!AC30,Refi_Amort_Periods,Refi_Orig_Loan_Amount)),0)</f>
        <v>0</v>
      </c>
      <c r="AH30" s="78">
        <f t="shared" ca="1" si="4"/>
        <v>0</v>
      </c>
      <c r="AI30" s="78">
        <f t="shared" ca="1" si="26"/>
        <v>0</v>
      </c>
    </row>
    <row r="31" spans="1:35" x14ac:dyDescent="0.25">
      <c r="A31">
        <f t="shared" si="0"/>
        <v>3</v>
      </c>
      <c r="B31">
        <f t="shared" si="5"/>
        <v>26</v>
      </c>
      <c r="C31" s="49">
        <f t="shared" si="18"/>
        <v>763</v>
      </c>
      <c r="D31" s="78">
        <f>IF(C31&gt;EDATE(DATE(YEAR(SED_Origination_Date)+ SED_Amort, MONTH(SED_Origination_Date), DAY(SED_Origination_Date)),SED_Interest_Only),0,H30)</f>
        <v>0</v>
      </c>
      <c r="E31" s="78">
        <f t="shared" si="6"/>
        <v>0</v>
      </c>
      <c r="F31" s="78">
        <f>IFERROR(IF(OR(B31=0, C31&gt;=Refi_Origination_Date),0, PPMT(SED_I_Adj,'Loan Amort Table'!B31,SED_Amort_Periods,SED_Orig_Loan_Amount)),0)</f>
        <v>0</v>
      </c>
      <c r="G31" s="78" cm="1">
        <f t="array" ref="G31">IFERROR(_xlfn.IFS(C31&gt;=Refi_Origination_Date, 0, SED_Amort = 0, -D31 * SED_I_Adj, 1, IPMT(SED_I_Adj,IF(B31 = 0, 1, B31),SED_Amort_Periods,SED_Orig_Loan_Amount)),0)</f>
        <v>0</v>
      </c>
      <c r="H31" s="78">
        <f t="shared" si="27"/>
        <v>0</v>
      </c>
      <c r="J31">
        <f t="shared" si="1"/>
        <v>3</v>
      </c>
      <c r="K31">
        <f t="shared" si="7"/>
        <v>26</v>
      </c>
      <c r="L31" s="49">
        <f t="shared" si="20"/>
        <v>763</v>
      </c>
      <c r="M31" s="78">
        <f>IF(L31&gt;EDATE(DATE(YEAR(NEW_Origination_Date)+ NEW_Amort, MONTH(NEW_Origination_Date), DAY(NEW_Origination_Date)),NEW_Interest_Only),0,Q30)</f>
        <v>0</v>
      </c>
      <c r="N31" s="78">
        <f t="shared" si="8"/>
        <v>0</v>
      </c>
      <c r="O31" s="78">
        <f>IFERROR(IF(K31=0,0, PPMT(NEW_I_Adj,'Loan Amort Table'!K31,NEW_Amort_Periods,NEW_Orig_Loan_Amount)),0)</f>
        <v>0</v>
      </c>
      <c r="P31" s="78">
        <f>IFERROR(IF(NEW_Amort = 0, -M31* NEW_I_Adj,IPMT(NEW_I_Adj,IF(K31 = 0, 1, K31),NEW_Amort_Periods,NEW_Orig_Loan_Amount)),0)</f>
        <v>0</v>
      </c>
      <c r="Q31" s="78">
        <f t="shared" si="9"/>
        <v>0</v>
      </c>
      <c r="S31">
        <f t="shared" si="2"/>
        <v>3</v>
      </c>
      <c r="T31">
        <f t="shared" si="10"/>
        <v>26</v>
      </c>
      <c r="U31" s="49">
        <f t="shared" si="21"/>
        <v>763</v>
      </c>
      <c r="V31" s="78">
        <f t="shared" si="11"/>
        <v>0</v>
      </c>
      <c r="W31" s="78">
        <f t="shared" ca="1" si="22"/>
        <v>0</v>
      </c>
      <c r="X31" s="78">
        <f>IFERROR(IF(OR(T31=0, U31&gt;=Refi_Origination_Date),0, PPMT(Mezz_I_Adj,'Loan Amort Table'!T31,Mezz_Amort_Periods,Mezz_Orig_Loan_Amount)),0)</f>
        <v>0</v>
      </c>
      <c r="Y31" s="78" cm="1">
        <f t="array" aca="1" ref="Y31" ca="1">IFERROR(_xlfn.IFS(U31&gt;=Refi_Origination_Date,0, Mezz_Amort = 0, -V31 * Mezz_I_Adj, 1, IPMT(Mezz_I_Adj,IF(T31 = 0, 1, T31),Mezz_Amort_Periods,Mezz_Orig_Loan_Amount)),0)</f>
        <v>0</v>
      </c>
      <c r="Z31" s="78">
        <f t="shared" si="23"/>
        <v>0</v>
      </c>
      <c r="AB31">
        <f t="shared" si="3"/>
        <v>3</v>
      </c>
      <c r="AC31">
        <f t="shared" si="14"/>
        <v>26</v>
      </c>
      <c r="AD31" s="49">
        <f t="shared" si="24"/>
        <v>763</v>
      </c>
      <c r="AE31" s="78">
        <f t="shared" si="15"/>
        <v>0</v>
      </c>
      <c r="AF31" s="78">
        <f t="shared" ca="1" si="25"/>
        <v>0</v>
      </c>
      <c r="AG31" s="78">
        <f ca="1">IFERROR(IF(AC31=0,0, PPMT(Refi_I_Adj,'Loan Amort Table'!AC31,Refi_Amort_Periods,Refi_Orig_Loan_Amount)),0)</f>
        <v>0</v>
      </c>
      <c r="AH31" s="78">
        <f t="shared" ca="1" si="4"/>
        <v>0</v>
      </c>
      <c r="AI31" s="78">
        <f t="shared" ca="1" si="26"/>
        <v>0</v>
      </c>
    </row>
    <row r="32" spans="1:35" x14ac:dyDescent="0.25">
      <c r="A32">
        <f t="shared" si="0"/>
        <v>3</v>
      </c>
      <c r="B32">
        <f t="shared" si="5"/>
        <v>27</v>
      </c>
      <c r="C32" s="49">
        <f t="shared" si="18"/>
        <v>791</v>
      </c>
      <c r="D32" s="78">
        <f>IF(C32&gt;EDATE(DATE(YEAR(SED_Origination_Date)+ SED_Amort, MONTH(SED_Origination_Date), DAY(SED_Origination_Date)),SED_Interest_Only),0,H31)</f>
        <v>0</v>
      </c>
      <c r="E32" s="78">
        <f t="shared" si="6"/>
        <v>0</v>
      </c>
      <c r="F32" s="78">
        <f>IFERROR(IF(OR(B32=0, C32&gt;=Refi_Origination_Date),0, PPMT(SED_I_Adj,'Loan Amort Table'!B32,SED_Amort_Periods,SED_Orig_Loan_Amount)),0)</f>
        <v>0</v>
      </c>
      <c r="G32" s="78" cm="1">
        <f t="array" ref="G32">IFERROR(_xlfn.IFS(C32&gt;=Refi_Origination_Date, 0, SED_Amort = 0, -D32 * SED_I_Adj, 1, IPMT(SED_I_Adj,IF(B32 = 0, 1, B32),SED_Amort_Periods,SED_Orig_Loan_Amount)),0)</f>
        <v>0</v>
      </c>
      <c r="H32" s="78">
        <f t="shared" si="27"/>
        <v>0</v>
      </c>
      <c r="J32">
        <f t="shared" si="1"/>
        <v>3</v>
      </c>
      <c r="K32">
        <f t="shared" si="7"/>
        <v>27</v>
      </c>
      <c r="L32" s="49">
        <f t="shared" si="20"/>
        <v>791</v>
      </c>
      <c r="M32" s="78">
        <f>IF(L32&gt;EDATE(DATE(YEAR(NEW_Origination_Date)+ NEW_Amort, MONTH(NEW_Origination_Date), DAY(NEW_Origination_Date)),NEW_Interest_Only),0,Q31)</f>
        <v>0</v>
      </c>
      <c r="N32" s="78">
        <f t="shared" si="8"/>
        <v>0</v>
      </c>
      <c r="O32" s="78">
        <f>IFERROR(IF(K32=0,0, PPMT(NEW_I_Adj,'Loan Amort Table'!K32,NEW_Amort_Periods,NEW_Orig_Loan_Amount)),0)</f>
        <v>0</v>
      </c>
      <c r="P32" s="78">
        <f>IFERROR(IF(NEW_Amort = 0, -M32* NEW_I_Adj,IPMT(NEW_I_Adj,IF(K32 = 0, 1, K32),NEW_Amort_Periods,NEW_Orig_Loan_Amount)),0)</f>
        <v>0</v>
      </c>
      <c r="Q32" s="78">
        <f t="shared" si="9"/>
        <v>0</v>
      </c>
      <c r="S32">
        <f t="shared" si="2"/>
        <v>3</v>
      </c>
      <c r="T32">
        <f t="shared" si="10"/>
        <v>27</v>
      </c>
      <c r="U32" s="49">
        <f t="shared" si="21"/>
        <v>791</v>
      </c>
      <c r="V32" s="78">
        <f t="shared" si="11"/>
        <v>0</v>
      </c>
      <c r="W32" s="78">
        <f t="shared" ca="1" si="22"/>
        <v>0</v>
      </c>
      <c r="X32" s="78">
        <f>IFERROR(IF(OR(T32=0, U32&gt;=Refi_Origination_Date),0, PPMT(Mezz_I_Adj,'Loan Amort Table'!T32,Mezz_Amort_Periods,Mezz_Orig_Loan_Amount)),0)</f>
        <v>0</v>
      </c>
      <c r="Y32" s="78" cm="1">
        <f t="array" aca="1" ref="Y32" ca="1">IFERROR(_xlfn.IFS(U32&gt;=Refi_Origination_Date,0, Mezz_Amort = 0, -V32 * Mezz_I_Adj, 1, IPMT(Mezz_I_Adj,IF(T32 = 0, 1, T32),Mezz_Amort_Periods,Mezz_Orig_Loan_Amount)),0)</f>
        <v>0</v>
      </c>
      <c r="Z32" s="78">
        <f t="shared" si="23"/>
        <v>0</v>
      </c>
      <c r="AB32">
        <f t="shared" si="3"/>
        <v>3</v>
      </c>
      <c r="AC32">
        <f t="shared" si="14"/>
        <v>27</v>
      </c>
      <c r="AD32" s="49">
        <f t="shared" si="24"/>
        <v>791</v>
      </c>
      <c r="AE32" s="78">
        <f t="shared" si="15"/>
        <v>0</v>
      </c>
      <c r="AF32" s="78">
        <f t="shared" ca="1" si="25"/>
        <v>0</v>
      </c>
      <c r="AG32" s="78">
        <f ca="1">IFERROR(IF(AC32=0,0, PPMT(Refi_I_Adj,'Loan Amort Table'!AC32,Refi_Amort_Periods,Refi_Orig_Loan_Amount)),0)</f>
        <v>0</v>
      </c>
      <c r="AH32" s="78">
        <f t="shared" ca="1" si="4"/>
        <v>0</v>
      </c>
      <c r="AI32" s="78">
        <f t="shared" ca="1" si="26"/>
        <v>0</v>
      </c>
    </row>
    <row r="33" spans="1:35" x14ac:dyDescent="0.25">
      <c r="A33">
        <f t="shared" si="0"/>
        <v>3</v>
      </c>
      <c r="B33">
        <f t="shared" si="5"/>
        <v>28</v>
      </c>
      <c r="C33" s="49">
        <f t="shared" si="18"/>
        <v>822</v>
      </c>
      <c r="D33" s="78">
        <f>IF(C33&gt;EDATE(DATE(YEAR(SED_Origination_Date)+ SED_Amort, MONTH(SED_Origination_Date), DAY(SED_Origination_Date)),SED_Interest_Only),0,H32)</f>
        <v>0</v>
      </c>
      <c r="E33" s="78">
        <f t="shared" si="6"/>
        <v>0</v>
      </c>
      <c r="F33" s="78">
        <f>IFERROR(IF(OR(B33=0, C33&gt;=Refi_Origination_Date),0, PPMT(SED_I_Adj,'Loan Amort Table'!B33,SED_Amort_Periods,SED_Orig_Loan_Amount)),0)</f>
        <v>0</v>
      </c>
      <c r="G33" s="78" cm="1">
        <f t="array" ref="G33">IFERROR(_xlfn.IFS(C33&gt;=Refi_Origination_Date, 0, SED_Amort = 0, -D33 * SED_I_Adj, 1, IPMT(SED_I_Adj,IF(B33 = 0, 1, B33),SED_Amort_Periods,SED_Orig_Loan_Amount)),0)</f>
        <v>0</v>
      </c>
      <c r="H33" s="78">
        <f t="shared" si="27"/>
        <v>0</v>
      </c>
      <c r="J33">
        <f t="shared" si="1"/>
        <v>3</v>
      </c>
      <c r="K33">
        <f t="shared" si="7"/>
        <v>28</v>
      </c>
      <c r="L33" s="49">
        <f t="shared" si="20"/>
        <v>822</v>
      </c>
      <c r="M33" s="78">
        <f>IF(L33&gt;EDATE(DATE(YEAR(NEW_Origination_Date)+ NEW_Amort, MONTH(NEW_Origination_Date), DAY(NEW_Origination_Date)),NEW_Interest_Only),0,Q32)</f>
        <v>0</v>
      </c>
      <c r="N33" s="78">
        <f t="shared" si="8"/>
        <v>0</v>
      </c>
      <c r="O33" s="78">
        <f>IFERROR(IF(K33=0,0, PPMT(NEW_I_Adj,'Loan Amort Table'!K33,NEW_Amort_Periods,NEW_Orig_Loan_Amount)),0)</f>
        <v>0</v>
      </c>
      <c r="P33" s="78">
        <f>IFERROR(IF(NEW_Amort = 0, -M33* NEW_I_Adj,IPMT(NEW_I_Adj,IF(K33 = 0, 1, K33),NEW_Amort_Periods,NEW_Orig_Loan_Amount)),0)</f>
        <v>0</v>
      </c>
      <c r="Q33" s="78">
        <f t="shared" si="9"/>
        <v>0</v>
      </c>
      <c r="S33">
        <f t="shared" si="2"/>
        <v>3</v>
      </c>
      <c r="T33">
        <f t="shared" si="10"/>
        <v>28</v>
      </c>
      <c r="U33" s="49">
        <f t="shared" si="21"/>
        <v>822</v>
      </c>
      <c r="V33" s="78">
        <f t="shared" si="11"/>
        <v>0</v>
      </c>
      <c r="W33" s="78">
        <f t="shared" ca="1" si="22"/>
        <v>0</v>
      </c>
      <c r="X33" s="78">
        <f>IFERROR(IF(OR(T33=0, U33&gt;=Refi_Origination_Date),0, PPMT(Mezz_I_Adj,'Loan Amort Table'!T33,Mezz_Amort_Periods,Mezz_Orig_Loan_Amount)),0)</f>
        <v>0</v>
      </c>
      <c r="Y33" s="78" cm="1">
        <f t="array" aca="1" ref="Y33" ca="1">IFERROR(_xlfn.IFS(U33&gt;=Refi_Origination_Date,0, Mezz_Amort = 0, -V33 * Mezz_I_Adj, 1, IPMT(Mezz_I_Adj,IF(T33 = 0, 1, T33),Mezz_Amort_Periods,Mezz_Orig_Loan_Amount)),0)</f>
        <v>0</v>
      </c>
      <c r="Z33" s="78">
        <f t="shared" si="23"/>
        <v>0</v>
      </c>
      <c r="AB33">
        <f t="shared" si="3"/>
        <v>3</v>
      </c>
      <c r="AC33">
        <f t="shared" si="14"/>
        <v>28</v>
      </c>
      <c r="AD33" s="49">
        <f t="shared" si="24"/>
        <v>822</v>
      </c>
      <c r="AE33" s="78">
        <f t="shared" si="15"/>
        <v>0</v>
      </c>
      <c r="AF33" s="78">
        <f t="shared" ca="1" si="25"/>
        <v>0</v>
      </c>
      <c r="AG33" s="78">
        <f ca="1">IFERROR(IF(AC33=0,0, PPMT(Refi_I_Adj,'Loan Amort Table'!AC33,Refi_Amort_Periods,Refi_Orig_Loan_Amount)),0)</f>
        <v>0</v>
      </c>
      <c r="AH33" s="78">
        <f t="shared" ca="1" si="4"/>
        <v>0</v>
      </c>
      <c r="AI33" s="78">
        <f t="shared" ca="1" si="26"/>
        <v>0</v>
      </c>
    </row>
    <row r="34" spans="1:35" x14ac:dyDescent="0.25">
      <c r="A34">
        <f t="shared" si="0"/>
        <v>3</v>
      </c>
      <c r="B34">
        <f t="shared" si="5"/>
        <v>29</v>
      </c>
      <c r="C34" s="49">
        <f t="shared" si="18"/>
        <v>852</v>
      </c>
      <c r="D34" s="78">
        <f>IF(C34&gt;EDATE(DATE(YEAR(SED_Origination_Date)+ SED_Amort, MONTH(SED_Origination_Date), DAY(SED_Origination_Date)),SED_Interest_Only),0,H33)</f>
        <v>0</v>
      </c>
      <c r="E34" s="78">
        <f t="shared" si="6"/>
        <v>0</v>
      </c>
      <c r="F34" s="78">
        <f>IFERROR(IF(OR(B34=0, C34&gt;=Refi_Origination_Date),0, PPMT(SED_I_Adj,'Loan Amort Table'!B34,SED_Amort_Periods,SED_Orig_Loan_Amount)),0)</f>
        <v>0</v>
      </c>
      <c r="G34" s="78" cm="1">
        <f t="array" ref="G34">IFERROR(_xlfn.IFS(C34&gt;=Refi_Origination_Date, 0, SED_Amort = 0, -D34 * SED_I_Adj, 1, IPMT(SED_I_Adj,IF(B34 = 0, 1, B34),SED_Amort_Periods,SED_Orig_Loan_Amount)),0)</f>
        <v>0</v>
      </c>
      <c r="H34" s="78">
        <f t="shared" si="27"/>
        <v>0</v>
      </c>
      <c r="J34">
        <f t="shared" si="1"/>
        <v>3</v>
      </c>
      <c r="K34">
        <f t="shared" si="7"/>
        <v>29</v>
      </c>
      <c r="L34" s="49">
        <f t="shared" si="20"/>
        <v>852</v>
      </c>
      <c r="M34" s="78">
        <f>IF(L34&gt;EDATE(DATE(YEAR(NEW_Origination_Date)+ NEW_Amort, MONTH(NEW_Origination_Date), DAY(NEW_Origination_Date)),NEW_Interest_Only),0,Q33)</f>
        <v>0</v>
      </c>
      <c r="N34" s="78">
        <f t="shared" si="8"/>
        <v>0</v>
      </c>
      <c r="O34" s="78">
        <f>IFERROR(IF(K34=0,0, PPMT(NEW_I_Adj,'Loan Amort Table'!K34,NEW_Amort_Periods,NEW_Orig_Loan_Amount)),0)</f>
        <v>0</v>
      </c>
      <c r="P34" s="78">
        <f>IFERROR(IF(NEW_Amort = 0, -M34* NEW_I_Adj,IPMT(NEW_I_Adj,IF(K34 = 0, 1, K34),NEW_Amort_Periods,NEW_Orig_Loan_Amount)),0)</f>
        <v>0</v>
      </c>
      <c r="Q34" s="78">
        <f t="shared" si="9"/>
        <v>0</v>
      </c>
      <c r="S34">
        <f t="shared" si="2"/>
        <v>3</v>
      </c>
      <c r="T34">
        <f t="shared" si="10"/>
        <v>29</v>
      </c>
      <c r="U34" s="49">
        <f t="shared" si="21"/>
        <v>852</v>
      </c>
      <c r="V34" s="78">
        <f t="shared" si="11"/>
        <v>0</v>
      </c>
      <c r="W34" s="78">
        <f t="shared" ca="1" si="22"/>
        <v>0</v>
      </c>
      <c r="X34" s="78">
        <f>IFERROR(IF(OR(T34=0, U34&gt;=Refi_Origination_Date),0, PPMT(Mezz_I_Adj,'Loan Amort Table'!T34,Mezz_Amort_Periods,Mezz_Orig_Loan_Amount)),0)</f>
        <v>0</v>
      </c>
      <c r="Y34" s="78" cm="1">
        <f t="array" aca="1" ref="Y34" ca="1">IFERROR(_xlfn.IFS(U34&gt;=Refi_Origination_Date,0, Mezz_Amort = 0, -V34 * Mezz_I_Adj, 1, IPMT(Mezz_I_Adj,IF(T34 = 0, 1, T34),Mezz_Amort_Periods,Mezz_Orig_Loan_Amount)),0)</f>
        <v>0</v>
      </c>
      <c r="Z34" s="78">
        <f t="shared" si="23"/>
        <v>0</v>
      </c>
      <c r="AB34">
        <f t="shared" si="3"/>
        <v>3</v>
      </c>
      <c r="AC34">
        <f t="shared" si="14"/>
        <v>29</v>
      </c>
      <c r="AD34" s="49">
        <f t="shared" si="24"/>
        <v>852</v>
      </c>
      <c r="AE34" s="78">
        <f t="shared" si="15"/>
        <v>0</v>
      </c>
      <c r="AF34" s="78">
        <f t="shared" ca="1" si="25"/>
        <v>0</v>
      </c>
      <c r="AG34" s="78">
        <f ca="1">IFERROR(IF(AC34=0,0, PPMT(Refi_I_Adj,'Loan Amort Table'!AC34,Refi_Amort_Periods,Refi_Orig_Loan_Amount)),0)</f>
        <v>0</v>
      </c>
      <c r="AH34" s="78">
        <f t="shared" ca="1" si="4"/>
        <v>0</v>
      </c>
      <c r="AI34" s="78">
        <f t="shared" ca="1" si="26"/>
        <v>0</v>
      </c>
    </row>
    <row r="35" spans="1:35" x14ac:dyDescent="0.25">
      <c r="A35">
        <f t="shared" si="0"/>
        <v>3</v>
      </c>
      <c r="B35">
        <f t="shared" si="5"/>
        <v>30</v>
      </c>
      <c r="C35" s="49">
        <f t="shared" si="18"/>
        <v>883</v>
      </c>
      <c r="D35" s="78">
        <f>IF(C35&gt;EDATE(DATE(YEAR(SED_Origination_Date)+ SED_Amort, MONTH(SED_Origination_Date), DAY(SED_Origination_Date)),SED_Interest_Only),0,H34)</f>
        <v>0</v>
      </c>
      <c r="E35" s="78">
        <f t="shared" si="6"/>
        <v>0</v>
      </c>
      <c r="F35" s="78">
        <f>IFERROR(IF(OR(B35=0, C35&gt;=Refi_Origination_Date),0, PPMT(SED_I_Adj,'Loan Amort Table'!B35,SED_Amort_Periods,SED_Orig_Loan_Amount)),0)</f>
        <v>0</v>
      </c>
      <c r="G35" s="78" cm="1">
        <f t="array" ref="G35">IFERROR(_xlfn.IFS(C35&gt;=Refi_Origination_Date, 0, SED_Amort = 0, -D35 * SED_I_Adj, 1, IPMT(SED_I_Adj,IF(B35 = 0, 1, B35),SED_Amort_Periods,SED_Orig_Loan_Amount)),0)</f>
        <v>0</v>
      </c>
      <c r="H35" s="78">
        <f t="shared" si="27"/>
        <v>0</v>
      </c>
      <c r="J35">
        <f t="shared" si="1"/>
        <v>3</v>
      </c>
      <c r="K35">
        <f t="shared" si="7"/>
        <v>30</v>
      </c>
      <c r="L35" s="49">
        <f t="shared" si="20"/>
        <v>883</v>
      </c>
      <c r="M35" s="78">
        <f>IF(L35&gt;EDATE(DATE(YEAR(NEW_Origination_Date)+ NEW_Amort, MONTH(NEW_Origination_Date), DAY(NEW_Origination_Date)),NEW_Interest_Only),0,Q34)</f>
        <v>0</v>
      </c>
      <c r="N35" s="78">
        <f t="shared" si="8"/>
        <v>0</v>
      </c>
      <c r="O35" s="78">
        <f>IFERROR(IF(K35=0,0, PPMT(NEW_I_Adj,'Loan Amort Table'!K35,NEW_Amort_Periods,NEW_Orig_Loan_Amount)),0)</f>
        <v>0</v>
      </c>
      <c r="P35" s="78">
        <f>IFERROR(IF(NEW_Amort = 0, -M35* NEW_I_Adj,IPMT(NEW_I_Adj,IF(K35 = 0, 1, K35),NEW_Amort_Periods,NEW_Orig_Loan_Amount)),0)</f>
        <v>0</v>
      </c>
      <c r="Q35" s="78">
        <f t="shared" si="9"/>
        <v>0</v>
      </c>
      <c r="S35">
        <f t="shared" si="2"/>
        <v>3</v>
      </c>
      <c r="T35">
        <f t="shared" si="10"/>
        <v>30</v>
      </c>
      <c r="U35" s="49">
        <f t="shared" si="21"/>
        <v>883</v>
      </c>
      <c r="V35" s="78">
        <f t="shared" si="11"/>
        <v>0</v>
      </c>
      <c r="W35" s="78">
        <f t="shared" ca="1" si="22"/>
        <v>0</v>
      </c>
      <c r="X35" s="78">
        <f>IFERROR(IF(OR(T35=0, U35&gt;=Refi_Origination_Date),0, PPMT(Mezz_I_Adj,'Loan Amort Table'!T35,Mezz_Amort_Periods,Mezz_Orig_Loan_Amount)),0)</f>
        <v>0</v>
      </c>
      <c r="Y35" s="78" cm="1">
        <f t="array" aca="1" ref="Y35" ca="1">IFERROR(_xlfn.IFS(U35&gt;=Refi_Origination_Date,0, Mezz_Amort = 0, -V35 * Mezz_I_Adj, 1, IPMT(Mezz_I_Adj,IF(T35 = 0, 1, T35),Mezz_Amort_Periods,Mezz_Orig_Loan_Amount)),0)</f>
        <v>0</v>
      </c>
      <c r="Z35" s="78">
        <f t="shared" si="23"/>
        <v>0</v>
      </c>
      <c r="AB35">
        <f t="shared" si="3"/>
        <v>3</v>
      </c>
      <c r="AC35">
        <f t="shared" si="14"/>
        <v>30</v>
      </c>
      <c r="AD35" s="49">
        <f t="shared" si="24"/>
        <v>883</v>
      </c>
      <c r="AE35" s="78">
        <f t="shared" si="15"/>
        <v>0</v>
      </c>
      <c r="AF35" s="78">
        <f t="shared" ca="1" si="25"/>
        <v>0</v>
      </c>
      <c r="AG35" s="78">
        <f ca="1">IFERROR(IF(AC35=0,0, PPMT(Refi_I_Adj,'Loan Amort Table'!AC35,Refi_Amort_Periods,Refi_Orig_Loan_Amount)),0)</f>
        <v>0</v>
      </c>
      <c r="AH35" s="78">
        <f t="shared" ca="1" si="4"/>
        <v>0</v>
      </c>
      <c r="AI35" s="78">
        <f t="shared" ca="1" si="26"/>
        <v>0</v>
      </c>
    </row>
    <row r="36" spans="1:35" x14ac:dyDescent="0.25">
      <c r="A36">
        <f t="shared" si="0"/>
        <v>3</v>
      </c>
      <c r="B36">
        <f t="shared" si="5"/>
        <v>31</v>
      </c>
      <c r="C36" s="49">
        <f t="shared" si="18"/>
        <v>913</v>
      </c>
      <c r="D36" s="78">
        <f>IF(C36&gt;EDATE(DATE(YEAR(SED_Origination_Date)+ SED_Amort, MONTH(SED_Origination_Date), DAY(SED_Origination_Date)),SED_Interest_Only),0,H35)</f>
        <v>0</v>
      </c>
      <c r="E36" s="78">
        <f t="shared" si="6"/>
        <v>0</v>
      </c>
      <c r="F36" s="78">
        <f>IFERROR(IF(OR(B36=0, C36&gt;=Refi_Origination_Date),0, PPMT(SED_I_Adj,'Loan Amort Table'!B36,SED_Amort_Periods,SED_Orig_Loan_Amount)),0)</f>
        <v>0</v>
      </c>
      <c r="G36" s="78" cm="1">
        <f t="array" ref="G36">IFERROR(_xlfn.IFS(C36&gt;=Refi_Origination_Date, 0, SED_Amort = 0, -D36 * SED_I_Adj, 1, IPMT(SED_I_Adj,IF(B36 = 0, 1, B36),SED_Amort_Periods,SED_Orig_Loan_Amount)),0)</f>
        <v>0</v>
      </c>
      <c r="H36" s="78">
        <f t="shared" si="27"/>
        <v>0</v>
      </c>
      <c r="J36">
        <f t="shared" si="1"/>
        <v>3</v>
      </c>
      <c r="K36">
        <f t="shared" si="7"/>
        <v>31</v>
      </c>
      <c r="L36" s="49">
        <f t="shared" si="20"/>
        <v>913</v>
      </c>
      <c r="M36" s="78">
        <f>IF(L36&gt;EDATE(DATE(YEAR(NEW_Origination_Date)+ NEW_Amort, MONTH(NEW_Origination_Date), DAY(NEW_Origination_Date)),NEW_Interest_Only),0,Q35)</f>
        <v>0</v>
      </c>
      <c r="N36" s="78">
        <f t="shared" si="8"/>
        <v>0</v>
      </c>
      <c r="O36" s="78">
        <f>IFERROR(IF(K36=0,0, PPMT(NEW_I_Adj,'Loan Amort Table'!K36,NEW_Amort_Periods,NEW_Orig_Loan_Amount)),0)</f>
        <v>0</v>
      </c>
      <c r="P36" s="78">
        <f>IFERROR(IF(NEW_Amort = 0, -M36* NEW_I_Adj,IPMT(NEW_I_Adj,IF(K36 = 0, 1, K36),NEW_Amort_Periods,NEW_Orig_Loan_Amount)),0)</f>
        <v>0</v>
      </c>
      <c r="Q36" s="78">
        <f t="shared" si="9"/>
        <v>0</v>
      </c>
      <c r="S36">
        <f t="shared" si="2"/>
        <v>3</v>
      </c>
      <c r="T36">
        <f t="shared" si="10"/>
        <v>31</v>
      </c>
      <c r="U36" s="49">
        <f t="shared" si="21"/>
        <v>913</v>
      </c>
      <c r="V36" s="78">
        <f t="shared" si="11"/>
        <v>0</v>
      </c>
      <c r="W36" s="78">
        <f t="shared" ca="1" si="22"/>
        <v>0</v>
      </c>
      <c r="X36" s="78">
        <f>IFERROR(IF(OR(T36=0, U36&gt;=Refi_Origination_Date),0, PPMT(Mezz_I_Adj,'Loan Amort Table'!T36,Mezz_Amort_Periods,Mezz_Orig_Loan_Amount)),0)</f>
        <v>0</v>
      </c>
      <c r="Y36" s="78" cm="1">
        <f t="array" aca="1" ref="Y36" ca="1">IFERROR(_xlfn.IFS(U36&gt;=Refi_Origination_Date,0, Mezz_Amort = 0, -V36 * Mezz_I_Adj, 1, IPMT(Mezz_I_Adj,IF(T36 = 0, 1, T36),Mezz_Amort_Periods,Mezz_Orig_Loan_Amount)),0)</f>
        <v>0</v>
      </c>
      <c r="Z36" s="78">
        <f t="shared" si="23"/>
        <v>0</v>
      </c>
      <c r="AB36">
        <f t="shared" si="3"/>
        <v>3</v>
      </c>
      <c r="AC36">
        <f t="shared" si="14"/>
        <v>31</v>
      </c>
      <c r="AD36" s="49">
        <f t="shared" si="24"/>
        <v>913</v>
      </c>
      <c r="AE36" s="78">
        <f t="shared" si="15"/>
        <v>0</v>
      </c>
      <c r="AF36" s="78">
        <f t="shared" ca="1" si="25"/>
        <v>0</v>
      </c>
      <c r="AG36" s="78">
        <f ca="1">IFERROR(IF(AC36=0,0, PPMT(Refi_I_Adj,'Loan Amort Table'!AC36,Refi_Amort_Periods,Refi_Orig_Loan_Amount)),0)</f>
        <v>0</v>
      </c>
      <c r="AH36" s="78">
        <f t="shared" ca="1" si="4"/>
        <v>0</v>
      </c>
      <c r="AI36" s="78">
        <f t="shared" ca="1" si="26"/>
        <v>0</v>
      </c>
    </row>
    <row r="37" spans="1:35" x14ac:dyDescent="0.25">
      <c r="A37">
        <f t="shared" si="0"/>
        <v>3</v>
      </c>
      <c r="B37">
        <f t="shared" si="5"/>
        <v>32</v>
      </c>
      <c r="C37" s="49">
        <f t="shared" si="18"/>
        <v>944</v>
      </c>
      <c r="D37" s="78">
        <f>IF(C37&gt;EDATE(DATE(YEAR(SED_Origination_Date)+ SED_Amort, MONTH(SED_Origination_Date), DAY(SED_Origination_Date)),SED_Interest_Only),0,H36)</f>
        <v>0</v>
      </c>
      <c r="E37" s="78">
        <f t="shared" si="6"/>
        <v>0</v>
      </c>
      <c r="F37" s="78">
        <f>IFERROR(IF(OR(B37=0, C37&gt;=Refi_Origination_Date),0, PPMT(SED_I_Adj,'Loan Amort Table'!B37,SED_Amort_Periods,SED_Orig_Loan_Amount)),0)</f>
        <v>0</v>
      </c>
      <c r="G37" s="78" cm="1">
        <f t="array" ref="G37">IFERROR(_xlfn.IFS(C37&gt;=Refi_Origination_Date, 0, SED_Amort = 0, -D37 * SED_I_Adj, 1, IPMT(SED_I_Adj,IF(B37 = 0, 1, B37),SED_Amort_Periods,SED_Orig_Loan_Amount)),0)</f>
        <v>0</v>
      </c>
      <c r="H37" s="78">
        <f t="shared" si="27"/>
        <v>0</v>
      </c>
      <c r="J37">
        <f t="shared" si="1"/>
        <v>3</v>
      </c>
      <c r="K37">
        <f t="shared" si="7"/>
        <v>32</v>
      </c>
      <c r="L37" s="49">
        <f t="shared" si="20"/>
        <v>944</v>
      </c>
      <c r="M37" s="78">
        <f>IF(L37&gt;EDATE(DATE(YEAR(NEW_Origination_Date)+ NEW_Amort, MONTH(NEW_Origination_Date), DAY(NEW_Origination_Date)),NEW_Interest_Only),0,Q36)</f>
        <v>0</v>
      </c>
      <c r="N37" s="78">
        <f t="shared" si="8"/>
        <v>0</v>
      </c>
      <c r="O37" s="78">
        <f>IFERROR(IF(K37=0,0, PPMT(NEW_I_Adj,'Loan Amort Table'!K37,NEW_Amort_Periods,NEW_Orig_Loan_Amount)),0)</f>
        <v>0</v>
      </c>
      <c r="P37" s="78">
        <f>IFERROR(IF(NEW_Amort = 0, -M37* NEW_I_Adj,IPMT(NEW_I_Adj,IF(K37 = 0, 1, K37),NEW_Amort_Periods,NEW_Orig_Loan_Amount)),0)</f>
        <v>0</v>
      </c>
      <c r="Q37" s="78">
        <f t="shared" si="9"/>
        <v>0</v>
      </c>
      <c r="S37">
        <f t="shared" si="2"/>
        <v>3</v>
      </c>
      <c r="T37">
        <f t="shared" si="10"/>
        <v>32</v>
      </c>
      <c r="U37" s="49">
        <f t="shared" si="21"/>
        <v>944</v>
      </c>
      <c r="V37" s="78">
        <f t="shared" si="11"/>
        <v>0</v>
      </c>
      <c r="W37" s="78">
        <f t="shared" ca="1" si="22"/>
        <v>0</v>
      </c>
      <c r="X37" s="78">
        <f>IFERROR(IF(OR(T37=0, U37&gt;=Refi_Origination_Date),0, PPMT(Mezz_I_Adj,'Loan Amort Table'!T37,Mezz_Amort_Periods,Mezz_Orig_Loan_Amount)),0)</f>
        <v>0</v>
      </c>
      <c r="Y37" s="78" cm="1">
        <f t="array" aca="1" ref="Y37" ca="1">IFERROR(_xlfn.IFS(U37&gt;=Refi_Origination_Date,0, Mezz_Amort = 0, -V37 * Mezz_I_Adj, 1, IPMT(Mezz_I_Adj,IF(T37 = 0, 1, T37),Mezz_Amort_Periods,Mezz_Orig_Loan_Amount)),0)</f>
        <v>0</v>
      </c>
      <c r="Z37" s="78">
        <f t="shared" si="23"/>
        <v>0</v>
      </c>
      <c r="AB37">
        <f t="shared" si="3"/>
        <v>3</v>
      </c>
      <c r="AC37">
        <f t="shared" si="14"/>
        <v>32</v>
      </c>
      <c r="AD37" s="49">
        <f t="shared" si="24"/>
        <v>944</v>
      </c>
      <c r="AE37" s="78">
        <f t="shared" si="15"/>
        <v>0</v>
      </c>
      <c r="AF37" s="78">
        <f t="shared" ca="1" si="25"/>
        <v>0</v>
      </c>
      <c r="AG37" s="78">
        <f ca="1">IFERROR(IF(AC37=0,0, PPMT(Refi_I_Adj,'Loan Amort Table'!AC37,Refi_Amort_Periods,Refi_Orig_Loan_Amount)),0)</f>
        <v>0</v>
      </c>
      <c r="AH37" s="78">
        <f t="shared" ca="1" si="4"/>
        <v>0</v>
      </c>
      <c r="AI37" s="78">
        <f t="shared" ca="1" si="26"/>
        <v>0</v>
      </c>
    </row>
    <row r="38" spans="1:35" x14ac:dyDescent="0.25">
      <c r="A38">
        <f t="shared" si="0"/>
        <v>3</v>
      </c>
      <c r="B38">
        <f t="shared" si="5"/>
        <v>33</v>
      </c>
      <c r="C38" s="49">
        <f t="shared" si="18"/>
        <v>975</v>
      </c>
      <c r="D38" s="78">
        <f>IF(C38&gt;EDATE(DATE(YEAR(SED_Origination_Date)+ SED_Amort, MONTH(SED_Origination_Date), DAY(SED_Origination_Date)),SED_Interest_Only),0,H37)</f>
        <v>0</v>
      </c>
      <c r="E38" s="78">
        <f t="shared" si="6"/>
        <v>0</v>
      </c>
      <c r="F38" s="78">
        <f>IFERROR(IF(OR(B38=0, C38&gt;=Refi_Origination_Date),0, PPMT(SED_I_Adj,'Loan Amort Table'!B38,SED_Amort_Periods,SED_Orig_Loan_Amount)),0)</f>
        <v>0</v>
      </c>
      <c r="G38" s="78" cm="1">
        <f t="array" ref="G38">IFERROR(_xlfn.IFS(C38&gt;=Refi_Origination_Date, 0, SED_Amort = 0, -D38 * SED_I_Adj, 1, IPMT(SED_I_Adj,IF(B38 = 0, 1, B38),SED_Amort_Periods,SED_Orig_Loan_Amount)),0)</f>
        <v>0</v>
      </c>
      <c r="H38" s="78">
        <f t="shared" si="27"/>
        <v>0</v>
      </c>
      <c r="J38">
        <f t="shared" si="1"/>
        <v>3</v>
      </c>
      <c r="K38">
        <f t="shared" si="7"/>
        <v>33</v>
      </c>
      <c r="L38" s="49">
        <f t="shared" si="20"/>
        <v>975</v>
      </c>
      <c r="M38" s="78">
        <f>IF(L38&gt;EDATE(DATE(YEAR(NEW_Origination_Date)+ NEW_Amort, MONTH(NEW_Origination_Date), DAY(NEW_Origination_Date)),NEW_Interest_Only),0,Q37)</f>
        <v>0</v>
      </c>
      <c r="N38" s="78">
        <f t="shared" si="8"/>
        <v>0</v>
      </c>
      <c r="O38" s="78">
        <f>IFERROR(IF(K38=0,0, PPMT(NEW_I_Adj,'Loan Amort Table'!K38,NEW_Amort_Periods,NEW_Orig_Loan_Amount)),0)</f>
        <v>0</v>
      </c>
      <c r="P38" s="78">
        <f>IFERROR(IF(NEW_Amort = 0, -M38* NEW_I_Adj,IPMT(NEW_I_Adj,IF(K38 = 0, 1, K38),NEW_Amort_Periods,NEW_Orig_Loan_Amount)),0)</f>
        <v>0</v>
      </c>
      <c r="Q38" s="78">
        <f t="shared" si="9"/>
        <v>0</v>
      </c>
      <c r="S38">
        <f t="shared" si="2"/>
        <v>3</v>
      </c>
      <c r="T38">
        <f t="shared" si="10"/>
        <v>33</v>
      </c>
      <c r="U38" s="49">
        <f t="shared" si="21"/>
        <v>975</v>
      </c>
      <c r="V38" s="78">
        <f t="shared" si="11"/>
        <v>0</v>
      </c>
      <c r="W38" s="78">
        <f t="shared" ca="1" si="22"/>
        <v>0</v>
      </c>
      <c r="X38" s="78">
        <f>IFERROR(IF(OR(T38=0, U38&gt;=Refi_Origination_Date),0, PPMT(Mezz_I_Adj,'Loan Amort Table'!T38,Mezz_Amort_Periods,Mezz_Orig_Loan_Amount)),0)</f>
        <v>0</v>
      </c>
      <c r="Y38" s="78" cm="1">
        <f t="array" aca="1" ref="Y38" ca="1">IFERROR(_xlfn.IFS(U38&gt;=Refi_Origination_Date,0, Mezz_Amort = 0, -V38 * Mezz_I_Adj, 1, IPMT(Mezz_I_Adj,IF(T38 = 0, 1, T38),Mezz_Amort_Periods,Mezz_Orig_Loan_Amount)),0)</f>
        <v>0</v>
      </c>
      <c r="Z38" s="78">
        <f t="shared" si="23"/>
        <v>0</v>
      </c>
      <c r="AB38">
        <f t="shared" si="3"/>
        <v>3</v>
      </c>
      <c r="AC38">
        <f t="shared" si="14"/>
        <v>33</v>
      </c>
      <c r="AD38" s="49">
        <f t="shared" si="24"/>
        <v>975</v>
      </c>
      <c r="AE38" s="78">
        <f t="shared" si="15"/>
        <v>0</v>
      </c>
      <c r="AF38" s="78">
        <f t="shared" ca="1" si="25"/>
        <v>0</v>
      </c>
      <c r="AG38" s="78">
        <f ca="1">IFERROR(IF(AC38=0,0, PPMT(Refi_I_Adj,'Loan Amort Table'!AC38,Refi_Amort_Periods,Refi_Orig_Loan_Amount)),0)</f>
        <v>0</v>
      </c>
      <c r="AH38" s="78">
        <f t="shared" ca="1" si="4"/>
        <v>0</v>
      </c>
      <c r="AI38" s="78">
        <f t="shared" ca="1" si="26"/>
        <v>0</v>
      </c>
    </row>
    <row r="39" spans="1:35" x14ac:dyDescent="0.25">
      <c r="A39">
        <f t="shared" si="0"/>
        <v>3</v>
      </c>
      <c r="B39">
        <f t="shared" si="5"/>
        <v>34</v>
      </c>
      <c r="C39" s="49">
        <f t="shared" si="18"/>
        <v>1005</v>
      </c>
      <c r="D39" s="78">
        <f>IF(C39&gt;EDATE(DATE(YEAR(SED_Origination_Date)+ SED_Amort, MONTH(SED_Origination_Date), DAY(SED_Origination_Date)),SED_Interest_Only),0,H38)</f>
        <v>0</v>
      </c>
      <c r="E39" s="78">
        <f t="shared" si="6"/>
        <v>0</v>
      </c>
      <c r="F39" s="78">
        <f>IFERROR(IF(OR(B39=0, C39&gt;=Refi_Origination_Date),0, PPMT(SED_I_Adj,'Loan Amort Table'!B39,SED_Amort_Periods,SED_Orig_Loan_Amount)),0)</f>
        <v>0</v>
      </c>
      <c r="G39" s="78" cm="1">
        <f t="array" ref="G39">IFERROR(_xlfn.IFS(C39&gt;=Refi_Origination_Date, 0, SED_Amort = 0, -D39 * SED_I_Adj, 1, IPMT(SED_I_Adj,IF(B39 = 0, 1, B39),SED_Amort_Periods,SED_Orig_Loan_Amount)),0)</f>
        <v>0</v>
      </c>
      <c r="H39" s="78">
        <f t="shared" si="27"/>
        <v>0</v>
      </c>
      <c r="J39">
        <f t="shared" si="1"/>
        <v>3</v>
      </c>
      <c r="K39">
        <f t="shared" si="7"/>
        <v>34</v>
      </c>
      <c r="L39" s="49">
        <f t="shared" si="20"/>
        <v>1005</v>
      </c>
      <c r="M39" s="78">
        <f>IF(L39&gt;EDATE(DATE(YEAR(NEW_Origination_Date)+ NEW_Amort, MONTH(NEW_Origination_Date), DAY(NEW_Origination_Date)),NEW_Interest_Only),0,Q38)</f>
        <v>0</v>
      </c>
      <c r="N39" s="78">
        <f t="shared" si="8"/>
        <v>0</v>
      </c>
      <c r="O39" s="78">
        <f>IFERROR(IF(K39=0,0, PPMT(NEW_I_Adj,'Loan Amort Table'!K39,NEW_Amort_Periods,NEW_Orig_Loan_Amount)),0)</f>
        <v>0</v>
      </c>
      <c r="P39" s="78">
        <f>IFERROR(IF(NEW_Amort = 0, -M39* NEW_I_Adj,IPMT(NEW_I_Adj,IF(K39 = 0, 1, K39),NEW_Amort_Periods,NEW_Orig_Loan_Amount)),0)</f>
        <v>0</v>
      </c>
      <c r="Q39" s="78">
        <f t="shared" si="9"/>
        <v>0</v>
      </c>
      <c r="S39">
        <f t="shared" si="2"/>
        <v>3</v>
      </c>
      <c r="T39">
        <f t="shared" si="10"/>
        <v>34</v>
      </c>
      <c r="U39" s="49">
        <f t="shared" si="21"/>
        <v>1005</v>
      </c>
      <c r="V39" s="78">
        <f t="shared" si="11"/>
        <v>0</v>
      </c>
      <c r="W39" s="78">
        <f t="shared" ca="1" si="22"/>
        <v>0</v>
      </c>
      <c r="X39" s="78">
        <f>IFERROR(IF(OR(T39=0, U39&gt;=Refi_Origination_Date),0, PPMT(Mezz_I_Adj,'Loan Amort Table'!T39,Mezz_Amort_Periods,Mezz_Orig_Loan_Amount)),0)</f>
        <v>0</v>
      </c>
      <c r="Y39" s="78" cm="1">
        <f t="array" aca="1" ref="Y39" ca="1">IFERROR(_xlfn.IFS(U39&gt;=Refi_Origination_Date,0, Mezz_Amort = 0, -V39 * Mezz_I_Adj, 1, IPMT(Mezz_I_Adj,IF(T39 = 0, 1, T39),Mezz_Amort_Periods,Mezz_Orig_Loan_Amount)),0)</f>
        <v>0</v>
      </c>
      <c r="Z39" s="78">
        <f t="shared" si="23"/>
        <v>0</v>
      </c>
      <c r="AB39">
        <f t="shared" si="3"/>
        <v>3</v>
      </c>
      <c r="AC39">
        <f t="shared" si="14"/>
        <v>34</v>
      </c>
      <c r="AD39" s="49">
        <f t="shared" si="24"/>
        <v>1005</v>
      </c>
      <c r="AE39" s="78">
        <f t="shared" si="15"/>
        <v>0</v>
      </c>
      <c r="AF39" s="78">
        <f t="shared" ca="1" si="25"/>
        <v>0</v>
      </c>
      <c r="AG39" s="78">
        <f ca="1">IFERROR(IF(AC39=0,0, PPMT(Refi_I_Adj,'Loan Amort Table'!AC39,Refi_Amort_Periods,Refi_Orig_Loan_Amount)),0)</f>
        <v>0</v>
      </c>
      <c r="AH39" s="78">
        <f t="shared" ca="1" si="4"/>
        <v>0</v>
      </c>
      <c r="AI39" s="78">
        <f t="shared" ca="1" si="26"/>
        <v>0</v>
      </c>
    </row>
    <row r="40" spans="1:35" x14ac:dyDescent="0.25">
      <c r="A40">
        <f t="shared" si="0"/>
        <v>3</v>
      </c>
      <c r="B40">
        <f t="shared" si="5"/>
        <v>35</v>
      </c>
      <c r="C40" s="49">
        <f t="shared" si="18"/>
        <v>1036</v>
      </c>
      <c r="D40" s="78">
        <f>IF(C40&gt;EDATE(DATE(YEAR(SED_Origination_Date)+ SED_Amort, MONTH(SED_Origination_Date), DAY(SED_Origination_Date)),SED_Interest_Only),0,H39)</f>
        <v>0</v>
      </c>
      <c r="E40" s="78">
        <f t="shared" si="6"/>
        <v>0</v>
      </c>
      <c r="F40" s="78">
        <f>IFERROR(IF(OR(B40=0, C40&gt;=Refi_Origination_Date),0, PPMT(SED_I_Adj,'Loan Amort Table'!B40,SED_Amort_Periods,SED_Orig_Loan_Amount)),0)</f>
        <v>0</v>
      </c>
      <c r="G40" s="78" cm="1">
        <f t="array" ref="G40">IFERROR(_xlfn.IFS(C40&gt;=Refi_Origination_Date, 0, SED_Amort = 0, -D40 * SED_I_Adj, 1, IPMT(SED_I_Adj,IF(B40 = 0, 1, B40),SED_Amort_Periods,SED_Orig_Loan_Amount)),0)</f>
        <v>0</v>
      </c>
      <c r="H40" s="78">
        <f t="shared" si="27"/>
        <v>0</v>
      </c>
      <c r="J40">
        <f t="shared" si="1"/>
        <v>3</v>
      </c>
      <c r="K40">
        <f t="shared" si="7"/>
        <v>35</v>
      </c>
      <c r="L40" s="49">
        <f t="shared" si="20"/>
        <v>1036</v>
      </c>
      <c r="M40" s="78">
        <f>IF(L40&gt;EDATE(DATE(YEAR(NEW_Origination_Date)+ NEW_Amort, MONTH(NEW_Origination_Date), DAY(NEW_Origination_Date)),NEW_Interest_Only),0,Q39)</f>
        <v>0</v>
      </c>
      <c r="N40" s="78">
        <f t="shared" si="8"/>
        <v>0</v>
      </c>
      <c r="O40" s="78">
        <f>IFERROR(IF(K40=0,0, PPMT(NEW_I_Adj,'Loan Amort Table'!K40,NEW_Amort_Periods,NEW_Orig_Loan_Amount)),0)</f>
        <v>0</v>
      </c>
      <c r="P40" s="78">
        <f>IFERROR(IF(NEW_Amort = 0, -M40* NEW_I_Adj,IPMT(NEW_I_Adj,IF(K40 = 0, 1, K40),NEW_Amort_Periods,NEW_Orig_Loan_Amount)),0)</f>
        <v>0</v>
      </c>
      <c r="Q40" s="78">
        <f t="shared" si="9"/>
        <v>0</v>
      </c>
      <c r="S40">
        <f t="shared" si="2"/>
        <v>3</v>
      </c>
      <c r="T40">
        <f t="shared" si="10"/>
        <v>35</v>
      </c>
      <c r="U40" s="49">
        <f t="shared" si="21"/>
        <v>1036</v>
      </c>
      <c r="V40" s="78">
        <f t="shared" si="11"/>
        <v>0</v>
      </c>
      <c r="W40" s="78">
        <f t="shared" ca="1" si="22"/>
        <v>0</v>
      </c>
      <c r="X40" s="78">
        <f>IFERROR(IF(OR(T40=0, U40&gt;=Refi_Origination_Date),0, PPMT(Mezz_I_Adj,'Loan Amort Table'!T40,Mezz_Amort_Periods,Mezz_Orig_Loan_Amount)),0)</f>
        <v>0</v>
      </c>
      <c r="Y40" s="78" cm="1">
        <f t="array" aca="1" ref="Y40" ca="1">IFERROR(_xlfn.IFS(U40&gt;=Refi_Origination_Date,0, Mezz_Amort = 0, -V40 * Mezz_I_Adj, 1, IPMT(Mezz_I_Adj,IF(T40 = 0, 1, T40),Mezz_Amort_Periods,Mezz_Orig_Loan_Amount)),0)</f>
        <v>0</v>
      </c>
      <c r="Z40" s="78">
        <f t="shared" si="23"/>
        <v>0</v>
      </c>
      <c r="AB40">
        <f t="shared" si="3"/>
        <v>3</v>
      </c>
      <c r="AC40">
        <f t="shared" si="14"/>
        <v>35</v>
      </c>
      <c r="AD40" s="49">
        <f t="shared" si="24"/>
        <v>1036</v>
      </c>
      <c r="AE40" s="78">
        <f t="shared" si="15"/>
        <v>0</v>
      </c>
      <c r="AF40" s="78">
        <f t="shared" ca="1" si="25"/>
        <v>0</v>
      </c>
      <c r="AG40" s="78">
        <f ca="1">IFERROR(IF(AC40=0,0, PPMT(Refi_I_Adj,'Loan Amort Table'!AC40,Refi_Amort_Periods,Refi_Orig_Loan_Amount)),0)</f>
        <v>0</v>
      </c>
      <c r="AH40" s="78">
        <f t="shared" ca="1" si="4"/>
        <v>0</v>
      </c>
      <c r="AI40" s="78">
        <f t="shared" ca="1" si="26"/>
        <v>0</v>
      </c>
    </row>
    <row r="41" spans="1:35" x14ac:dyDescent="0.25">
      <c r="A41">
        <f t="shared" si="0"/>
        <v>3</v>
      </c>
      <c r="B41">
        <f t="shared" si="5"/>
        <v>36</v>
      </c>
      <c r="C41" s="49">
        <f t="shared" si="18"/>
        <v>1066</v>
      </c>
      <c r="D41" s="78">
        <f>IF(C41&gt;EDATE(DATE(YEAR(SED_Origination_Date)+ SED_Amort, MONTH(SED_Origination_Date), DAY(SED_Origination_Date)),SED_Interest_Only),0,H40)</f>
        <v>0</v>
      </c>
      <c r="E41" s="78">
        <f t="shared" si="6"/>
        <v>0</v>
      </c>
      <c r="F41" s="78">
        <f>IFERROR(IF(OR(B41=0, C41&gt;=Refi_Origination_Date),0, PPMT(SED_I_Adj,'Loan Amort Table'!B41,SED_Amort_Periods,SED_Orig_Loan_Amount)),0)</f>
        <v>0</v>
      </c>
      <c r="G41" s="78" cm="1">
        <f t="array" ref="G41">IFERROR(_xlfn.IFS(C41&gt;=Refi_Origination_Date, 0, SED_Amort = 0, -D41 * SED_I_Adj, 1, IPMT(SED_I_Adj,IF(B41 = 0, 1, B41),SED_Amort_Periods,SED_Orig_Loan_Amount)),0)</f>
        <v>0</v>
      </c>
      <c r="H41" s="78">
        <f t="shared" si="27"/>
        <v>0</v>
      </c>
      <c r="J41">
        <f t="shared" si="1"/>
        <v>3</v>
      </c>
      <c r="K41">
        <f t="shared" si="7"/>
        <v>36</v>
      </c>
      <c r="L41" s="49">
        <f t="shared" si="20"/>
        <v>1066</v>
      </c>
      <c r="M41" s="78">
        <f>IF(L41&gt;EDATE(DATE(YEAR(NEW_Origination_Date)+ NEW_Amort, MONTH(NEW_Origination_Date), DAY(NEW_Origination_Date)),NEW_Interest_Only),0,Q40)</f>
        <v>0</v>
      </c>
      <c r="N41" s="78">
        <f t="shared" si="8"/>
        <v>0</v>
      </c>
      <c r="O41" s="78">
        <f>IFERROR(IF(K41=0,0, PPMT(NEW_I_Adj,'Loan Amort Table'!K41,NEW_Amort_Periods,NEW_Orig_Loan_Amount)),0)</f>
        <v>0</v>
      </c>
      <c r="P41" s="78">
        <f>IFERROR(IF(NEW_Amort = 0, -M41* NEW_I_Adj,IPMT(NEW_I_Adj,IF(K41 = 0, 1, K41),NEW_Amort_Periods,NEW_Orig_Loan_Amount)),0)</f>
        <v>0</v>
      </c>
      <c r="Q41" s="78">
        <f t="shared" si="9"/>
        <v>0</v>
      </c>
      <c r="S41">
        <f t="shared" si="2"/>
        <v>3</v>
      </c>
      <c r="T41">
        <f t="shared" si="10"/>
        <v>36</v>
      </c>
      <c r="U41" s="49">
        <f t="shared" si="21"/>
        <v>1066</v>
      </c>
      <c r="V41" s="78">
        <f t="shared" si="11"/>
        <v>0</v>
      </c>
      <c r="W41" s="78">
        <f t="shared" ca="1" si="22"/>
        <v>0</v>
      </c>
      <c r="X41" s="78">
        <f>IFERROR(IF(OR(T41=0, U41&gt;=Refi_Origination_Date),0, PPMT(Mezz_I_Adj,'Loan Amort Table'!T41,Mezz_Amort_Periods,Mezz_Orig_Loan_Amount)),0)</f>
        <v>0</v>
      </c>
      <c r="Y41" s="78" cm="1">
        <f t="array" aca="1" ref="Y41" ca="1">IFERROR(_xlfn.IFS(U41&gt;=Refi_Origination_Date,0, Mezz_Amort = 0, -V41 * Mezz_I_Adj, 1, IPMT(Mezz_I_Adj,IF(T41 = 0, 1, T41),Mezz_Amort_Periods,Mezz_Orig_Loan_Amount)),0)</f>
        <v>0</v>
      </c>
      <c r="Z41" s="78">
        <f t="shared" si="23"/>
        <v>0</v>
      </c>
      <c r="AB41">
        <f t="shared" si="3"/>
        <v>3</v>
      </c>
      <c r="AC41">
        <f t="shared" si="14"/>
        <v>36</v>
      </c>
      <c r="AD41" s="49">
        <f t="shared" si="24"/>
        <v>1066</v>
      </c>
      <c r="AE41" s="78">
        <f t="shared" si="15"/>
        <v>0</v>
      </c>
      <c r="AF41" s="78">
        <f t="shared" ca="1" si="25"/>
        <v>0</v>
      </c>
      <c r="AG41" s="78">
        <f ca="1">IFERROR(IF(AC41=0,0, PPMT(Refi_I_Adj,'Loan Amort Table'!AC41,Refi_Amort_Periods,Refi_Orig_Loan_Amount)),0)</f>
        <v>0</v>
      </c>
      <c r="AH41" s="78">
        <f t="shared" ca="1" si="4"/>
        <v>0</v>
      </c>
      <c r="AI41" s="78">
        <f t="shared" ca="1" si="26"/>
        <v>0</v>
      </c>
    </row>
    <row r="42" spans="1:35" x14ac:dyDescent="0.25">
      <c r="A42">
        <f t="shared" si="0"/>
        <v>4</v>
      </c>
      <c r="B42">
        <f t="shared" si="5"/>
        <v>37</v>
      </c>
      <c r="C42" s="49">
        <f t="shared" si="18"/>
        <v>1097</v>
      </c>
      <c r="D42" s="78">
        <f>IF(C42&gt;EDATE(DATE(YEAR(SED_Origination_Date)+ SED_Amort, MONTH(SED_Origination_Date), DAY(SED_Origination_Date)),SED_Interest_Only),0,H41)</f>
        <v>0</v>
      </c>
      <c r="E42" s="78">
        <f t="shared" si="6"/>
        <v>0</v>
      </c>
      <c r="F42" s="78">
        <f>IFERROR(IF(OR(B42=0, C42&gt;=Refi_Origination_Date),0, PPMT(SED_I_Adj,'Loan Amort Table'!B42,SED_Amort_Periods,SED_Orig_Loan_Amount)),0)</f>
        <v>0</v>
      </c>
      <c r="G42" s="78" cm="1">
        <f t="array" ref="G42">IFERROR(_xlfn.IFS(C42&gt;=Refi_Origination_Date, 0, SED_Amort = 0, -D42 * SED_I_Adj, 1, IPMT(SED_I_Adj,IF(B42 = 0, 1, B42),SED_Amort_Periods,SED_Orig_Loan_Amount)),0)</f>
        <v>0</v>
      </c>
      <c r="H42" s="78">
        <f t="shared" si="27"/>
        <v>0</v>
      </c>
      <c r="J42">
        <f t="shared" si="1"/>
        <v>4</v>
      </c>
      <c r="K42">
        <f t="shared" si="7"/>
        <v>37</v>
      </c>
      <c r="L42" s="49">
        <f t="shared" si="20"/>
        <v>1097</v>
      </c>
      <c r="M42" s="78">
        <f>IF(L42&gt;EDATE(DATE(YEAR(NEW_Origination_Date)+ NEW_Amort, MONTH(NEW_Origination_Date), DAY(NEW_Origination_Date)),NEW_Interest_Only),0,Q41)</f>
        <v>0</v>
      </c>
      <c r="N42" s="78">
        <f t="shared" si="8"/>
        <v>0</v>
      </c>
      <c r="O42" s="78">
        <f>IFERROR(IF(K42=0,0, PPMT(NEW_I_Adj,'Loan Amort Table'!K42,NEW_Amort_Periods,NEW_Orig_Loan_Amount)),0)</f>
        <v>0</v>
      </c>
      <c r="P42" s="78">
        <f>IFERROR(IF(NEW_Amort = 0, -M42* NEW_I_Adj,IPMT(NEW_I_Adj,IF(K42 = 0, 1, K42),NEW_Amort_Periods,NEW_Orig_Loan_Amount)),0)</f>
        <v>0</v>
      </c>
      <c r="Q42" s="78">
        <f t="shared" si="9"/>
        <v>0</v>
      </c>
      <c r="S42">
        <f t="shared" si="2"/>
        <v>4</v>
      </c>
      <c r="T42">
        <f t="shared" si="10"/>
        <v>37</v>
      </c>
      <c r="U42" s="49">
        <f t="shared" si="21"/>
        <v>1097</v>
      </c>
      <c r="V42" s="78">
        <f t="shared" si="11"/>
        <v>0</v>
      </c>
      <c r="W42" s="78">
        <f t="shared" ca="1" si="22"/>
        <v>0</v>
      </c>
      <c r="X42" s="78">
        <f>IFERROR(IF(OR(T42=0, U42&gt;=Refi_Origination_Date),0, PPMT(Mezz_I_Adj,'Loan Amort Table'!T42,Mezz_Amort_Periods,Mezz_Orig_Loan_Amount)),0)</f>
        <v>0</v>
      </c>
      <c r="Y42" s="78" cm="1">
        <f t="array" aca="1" ref="Y42" ca="1">IFERROR(_xlfn.IFS(U42&gt;=Refi_Origination_Date,0, Mezz_Amort = 0, -V42 * Mezz_I_Adj, 1, IPMT(Mezz_I_Adj,IF(T42 = 0, 1, T42),Mezz_Amort_Periods,Mezz_Orig_Loan_Amount)),0)</f>
        <v>0</v>
      </c>
      <c r="Z42" s="78">
        <f t="shared" si="23"/>
        <v>0</v>
      </c>
      <c r="AB42">
        <f t="shared" si="3"/>
        <v>4</v>
      </c>
      <c r="AC42">
        <f t="shared" si="14"/>
        <v>37</v>
      </c>
      <c r="AD42" s="49">
        <f t="shared" si="24"/>
        <v>1097</v>
      </c>
      <c r="AE42" s="78">
        <f t="shared" si="15"/>
        <v>0</v>
      </c>
      <c r="AF42" s="78">
        <f t="shared" ca="1" si="25"/>
        <v>0</v>
      </c>
      <c r="AG42" s="78">
        <f ca="1">IFERROR(IF(AC42=0,0, PPMT(Refi_I_Adj,'Loan Amort Table'!AC42,Refi_Amort_Periods,Refi_Orig_Loan_Amount)),0)</f>
        <v>0</v>
      </c>
      <c r="AH42" s="78">
        <f t="shared" ca="1" si="4"/>
        <v>0</v>
      </c>
      <c r="AI42" s="78">
        <f t="shared" ca="1" si="26"/>
        <v>0</v>
      </c>
    </row>
    <row r="43" spans="1:35" x14ac:dyDescent="0.25">
      <c r="A43">
        <f t="shared" si="0"/>
        <v>4</v>
      </c>
      <c r="B43">
        <f t="shared" si="5"/>
        <v>38</v>
      </c>
      <c r="C43" s="49">
        <f t="shared" si="18"/>
        <v>1128</v>
      </c>
      <c r="D43" s="78">
        <f>IF(C43&gt;EDATE(DATE(YEAR(SED_Origination_Date)+ SED_Amort, MONTH(SED_Origination_Date), DAY(SED_Origination_Date)),SED_Interest_Only),0,H42)</f>
        <v>0</v>
      </c>
      <c r="E43" s="78">
        <f t="shared" si="6"/>
        <v>0</v>
      </c>
      <c r="F43" s="78">
        <f>IFERROR(IF(OR(B43=0, C43&gt;=Refi_Origination_Date),0, PPMT(SED_I_Adj,'Loan Amort Table'!B43,SED_Amort_Periods,SED_Orig_Loan_Amount)),0)</f>
        <v>0</v>
      </c>
      <c r="G43" s="78" cm="1">
        <f t="array" ref="G43">IFERROR(_xlfn.IFS(C43&gt;=Refi_Origination_Date, 0, SED_Amort = 0, -D43 * SED_I_Adj, 1, IPMT(SED_I_Adj,IF(B43 = 0, 1, B43),SED_Amort_Periods,SED_Orig_Loan_Amount)),0)</f>
        <v>0</v>
      </c>
      <c r="H43" s="78">
        <f t="shared" si="27"/>
        <v>0</v>
      </c>
      <c r="J43">
        <f t="shared" si="1"/>
        <v>4</v>
      </c>
      <c r="K43">
        <f t="shared" si="7"/>
        <v>38</v>
      </c>
      <c r="L43" s="49">
        <f t="shared" si="20"/>
        <v>1128</v>
      </c>
      <c r="M43" s="78">
        <f>IF(L43&gt;EDATE(DATE(YEAR(NEW_Origination_Date)+ NEW_Amort, MONTH(NEW_Origination_Date), DAY(NEW_Origination_Date)),NEW_Interest_Only),0,Q42)</f>
        <v>0</v>
      </c>
      <c r="N43" s="78">
        <f t="shared" si="8"/>
        <v>0</v>
      </c>
      <c r="O43" s="78">
        <f>IFERROR(IF(K43=0,0, PPMT(NEW_I_Adj,'Loan Amort Table'!K43,NEW_Amort_Periods,NEW_Orig_Loan_Amount)),0)</f>
        <v>0</v>
      </c>
      <c r="P43" s="78">
        <f>IFERROR(IF(NEW_Amort = 0, -M43* NEW_I_Adj,IPMT(NEW_I_Adj,IF(K43 = 0, 1, K43),NEW_Amort_Periods,NEW_Orig_Loan_Amount)),0)</f>
        <v>0</v>
      </c>
      <c r="Q43" s="78">
        <f t="shared" si="9"/>
        <v>0</v>
      </c>
      <c r="S43">
        <f t="shared" si="2"/>
        <v>4</v>
      </c>
      <c r="T43">
        <f t="shared" si="10"/>
        <v>38</v>
      </c>
      <c r="U43" s="49">
        <f t="shared" si="21"/>
        <v>1128</v>
      </c>
      <c r="V43" s="78">
        <f t="shared" si="11"/>
        <v>0</v>
      </c>
      <c r="W43" s="78">
        <f t="shared" ca="1" si="22"/>
        <v>0</v>
      </c>
      <c r="X43" s="78">
        <f>IFERROR(IF(OR(T43=0, U43&gt;=Refi_Origination_Date),0, PPMT(Mezz_I_Adj,'Loan Amort Table'!T43,Mezz_Amort_Periods,Mezz_Orig_Loan_Amount)),0)</f>
        <v>0</v>
      </c>
      <c r="Y43" s="78" cm="1">
        <f t="array" aca="1" ref="Y43" ca="1">IFERROR(_xlfn.IFS(U43&gt;=Refi_Origination_Date,0, Mezz_Amort = 0, -V43 * Mezz_I_Adj, 1, IPMT(Mezz_I_Adj,IF(T43 = 0, 1, T43),Mezz_Amort_Periods,Mezz_Orig_Loan_Amount)),0)</f>
        <v>0</v>
      </c>
      <c r="Z43" s="78">
        <f t="shared" si="23"/>
        <v>0</v>
      </c>
      <c r="AB43">
        <f t="shared" si="3"/>
        <v>4</v>
      </c>
      <c r="AC43">
        <f t="shared" si="14"/>
        <v>38</v>
      </c>
      <c r="AD43" s="49">
        <f t="shared" si="24"/>
        <v>1128</v>
      </c>
      <c r="AE43" s="78">
        <f t="shared" si="15"/>
        <v>0</v>
      </c>
      <c r="AF43" s="78">
        <f t="shared" ca="1" si="25"/>
        <v>0</v>
      </c>
      <c r="AG43" s="78">
        <f ca="1">IFERROR(IF(AC43=0,0, PPMT(Refi_I_Adj,'Loan Amort Table'!AC43,Refi_Amort_Periods,Refi_Orig_Loan_Amount)),0)</f>
        <v>0</v>
      </c>
      <c r="AH43" s="78">
        <f t="shared" ca="1" si="4"/>
        <v>0</v>
      </c>
      <c r="AI43" s="78">
        <f t="shared" ca="1" si="26"/>
        <v>0</v>
      </c>
    </row>
    <row r="44" spans="1:35" x14ac:dyDescent="0.25">
      <c r="A44">
        <f t="shared" si="0"/>
        <v>4</v>
      </c>
      <c r="B44">
        <f t="shared" si="5"/>
        <v>39</v>
      </c>
      <c r="C44" s="49">
        <f t="shared" si="18"/>
        <v>1156</v>
      </c>
      <c r="D44" s="78">
        <f>IF(C44&gt;EDATE(DATE(YEAR(SED_Origination_Date)+ SED_Amort, MONTH(SED_Origination_Date), DAY(SED_Origination_Date)),SED_Interest_Only),0,H43)</f>
        <v>0</v>
      </c>
      <c r="E44" s="78">
        <f t="shared" si="6"/>
        <v>0</v>
      </c>
      <c r="F44" s="78">
        <f>IFERROR(IF(OR(B44=0, C44&gt;=Refi_Origination_Date),0, PPMT(SED_I_Adj,'Loan Amort Table'!B44,SED_Amort_Periods,SED_Orig_Loan_Amount)),0)</f>
        <v>0</v>
      </c>
      <c r="G44" s="78" cm="1">
        <f t="array" ref="G44">IFERROR(_xlfn.IFS(C44&gt;=Refi_Origination_Date, 0, SED_Amort = 0, -D44 * SED_I_Adj, 1, IPMT(SED_I_Adj,IF(B44 = 0, 1, B44),SED_Amort_Periods,SED_Orig_Loan_Amount)),0)</f>
        <v>0</v>
      </c>
      <c r="H44" s="78">
        <f t="shared" si="27"/>
        <v>0</v>
      </c>
      <c r="J44">
        <f t="shared" si="1"/>
        <v>4</v>
      </c>
      <c r="K44">
        <f t="shared" si="7"/>
        <v>39</v>
      </c>
      <c r="L44" s="49">
        <f t="shared" si="20"/>
        <v>1156</v>
      </c>
      <c r="M44" s="78">
        <f>IF(L44&gt;EDATE(DATE(YEAR(NEW_Origination_Date)+ NEW_Amort, MONTH(NEW_Origination_Date), DAY(NEW_Origination_Date)),NEW_Interest_Only),0,Q43)</f>
        <v>0</v>
      </c>
      <c r="N44" s="78">
        <f t="shared" si="8"/>
        <v>0</v>
      </c>
      <c r="O44" s="78">
        <f>IFERROR(IF(K44=0,0, PPMT(NEW_I_Adj,'Loan Amort Table'!K44,NEW_Amort_Periods,NEW_Orig_Loan_Amount)),0)</f>
        <v>0</v>
      </c>
      <c r="P44" s="78">
        <f>IFERROR(IF(NEW_Amort = 0, -M44* NEW_I_Adj,IPMT(NEW_I_Adj,IF(K44 = 0, 1, K44),NEW_Amort_Periods,NEW_Orig_Loan_Amount)),0)</f>
        <v>0</v>
      </c>
      <c r="Q44" s="78">
        <f t="shared" si="9"/>
        <v>0</v>
      </c>
      <c r="S44">
        <f t="shared" si="2"/>
        <v>4</v>
      </c>
      <c r="T44">
        <f t="shared" si="10"/>
        <v>39</v>
      </c>
      <c r="U44" s="49">
        <f t="shared" si="21"/>
        <v>1156</v>
      </c>
      <c r="V44" s="78">
        <f t="shared" si="11"/>
        <v>0</v>
      </c>
      <c r="W44" s="78">
        <f t="shared" ca="1" si="22"/>
        <v>0</v>
      </c>
      <c r="X44" s="78">
        <f>IFERROR(IF(OR(T44=0, U44&gt;=Refi_Origination_Date),0, PPMT(Mezz_I_Adj,'Loan Amort Table'!T44,Mezz_Amort_Periods,Mezz_Orig_Loan_Amount)),0)</f>
        <v>0</v>
      </c>
      <c r="Y44" s="78" cm="1">
        <f t="array" aca="1" ref="Y44" ca="1">IFERROR(_xlfn.IFS(U44&gt;=Refi_Origination_Date,0, Mezz_Amort = 0, -V44 * Mezz_I_Adj, 1, IPMT(Mezz_I_Adj,IF(T44 = 0, 1, T44),Mezz_Amort_Periods,Mezz_Orig_Loan_Amount)),0)</f>
        <v>0</v>
      </c>
      <c r="Z44" s="78">
        <f t="shared" si="23"/>
        <v>0</v>
      </c>
      <c r="AB44">
        <f t="shared" si="3"/>
        <v>4</v>
      </c>
      <c r="AC44">
        <f t="shared" si="14"/>
        <v>39</v>
      </c>
      <c r="AD44" s="49">
        <f t="shared" si="24"/>
        <v>1156</v>
      </c>
      <c r="AE44" s="78">
        <f t="shared" si="15"/>
        <v>0</v>
      </c>
      <c r="AF44" s="78">
        <f t="shared" ca="1" si="25"/>
        <v>0</v>
      </c>
      <c r="AG44" s="78">
        <f ca="1">IFERROR(IF(AC44=0,0, PPMT(Refi_I_Adj,'Loan Amort Table'!AC44,Refi_Amort_Periods,Refi_Orig_Loan_Amount)),0)</f>
        <v>0</v>
      </c>
      <c r="AH44" s="78">
        <f t="shared" ca="1" si="4"/>
        <v>0</v>
      </c>
      <c r="AI44" s="78">
        <f t="shared" ca="1" si="26"/>
        <v>0</v>
      </c>
    </row>
    <row r="45" spans="1:35" x14ac:dyDescent="0.25">
      <c r="A45">
        <f t="shared" si="0"/>
        <v>4</v>
      </c>
      <c r="B45">
        <f t="shared" si="5"/>
        <v>40</v>
      </c>
      <c r="C45" s="49">
        <f t="shared" si="18"/>
        <v>1187</v>
      </c>
      <c r="D45" s="78">
        <f>IF(C45&gt;EDATE(DATE(YEAR(SED_Origination_Date)+ SED_Amort, MONTH(SED_Origination_Date), DAY(SED_Origination_Date)),SED_Interest_Only),0,H44)</f>
        <v>0</v>
      </c>
      <c r="E45" s="78">
        <f t="shared" si="6"/>
        <v>0</v>
      </c>
      <c r="F45" s="78">
        <f>IFERROR(IF(OR(B45=0, C45&gt;=Refi_Origination_Date),0, PPMT(SED_I_Adj,'Loan Amort Table'!B45,SED_Amort_Periods,SED_Orig_Loan_Amount)),0)</f>
        <v>0</v>
      </c>
      <c r="G45" s="78" cm="1">
        <f t="array" ref="G45">IFERROR(_xlfn.IFS(C45&gt;=Refi_Origination_Date, 0, SED_Amort = 0, -D45 * SED_I_Adj, 1, IPMT(SED_I_Adj,IF(B45 = 0, 1, B45),SED_Amort_Periods,SED_Orig_Loan_Amount)),0)</f>
        <v>0</v>
      </c>
      <c r="H45" s="78">
        <f t="shared" si="27"/>
        <v>0</v>
      </c>
      <c r="J45">
        <f t="shared" si="1"/>
        <v>4</v>
      </c>
      <c r="K45">
        <f t="shared" si="7"/>
        <v>40</v>
      </c>
      <c r="L45" s="49">
        <f t="shared" si="20"/>
        <v>1187</v>
      </c>
      <c r="M45" s="78">
        <f>IF(L45&gt;EDATE(DATE(YEAR(NEW_Origination_Date)+ NEW_Amort, MONTH(NEW_Origination_Date), DAY(NEW_Origination_Date)),NEW_Interest_Only),0,Q44)</f>
        <v>0</v>
      </c>
      <c r="N45" s="78">
        <f t="shared" si="8"/>
        <v>0</v>
      </c>
      <c r="O45" s="78">
        <f>IFERROR(IF(K45=0,0, PPMT(NEW_I_Adj,'Loan Amort Table'!K45,NEW_Amort_Periods,NEW_Orig_Loan_Amount)),0)</f>
        <v>0</v>
      </c>
      <c r="P45" s="78">
        <f>IFERROR(IF(NEW_Amort = 0, -M45* NEW_I_Adj,IPMT(NEW_I_Adj,IF(K45 = 0, 1, K45),NEW_Amort_Periods,NEW_Orig_Loan_Amount)),0)</f>
        <v>0</v>
      </c>
      <c r="Q45" s="78">
        <f t="shared" si="9"/>
        <v>0</v>
      </c>
      <c r="S45">
        <f t="shared" si="2"/>
        <v>4</v>
      </c>
      <c r="T45">
        <f t="shared" si="10"/>
        <v>40</v>
      </c>
      <c r="U45" s="49">
        <f t="shared" si="21"/>
        <v>1187</v>
      </c>
      <c r="V45" s="78">
        <f t="shared" si="11"/>
        <v>0</v>
      </c>
      <c r="W45" s="78">
        <f t="shared" ca="1" si="22"/>
        <v>0</v>
      </c>
      <c r="X45" s="78">
        <f>IFERROR(IF(OR(T45=0, U45&gt;=Refi_Origination_Date),0, PPMT(Mezz_I_Adj,'Loan Amort Table'!T45,Mezz_Amort_Periods,Mezz_Orig_Loan_Amount)),0)</f>
        <v>0</v>
      </c>
      <c r="Y45" s="78" cm="1">
        <f t="array" aca="1" ref="Y45" ca="1">IFERROR(_xlfn.IFS(U45&gt;=Refi_Origination_Date,0, Mezz_Amort = 0, -V45 * Mezz_I_Adj, 1, IPMT(Mezz_I_Adj,IF(T45 = 0, 1, T45),Mezz_Amort_Periods,Mezz_Orig_Loan_Amount)),0)</f>
        <v>0</v>
      </c>
      <c r="Z45" s="78">
        <f t="shared" si="23"/>
        <v>0</v>
      </c>
      <c r="AB45">
        <f t="shared" si="3"/>
        <v>4</v>
      </c>
      <c r="AC45">
        <f t="shared" si="14"/>
        <v>40</v>
      </c>
      <c r="AD45" s="49">
        <f t="shared" si="24"/>
        <v>1187</v>
      </c>
      <c r="AE45" s="78">
        <f t="shared" si="15"/>
        <v>0</v>
      </c>
      <c r="AF45" s="78">
        <f t="shared" ca="1" si="25"/>
        <v>0</v>
      </c>
      <c r="AG45" s="78">
        <f ca="1">IFERROR(IF(AC45=0,0, PPMT(Refi_I_Adj,'Loan Amort Table'!AC45,Refi_Amort_Periods,Refi_Orig_Loan_Amount)),0)</f>
        <v>0</v>
      </c>
      <c r="AH45" s="78">
        <f t="shared" ca="1" si="4"/>
        <v>0</v>
      </c>
      <c r="AI45" s="78">
        <f t="shared" ca="1" si="26"/>
        <v>0</v>
      </c>
    </row>
    <row r="46" spans="1:35" x14ac:dyDescent="0.25">
      <c r="A46">
        <f t="shared" si="0"/>
        <v>4</v>
      </c>
      <c r="B46">
        <f t="shared" si="5"/>
        <v>41</v>
      </c>
      <c r="C46" s="49">
        <f t="shared" si="18"/>
        <v>1217</v>
      </c>
      <c r="D46" s="78">
        <f>IF(C46&gt;EDATE(DATE(YEAR(SED_Origination_Date)+ SED_Amort, MONTH(SED_Origination_Date), DAY(SED_Origination_Date)),SED_Interest_Only),0,H45)</f>
        <v>0</v>
      </c>
      <c r="E46" s="78">
        <f t="shared" si="6"/>
        <v>0</v>
      </c>
      <c r="F46" s="78">
        <f>IFERROR(IF(OR(B46=0, C46&gt;=Refi_Origination_Date),0, PPMT(SED_I_Adj,'Loan Amort Table'!B46,SED_Amort_Periods,SED_Orig_Loan_Amount)),0)</f>
        <v>0</v>
      </c>
      <c r="G46" s="78" cm="1">
        <f t="array" ref="G46">IFERROR(_xlfn.IFS(C46&gt;=Refi_Origination_Date, 0, SED_Amort = 0, -D46 * SED_I_Adj, 1, IPMT(SED_I_Adj,IF(B46 = 0, 1, B46),SED_Amort_Periods,SED_Orig_Loan_Amount)),0)</f>
        <v>0</v>
      </c>
      <c r="H46" s="78">
        <f t="shared" si="27"/>
        <v>0</v>
      </c>
      <c r="J46">
        <f t="shared" si="1"/>
        <v>4</v>
      </c>
      <c r="K46">
        <f t="shared" si="7"/>
        <v>41</v>
      </c>
      <c r="L46" s="49">
        <f t="shared" si="20"/>
        <v>1217</v>
      </c>
      <c r="M46" s="78">
        <f>IF(L46&gt;EDATE(DATE(YEAR(NEW_Origination_Date)+ NEW_Amort, MONTH(NEW_Origination_Date), DAY(NEW_Origination_Date)),NEW_Interest_Only),0,Q45)</f>
        <v>0</v>
      </c>
      <c r="N46" s="78">
        <f t="shared" si="8"/>
        <v>0</v>
      </c>
      <c r="O46" s="78">
        <f>IFERROR(IF(K46=0,0, PPMT(NEW_I_Adj,'Loan Amort Table'!K46,NEW_Amort_Periods,NEW_Orig_Loan_Amount)),0)</f>
        <v>0</v>
      </c>
      <c r="P46" s="78">
        <f>IFERROR(IF(NEW_Amort = 0, -M46* NEW_I_Adj,IPMT(NEW_I_Adj,IF(K46 = 0, 1, K46),NEW_Amort_Periods,NEW_Orig_Loan_Amount)),0)</f>
        <v>0</v>
      </c>
      <c r="Q46" s="78">
        <f t="shared" si="9"/>
        <v>0</v>
      </c>
      <c r="S46">
        <f t="shared" si="2"/>
        <v>4</v>
      </c>
      <c r="T46">
        <f t="shared" si="10"/>
        <v>41</v>
      </c>
      <c r="U46" s="49">
        <f t="shared" si="21"/>
        <v>1217</v>
      </c>
      <c r="V46" s="78">
        <f t="shared" si="11"/>
        <v>0</v>
      </c>
      <c r="W46" s="78">
        <f t="shared" ca="1" si="22"/>
        <v>0</v>
      </c>
      <c r="X46" s="78">
        <f>IFERROR(IF(OR(T46=0, U46&gt;=Refi_Origination_Date),0, PPMT(Mezz_I_Adj,'Loan Amort Table'!T46,Mezz_Amort_Periods,Mezz_Orig_Loan_Amount)),0)</f>
        <v>0</v>
      </c>
      <c r="Y46" s="78" cm="1">
        <f t="array" aca="1" ref="Y46" ca="1">IFERROR(_xlfn.IFS(U46&gt;=Refi_Origination_Date,0, Mezz_Amort = 0, -V46 * Mezz_I_Adj, 1, IPMT(Mezz_I_Adj,IF(T46 = 0, 1, T46),Mezz_Amort_Periods,Mezz_Orig_Loan_Amount)),0)</f>
        <v>0</v>
      </c>
      <c r="Z46" s="78">
        <f t="shared" si="23"/>
        <v>0</v>
      </c>
      <c r="AB46">
        <f t="shared" si="3"/>
        <v>4</v>
      </c>
      <c r="AC46">
        <f t="shared" si="14"/>
        <v>41</v>
      </c>
      <c r="AD46" s="49">
        <f t="shared" si="24"/>
        <v>1217</v>
      </c>
      <c r="AE46" s="78">
        <f t="shared" si="15"/>
        <v>0</v>
      </c>
      <c r="AF46" s="78">
        <f t="shared" ca="1" si="25"/>
        <v>0</v>
      </c>
      <c r="AG46" s="78">
        <f ca="1">IFERROR(IF(AC46=0,0, PPMT(Refi_I_Adj,'Loan Amort Table'!AC46,Refi_Amort_Periods,Refi_Orig_Loan_Amount)),0)</f>
        <v>0</v>
      </c>
      <c r="AH46" s="78">
        <f t="shared" ca="1" si="4"/>
        <v>0</v>
      </c>
      <c r="AI46" s="78">
        <f t="shared" ca="1" si="26"/>
        <v>0</v>
      </c>
    </row>
    <row r="47" spans="1:35" x14ac:dyDescent="0.25">
      <c r="A47">
        <f t="shared" si="0"/>
        <v>4</v>
      </c>
      <c r="B47">
        <f t="shared" si="5"/>
        <v>42</v>
      </c>
      <c r="C47" s="49">
        <f t="shared" si="18"/>
        <v>1248</v>
      </c>
      <c r="D47" s="78">
        <f>IF(C47&gt;EDATE(DATE(YEAR(SED_Origination_Date)+ SED_Amort, MONTH(SED_Origination_Date), DAY(SED_Origination_Date)),SED_Interest_Only),0,H46)</f>
        <v>0</v>
      </c>
      <c r="E47" s="78">
        <f t="shared" si="6"/>
        <v>0</v>
      </c>
      <c r="F47" s="78">
        <f>IFERROR(IF(OR(B47=0, C47&gt;=Refi_Origination_Date),0, PPMT(SED_I_Adj,'Loan Amort Table'!B47,SED_Amort_Periods,SED_Orig_Loan_Amount)),0)</f>
        <v>0</v>
      </c>
      <c r="G47" s="78" cm="1">
        <f t="array" ref="G47">IFERROR(_xlfn.IFS(C47&gt;=Refi_Origination_Date, 0, SED_Amort = 0, -D47 * SED_I_Adj, 1, IPMT(SED_I_Adj,IF(B47 = 0, 1, B47),SED_Amort_Periods,SED_Orig_Loan_Amount)),0)</f>
        <v>0</v>
      </c>
      <c r="H47" s="78">
        <f t="shared" si="27"/>
        <v>0</v>
      </c>
      <c r="J47">
        <f t="shared" si="1"/>
        <v>4</v>
      </c>
      <c r="K47">
        <f t="shared" si="7"/>
        <v>42</v>
      </c>
      <c r="L47" s="49">
        <f t="shared" si="20"/>
        <v>1248</v>
      </c>
      <c r="M47" s="78">
        <f>IF(L47&gt;EDATE(DATE(YEAR(NEW_Origination_Date)+ NEW_Amort, MONTH(NEW_Origination_Date), DAY(NEW_Origination_Date)),NEW_Interest_Only),0,Q46)</f>
        <v>0</v>
      </c>
      <c r="N47" s="78">
        <f t="shared" si="8"/>
        <v>0</v>
      </c>
      <c r="O47" s="78">
        <f>IFERROR(IF(K47=0,0, PPMT(NEW_I_Adj,'Loan Amort Table'!K47,NEW_Amort_Periods,NEW_Orig_Loan_Amount)),0)</f>
        <v>0</v>
      </c>
      <c r="P47" s="78">
        <f>IFERROR(IF(NEW_Amort = 0, -M47* NEW_I_Adj,IPMT(NEW_I_Adj,IF(K47 = 0, 1, K47),NEW_Amort_Periods,NEW_Orig_Loan_Amount)),0)</f>
        <v>0</v>
      </c>
      <c r="Q47" s="78">
        <f t="shared" si="9"/>
        <v>0</v>
      </c>
      <c r="S47">
        <f t="shared" si="2"/>
        <v>4</v>
      </c>
      <c r="T47">
        <f t="shared" si="10"/>
        <v>42</v>
      </c>
      <c r="U47" s="49">
        <f t="shared" si="21"/>
        <v>1248</v>
      </c>
      <c r="V47" s="78">
        <f t="shared" si="11"/>
        <v>0</v>
      </c>
      <c r="W47" s="78">
        <f t="shared" ca="1" si="22"/>
        <v>0</v>
      </c>
      <c r="X47" s="78">
        <f>IFERROR(IF(OR(T47=0, U47&gt;=Refi_Origination_Date),0, PPMT(Mezz_I_Adj,'Loan Amort Table'!T47,Mezz_Amort_Periods,Mezz_Orig_Loan_Amount)),0)</f>
        <v>0</v>
      </c>
      <c r="Y47" s="78" cm="1">
        <f t="array" aca="1" ref="Y47" ca="1">IFERROR(_xlfn.IFS(U47&gt;=Refi_Origination_Date,0, Mezz_Amort = 0, -V47 * Mezz_I_Adj, 1, IPMT(Mezz_I_Adj,IF(T47 = 0, 1, T47),Mezz_Amort_Periods,Mezz_Orig_Loan_Amount)),0)</f>
        <v>0</v>
      </c>
      <c r="Z47" s="78">
        <f t="shared" si="23"/>
        <v>0</v>
      </c>
      <c r="AB47">
        <f t="shared" si="3"/>
        <v>4</v>
      </c>
      <c r="AC47">
        <f t="shared" si="14"/>
        <v>42</v>
      </c>
      <c r="AD47" s="49">
        <f t="shared" si="24"/>
        <v>1248</v>
      </c>
      <c r="AE47" s="78">
        <f t="shared" si="15"/>
        <v>0</v>
      </c>
      <c r="AF47" s="78">
        <f t="shared" ca="1" si="25"/>
        <v>0</v>
      </c>
      <c r="AG47" s="78">
        <f ca="1">IFERROR(IF(AC47=0,0, PPMT(Refi_I_Adj,'Loan Amort Table'!AC47,Refi_Amort_Periods,Refi_Orig_Loan_Amount)),0)</f>
        <v>0</v>
      </c>
      <c r="AH47" s="78">
        <f t="shared" ca="1" si="4"/>
        <v>0</v>
      </c>
      <c r="AI47" s="78">
        <f t="shared" ca="1" si="26"/>
        <v>0</v>
      </c>
    </row>
    <row r="48" spans="1:35" x14ac:dyDescent="0.25">
      <c r="A48">
        <f t="shared" si="0"/>
        <v>4</v>
      </c>
      <c r="B48">
        <f t="shared" si="5"/>
        <v>43</v>
      </c>
      <c r="C48" s="49">
        <f t="shared" ref="C48:C55" si="28">EDATE(C47,1)</f>
        <v>1278</v>
      </c>
      <c r="D48" s="78">
        <f>IF(C48&gt;EDATE(DATE(YEAR(SED_Origination_Date)+ SED_Amort, MONTH(SED_Origination_Date), DAY(SED_Origination_Date)),SED_Interest_Only),0,H47)</f>
        <v>0</v>
      </c>
      <c r="E48" s="78">
        <f t="shared" si="6"/>
        <v>0</v>
      </c>
      <c r="F48" s="78">
        <f>IFERROR(IF(OR(B48=0, C48&gt;=Refi_Origination_Date),0, PPMT(SED_I_Adj,'Loan Amort Table'!B48,SED_Amort_Periods,SED_Orig_Loan_Amount)),0)</f>
        <v>0</v>
      </c>
      <c r="G48" s="78" cm="1">
        <f t="array" ref="G48">IFERROR(_xlfn.IFS(C48&gt;=Refi_Origination_Date, 0, SED_Amort = 0, -D48 * SED_I_Adj, 1, IPMT(SED_I_Adj,IF(B48 = 0, 1, B48),SED_Amort_Periods,SED_Orig_Loan_Amount)),0)</f>
        <v>0</v>
      </c>
      <c r="H48" s="78">
        <f t="shared" si="27"/>
        <v>0</v>
      </c>
      <c r="J48">
        <f t="shared" si="1"/>
        <v>4</v>
      </c>
      <c r="K48">
        <f t="shared" si="7"/>
        <v>43</v>
      </c>
      <c r="L48" s="49">
        <f t="shared" si="20"/>
        <v>1278</v>
      </c>
      <c r="M48" s="78">
        <f>IF(L48&gt;EDATE(DATE(YEAR(NEW_Origination_Date)+ NEW_Amort, MONTH(NEW_Origination_Date), DAY(NEW_Origination_Date)),NEW_Interest_Only),0,Q47)</f>
        <v>0</v>
      </c>
      <c r="N48" s="78">
        <f t="shared" si="8"/>
        <v>0</v>
      </c>
      <c r="O48" s="78">
        <f>IFERROR(IF(K48=0,0, PPMT(NEW_I_Adj,'Loan Amort Table'!K48,NEW_Amort_Periods,NEW_Orig_Loan_Amount)),0)</f>
        <v>0</v>
      </c>
      <c r="P48" s="78">
        <f>IFERROR(IF(NEW_Amort = 0, -M48* NEW_I_Adj,IPMT(NEW_I_Adj,IF(K48 = 0, 1, K48),NEW_Amort_Periods,NEW_Orig_Loan_Amount)),0)</f>
        <v>0</v>
      </c>
      <c r="Q48" s="78">
        <f t="shared" si="9"/>
        <v>0</v>
      </c>
      <c r="S48">
        <f t="shared" si="2"/>
        <v>4</v>
      </c>
      <c r="T48">
        <f t="shared" si="10"/>
        <v>43</v>
      </c>
      <c r="U48" s="49">
        <f t="shared" si="21"/>
        <v>1278</v>
      </c>
      <c r="V48" s="78">
        <f t="shared" si="11"/>
        <v>0</v>
      </c>
      <c r="W48" s="78">
        <f t="shared" ca="1" si="22"/>
        <v>0</v>
      </c>
      <c r="X48" s="78">
        <f>IFERROR(IF(OR(T48=0, U48&gt;=Refi_Origination_Date),0, PPMT(Mezz_I_Adj,'Loan Amort Table'!T48,Mezz_Amort_Periods,Mezz_Orig_Loan_Amount)),0)</f>
        <v>0</v>
      </c>
      <c r="Y48" s="78" cm="1">
        <f t="array" aca="1" ref="Y48" ca="1">IFERROR(_xlfn.IFS(U48&gt;=Refi_Origination_Date,0, Mezz_Amort = 0, -V48 * Mezz_I_Adj, 1, IPMT(Mezz_I_Adj,IF(T48 = 0, 1, T48),Mezz_Amort_Periods,Mezz_Orig_Loan_Amount)),0)</f>
        <v>0</v>
      </c>
      <c r="Z48" s="78">
        <f t="shared" si="23"/>
        <v>0</v>
      </c>
      <c r="AB48">
        <f t="shared" si="3"/>
        <v>4</v>
      </c>
      <c r="AC48">
        <f t="shared" si="14"/>
        <v>43</v>
      </c>
      <c r="AD48" s="49">
        <f t="shared" si="24"/>
        <v>1278</v>
      </c>
      <c r="AE48" s="78">
        <f t="shared" si="15"/>
        <v>0</v>
      </c>
      <c r="AF48" s="78">
        <f t="shared" ca="1" si="25"/>
        <v>0</v>
      </c>
      <c r="AG48" s="78">
        <f ca="1">IFERROR(IF(AC48=0,0, PPMT(Refi_I_Adj,'Loan Amort Table'!AC48,Refi_Amort_Periods,Refi_Orig_Loan_Amount)),0)</f>
        <v>0</v>
      </c>
      <c r="AH48" s="78">
        <f t="shared" ca="1" si="4"/>
        <v>0</v>
      </c>
      <c r="AI48" s="78">
        <f t="shared" ca="1" si="26"/>
        <v>0</v>
      </c>
    </row>
    <row r="49" spans="1:35" x14ac:dyDescent="0.25">
      <c r="A49">
        <f t="shared" si="0"/>
        <v>4</v>
      </c>
      <c r="B49">
        <f t="shared" si="5"/>
        <v>44</v>
      </c>
      <c r="C49" s="49">
        <f t="shared" si="28"/>
        <v>1309</v>
      </c>
      <c r="D49" s="78">
        <f>IF(C49&gt;EDATE(DATE(YEAR(SED_Origination_Date)+ SED_Amort, MONTH(SED_Origination_Date), DAY(SED_Origination_Date)),SED_Interest_Only),0,H48)</f>
        <v>0</v>
      </c>
      <c r="E49" s="78">
        <f t="shared" si="6"/>
        <v>0</v>
      </c>
      <c r="F49" s="78">
        <f>IFERROR(IF(OR(B49=0, C49&gt;=Refi_Origination_Date),0, PPMT(SED_I_Adj,'Loan Amort Table'!B49,SED_Amort_Periods,SED_Orig_Loan_Amount)),0)</f>
        <v>0</v>
      </c>
      <c r="G49" s="78" cm="1">
        <f t="array" ref="G49">IFERROR(_xlfn.IFS(C49&gt;=Refi_Origination_Date, 0, SED_Amort = 0, -D49 * SED_I_Adj, 1, IPMT(SED_I_Adj,IF(B49 = 0, 1, B49),SED_Amort_Periods,SED_Orig_Loan_Amount)),0)</f>
        <v>0</v>
      </c>
      <c r="H49" s="78">
        <f t="shared" si="27"/>
        <v>0</v>
      </c>
      <c r="J49">
        <f t="shared" si="1"/>
        <v>4</v>
      </c>
      <c r="K49">
        <f t="shared" si="7"/>
        <v>44</v>
      </c>
      <c r="L49" s="49">
        <f t="shared" si="20"/>
        <v>1309</v>
      </c>
      <c r="M49" s="78">
        <f>IF(L49&gt;EDATE(DATE(YEAR(NEW_Origination_Date)+ NEW_Amort, MONTH(NEW_Origination_Date), DAY(NEW_Origination_Date)),NEW_Interest_Only),0,Q48)</f>
        <v>0</v>
      </c>
      <c r="N49" s="78">
        <f t="shared" si="8"/>
        <v>0</v>
      </c>
      <c r="O49" s="78">
        <f>IFERROR(IF(K49=0,0, PPMT(NEW_I_Adj,'Loan Amort Table'!K49,NEW_Amort_Periods,NEW_Orig_Loan_Amount)),0)</f>
        <v>0</v>
      </c>
      <c r="P49" s="78">
        <f>IFERROR(IF(NEW_Amort = 0, -M49* NEW_I_Adj,IPMT(NEW_I_Adj,IF(K49 = 0, 1, K49),NEW_Amort_Periods,NEW_Orig_Loan_Amount)),0)</f>
        <v>0</v>
      </c>
      <c r="Q49" s="78">
        <f t="shared" si="9"/>
        <v>0</v>
      </c>
      <c r="S49">
        <f t="shared" si="2"/>
        <v>4</v>
      </c>
      <c r="T49">
        <f t="shared" si="10"/>
        <v>44</v>
      </c>
      <c r="U49" s="49">
        <f t="shared" si="21"/>
        <v>1309</v>
      </c>
      <c r="V49" s="78">
        <f t="shared" si="11"/>
        <v>0</v>
      </c>
      <c r="W49" s="78">
        <f t="shared" ca="1" si="22"/>
        <v>0</v>
      </c>
      <c r="X49" s="78">
        <f>IFERROR(IF(OR(T49=0, U49&gt;=Refi_Origination_Date),0, PPMT(Mezz_I_Adj,'Loan Amort Table'!T49,Mezz_Amort_Periods,Mezz_Orig_Loan_Amount)),0)</f>
        <v>0</v>
      </c>
      <c r="Y49" s="78" cm="1">
        <f t="array" aca="1" ref="Y49" ca="1">IFERROR(_xlfn.IFS(U49&gt;=Refi_Origination_Date,0, Mezz_Amort = 0, -V49 * Mezz_I_Adj, 1, IPMT(Mezz_I_Adj,IF(T49 = 0, 1, T49),Mezz_Amort_Periods,Mezz_Orig_Loan_Amount)),0)</f>
        <v>0</v>
      </c>
      <c r="Z49" s="78">
        <f t="shared" si="23"/>
        <v>0</v>
      </c>
      <c r="AB49">
        <f t="shared" si="3"/>
        <v>4</v>
      </c>
      <c r="AC49">
        <f t="shared" si="14"/>
        <v>44</v>
      </c>
      <c r="AD49" s="49">
        <f t="shared" si="24"/>
        <v>1309</v>
      </c>
      <c r="AE49" s="78">
        <f t="shared" si="15"/>
        <v>0</v>
      </c>
      <c r="AF49" s="78">
        <f t="shared" ca="1" si="25"/>
        <v>0</v>
      </c>
      <c r="AG49" s="78">
        <f ca="1">IFERROR(IF(AC49=0,0, PPMT(Refi_I_Adj,'Loan Amort Table'!AC49,Refi_Amort_Periods,Refi_Orig_Loan_Amount)),0)</f>
        <v>0</v>
      </c>
      <c r="AH49" s="78">
        <f t="shared" ca="1" si="4"/>
        <v>0</v>
      </c>
      <c r="AI49" s="78">
        <f t="shared" ca="1" si="26"/>
        <v>0</v>
      </c>
    </row>
    <row r="50" spans="1:35" x14ac:dyDescent="0.25">
      <c r="A50">
        <f t="shared" si="0"/>
        <v>4</v>
      </c>
      <c r="B50">
        <f t="shared" si="5"/>
        <v>45</v>
      </c>
      <c r="C50" s="49">
        <f t="shared" si="28"/>
        <v>1340</v>
      </c>
      <c r="D50" s="78">
        <f>IF(C50&gt;EDATE(DATE(YEAR(SED_Origination_Date)+ SED_Amort, MONTH(SED_Origination_Date), DAY(SED_Origination_Date)),SED_Interest_Only),0,H49)</f>
        <v>0</v>
      </c>
      <c r="E50" s="78">
        <f t="shared" si="6"/>
        <v>0</v>
      </c>
      <c r="F50" s="78">
        <f>IFERROR(IF(OR(B50=0, C50&gt;=Refi_Origination_Date),0, PPMT(SED_I_Adj,'Loan Amort Table'!B50,SED_Amort_Periods,SED_Orig_Loan_Amount)),0)</f>
        <v>0</v>
      </c>
      <c r="G50" s="78" cm="1">
        <f t="array" ref="G50">IFERROR(_xlfn.IFS(C50&gt;=Refi_Origination_Date, 0, SED_Amort = 0, -D50 * SED_I_Adj, 1, IPMT(SED_I_Adj,IF(B50 = 0, 1, B50),SED_Amort_Periods,SED_Orig_Loan_Amount)),0)</f>
        <v>0</v>
      </c>
      <c r="H50" s="78">
        <f t="shared" si="27"/>
        <v>0</v>
      </c>
      <c r="J50">
        <f t="shared" si="1"/>
        <v>4</v>
      </c>
      <c r="K50">
        <f t="shared" si="7"/>
        <v>45</v>
      </c>
      <c r="L50" s="49">
        <f t="shared" si="20"/>
        <v>1340</v>
      </c>
      <c r="M50" s="78">
        <f>IF(L50&gt;EDATE(DATE(YEAR(NEW_Origination_Date)+ NEW_Amort, MONTH(NEW_Origination_Date), DAY(NEW_Origination_Date)),NEW_Interest_Only),0,Q49)</f>
        <v>0</v>
      </c>
      <c r="N50" s="78">
        <f t="shared" si="8"/>
        <v>0</v>
      </c>
      <c r="O50" s="78">
        <f>IFERROR(IF(K50=0,0, PPMT(NEW_I_Adj,'Loan Amort Table'!K50,NEW_Amort_Periods,NEW_Orig_Loan_Amount)),0)</f>
        <v>0</v>
      </c>
      <c r="P50" s="78">
        <f>IFERROR(IF(NEW_Amort = 0, -M50* NEW_I_Adj,IPMT(NEW_I_Adj,IF(K50 = 0, 1, K50),NEW_Amort_Periods,NEW_Orig_Loan_Amount)),0)</f>
        <v>0</v>
      </c>
      <c r="Q50" s="78">
        <f t="shared" si="9"/>
        <v>0</v>
      </c>
      <c r="S50">
        <f t="shared" si="2"/>
        <v>4</v>
      </c>
      <c r="T50">
        <f t="shared" si="10"/>
        <v>45</v>
      </c>
      <c r="U50" s="49">
        <f t="shared" si="21"/>
        <v>1340</v>
      </c>
      <c r="V50" s="78">
        <f t="shared" si="11"/>
        <v>0</v>
      </c>
      <c r="W50" s="78">
        <f t="shared" ca="1" si="22"/>
        <v>0</v>
      </c>
      <c r="X50" s="78">
        <f>IFERROR(IF(OR(T50=0, U50&gt;=Refi_Origination_Date),0, PPMT(Mezz_I_Adj,'Loan Amort Table'!T50,Mezz_Amort_Periods,Mezz_Orig_Loan_Amount)),0)</f>
        <v>0</v>
      </c>
      <c r="Y50" s="78" cm="1">
        <f t="array" aca="1" ref="Y50" ca="1">IFERROR(_xlfn.IFS(U50&gt;=Refi_Origination_Date,0, Mezz_Amort = 0, -V50 * Mezz_I_Adj, 1, IPMT(Mezz_I_Adj,IF(T50 = 0, 1, T50),Mezz_Amort_Periods,Mezz_Orig_Loan_Amount)),0)</f>
        <v>0</v>
      </c>
      <c r="Z50" s="78">
        <f t="shared" si="23"/>
        <v>0</v>
      </c>
      <c r="AB50">
        <f t="shared" si="3"/>
        <v>4</v>
      </c>
      <c r="AC50">
        <f t="shared" si="14"/>
        <v>45</v>
      </c>
      <c r="AD50" s="49">
        <f t="shared" si="24"/>
        <v>1340</v>
      </c>
      <c r="AE50" s="78">
        <f t="shared" si="15"/>
        <v>0</v>
      </c>
      <c r="AF50" s="78">
        <f t="shared" ca="1" si="25"/>
        <v>0</v>
      </c>
      <c r="AG50" s="78">
        <f ca="1">IFERROR(IF(AC50=0,0, PPMT(Refi_I_Adj,'Loan Amort Table'!AC50,Refi_Amort_Periods,Refi_Orig_Loan_Amount)),0)</f>
        <v>0</v>
      </c>
      <c r="AH50" s="78">
        <f t="shared" ca="1" si="4"/>
        <v>0</v>
      </c>
      <c r="AI50" s="78">
        <f t="shared" ca="1" si="26"/>
        <v>0</v>
      </c>
    </row>
    <row r="51" spans="1:35" x14ac:dyDescent="0.25">
      <c r="A51">
        <f t="shared" si="0"/>
        <v>4</v>
      </c>
      <c r="B51">
        <f t="shared" si="5"/>
        <v>46</v>
      </c>
      <c r="C51" s="49">
        <f t="shared" si="28"/>
        <v>1370</v>
      </c>
      <c r="D51" s="78">
        <f>IF(C51&gt;EDATE(DATE(YEAR(SED_Origination_Date)+ SED_Amort, MONTH(SED_Origination_Date), DAY(SED_Origination_Date)),SED_Interest_Only),0,H50)</f>
        <v>0</v>
      </c>
      <c r="E51" s="78">
        <f t="shared" si="6"/>
        <v>0</v>
      </c>
      <c r="F51" s="78">
        <f>IFERROR(IF(OR(B51=0, C51&gt;=Refi_Origination_Date),0, PPMT(SED_I_Adj,'Loan Amort Table'!B51,SED_Amort_Periods,SED_Orig_Loan_Amount)),0)</f>
        <v>0</v>
      </c>
      <c r="G51" s="78" cm="1">
        <f t="array" ref="G51">IFERROR(_xlfn.IFS(C51&gt;=Refi_Origination_Date, 0, SED_Amort = 0, -D51 * SED_I_Adj, 1, IPMT(SED_I_Adj,IF(B51 = 0, 1, B51),SED_Amort_Periods,SED_Orig_Loan_Amount)),0)</f>
        <v>0</v>
      </c>
      <c r="H51" s="78">
        <f t="shared" si="27"/>
        <v>0</v>
      </c>
      <c r="J51">
        <f t="shared" si="1"/>
        <v>4</v>
      </c>
      <c r="K51">
        <f t="shared" si="7"/>
        <v>46</v>
      </c>
      <c r="L51" s="49">
        <f t="shared" si="20"/>
        <v>1370</v>
      </c>
      <c r="M51" s="78">
        <f>IF(L51&gt;EDATE(DATE(YEAR(NEW_Origination_Date)+ NEW_Amort, MONTH(NEW_Origination_Date), DAY(NEW_Origination_Date)),NEW_Interest_Only),0,Q50)</f>
        <v>0</v>
      </c>
      <c r="N51" s="78">
        <f t="shared" si="8"/>
        <v>0</v>
      </c>
      <c r="O51" s="78">
        <f>IFERROR(IF(K51=0,0, PPMT(NEW_I_Adj,'Loan Amort Table'!K51,NEW_Amort_Periods,NEW_Orig_Loan_Amount)),0)</f>
        <v>0</v>
      </c>
      <c r="P51" s="78">
        <f>IFERROR(IF(NEW_Amort = 0, -M51* NEW_I_Adj,IPMT(NEW_I_Adj,IF(K51 = 0, 1, K51),NEW_Amort_Periods,NEW_Orig_Loan_Amount)),0)</f>
        <v>0</v>
      </c>
      <c r="Q51" s="78">
        <f t="shared" si="9"/>
        <v>0</v>
      </c>
      <c r="S51">
        <f t="shared" si="2"/>
        <v>4</v>
      </c>
      <c r="T51">
        <f t="shared" si="10"/>
        <v>46</v>
      </c>
      <c r="U51" s="49">
        <f t="shared" si="21"/>
        <v>1370</v>
      </c>
      <c r="V51" s="78">
        <f t="shared" si="11"/>
        <v>0</v>
      </c>
      <c r="W51" s="78">
        <f t="shared" ca="1" si="22"/>
        <v>0</v>
      </c>
      <c r="X51" s="78">
        <f>IFERROR(IF(OR(T51=0, U51&gt;=Refi_Origination_Date),0, PPMT(Mezz_I_Adj,'Loan Amort Table'!T51,Mezz_Amort_Periods,Mezz_Orig_Loan_Amount)),0)</f>
        <v>0</v>
      </c>
      <c r="Y51" s="78" cm="1">
        <f t="array" aca="1" ref="Y51" ca="1">IFERROR(_xlfn.IFS(U51&gt;=Refi_Origination_Date,0, Mezz_Amort = 0, -V51 * Mezz_I_Adj, 1, IPMT(Mezz_I_Adj,IF(T51 = 0, 1, T51),Mezz_Amort_Periods,Mezz_Orig_Loan_Amount)),0)</f>
        <v>0</v>
      </c>
      <c r="Z51" s="78">
        <f t="shared" si="23"/>
        <v>0</v>
      </c>
      <c r="AB51">
        <f t="shared" si="3"/>
        <v>4</v>
      </c>
      <c r="AC51">
        <f t="shared" si="14"/>
        <v>46</v>
      </c>
      <c r="AD51" s="49">
        <f t="shared" si="24"/>
        <v>1370</v>
      </c>
      <c r="AE51" s="78">
        <f t="shared" si="15"/>
        <v>0</v>
      </c>
      <c r="AF51" s="78">
        <f t="shared" ca="1" si="25"/>
        <v>0</v>
      </c>
      <c r="AG51" s="78">
        <f ca="1">IFERROR(IF(AC51=0,0, PPMT(Refi_I_Adj,'Loan Amort Table'!AC51,Refi_Amort_Periods,Refi_Orig_Loan_Amount)),0)</f>
        <v>0</v>
      </c>
      <c r="AH51" s="78">
        <f t="shared" ca="1" si="4"/>
        <v>0</v>
      </c>
      <c r="AI51" s="78">
        <f t="shared" ca="1" si="26"/>
        <v>0</v>
      </c>
    </row>
    <row r="52" spans="1:35" x14ac:dyDescent="0.25">
      <c r="A52">
        <f t="shared" si="0"/>
        <v>4</v>
      </c>
      <c r="B52">
        <f t="shared" si="5"/>
        <v>47</v>
      </c>
      <c r="C52" s="49">
        <f t="shared" si="28"/>
        <v>1401</v>
      </c>
      <c r="D52" s="78">
        <f>IF(C52&gt;EDATE(DATE(YEAR(SED_Origination_Date)+ SED_Amort, MONTH(SED_Origination_Date), DAY(SED_Origination_Date)),SED_Interest_Only),0,H51)</f>
        <v>0</v>
      </c>
      <c r="E52" s="78">
        <f t="shared" si="6"/>
        <v>0</v>
      </c>
      <c r="F52" s="78">
        <f>IFERROR(IF(OR(B52=0, C52&gt;=Refi_Origination_Date),0, PPMT(SED_I_Adj,'Loan Amort Table'!B52,SED_Amort_Periods,SED_Orig_Loan_Amount)),0)</f>
        <v>0</v>
      </c>
      <c r="G52" s="78" cm="1">
        <f t="array" ref="G52">IFERROR(_xlfn.IFS(C52&gt;=Refi_Origination_Date, 0, SED_Amort = 0, -D52 * SED_I_Adj, 1, IPMT(SED_I_Adj,IF(B52 = 0, 1, B52),SED_Amort_Periods,SED_Orig_Loan_Amount)),0)</f>
        <v>0</v>
      </c>
      <c r="H52" s="78">
        <f t="shared" si="27"/>
        <v>0</v>
      </c>
      <c r="J52">
        <f t="shared" si="1"/>
        <v>4</v>
      </c>
      <c r="K52">
        <f t="shared" si="7"/>
        <v>47</v>
      </c>
      <c r="L52" s="49">
        <f t="shared" si="20"/>
        <v>1401</v>
      </c>
      <c r="M52" s="78">
        <f>IF(L52&gt;EDATE(DATE(YEAR(NEW_Origination_Date)+ NEW_Amort, MONTH(NEW_Origination_Date), DAY(NEW_Origination_Date)),NEW_Interest_Only),0,Q51)</f>
        <v>0</v>
      </c>
      <c r="N52" s="78">
        <f t="shared" si="8"/>
        <v>0</v>
      </c>
      <c r="O52" s="78">
        <f>IFERROR(IF(K52=0,0, PPMT(NEW_I_Adj,'Loan Amort Table'!K52,NEW_Amort_Periods,NEW_Orig_Loan_Amount)),0)</f>
        <v>0</v>
      </c>
      <c r="P52" s="78">
        <f>IFERROR(IF(NEW_Amort = 0, -M52* NEW_I_Adj,IPMT(NEW_I_Adj,IF(K52 = 0, 1, K52),NEW_Amort_Periods,NEW_Orig_Loan_Amount)),0)</f>
        <v>0</v>
      </c>
      <c r="Q52" s="78">
        <f t="shared" si="9"/>
        <v>0</v>
      </c>
      <c r="S52">
        <f t="shared" si="2"/>
        <v>4</v>
      </c>
      <c r="T52">
        <f t="shared" si="10"/>
        <v>47</v>
      </c>
      <c r="U52" s="49">
        <f t="shared" si="21"/>
        <v>1401</v>
      </c>
      <c r="V52" s="78">
        <f t="shared" si="11"/>
        <v>0</v>
      </c>
      <c r="W52" s="78">
        <f t="shared" ca="1" si="22"/>
        <v>0</v>
      </c>
      <c r="X52" s="78">
        <f>IFERROR(IF(OR(T52=0, U52&gt;=Refi_Origination_Date),0, PPMT(Mezz_I_Adj,'Loan Amort Table'!T52,Mezz_Amort_Periods,Mezz_Orig_Loan_Amount)),0)</f>
        <v>0</v>
      </c>
      <c r="Y52" s="78" cm="1">
        <f t="array" aca="1" ref="Y52" ca="1">IFERROR(_xlfn.IFS(U52&gt;=Refi_Origination_Date,0, Mezz_Amort = 0, -V52 * Mezz_I_Adj, 1, IPMT(Mezz_I_Adj,IF(T52 = 0, 1, T52),Mezz_Amort_Periods,Mezz_Orig_Loan_Amount)),0)</f>
        <v>0</v>
      </c>
      <c r="Z52" s="78">
        <f t="shared" si="23"/>
        <v>0</v>
      </c>
      <c r="AB52">
        <f t="shared" si="3"/>
        <v>4</v>
      </c>
      <c r="AC52">
        <f t="shared" si="14"/>
        <v>47</v>
      </c>
      <c r="AD52" s="49">
        <f t="shared" si="24"/>
        <v>1401</v>
      </c>
      <c r="AE52" s="78">
        <f t="shared" si="15"/>
        <v>0</v>
      </c>
      <c r="AF52" s="78">
        <f t="shared" ca="1" si="25"/>
        <v>0</v>
      </c>
      <c r="AG52" s="78">
        <f ca="1">IFERROR(IF(AC52=0,0, PPMT(Refi_I_Adj,'Loan Amort Table'!AC52,Refi_Amort_Periods,Refi_Orig_Loan_Amount)),0)</f>
        <v>0</v>
      </c>
      <c r="AH52" s="78">
        <f t="shared" ca="1" si="4"/>
        <v>0</v>
      </c>
      <c r="AI52" s="78">
        <f t="shared" ca="1" si="26"/>
        <v>0</v>
      </c>
    </row>
    <row r="53" spans="1:35" x14ac:dyDescent="0.25">
      <c r="A53">
        <f t="shared" si="0"/>
        <v>4</v>
      </c>
      <c r="B53">
        <f t="shared" si="5"/>
        <v>48</v>
      </c>
      <c r="C53" s="49">
        <f t="shared" si="28"/>
        <v>1431</v>
      </c>
      <c r="D53" s="78">
        <f>IF(C53&gt;EDATE(DATE(YEAR(SED_Origination_Date)+ SED_Amort, MONTH(SED_Origination_Date), DAY(SED_Origination_Date)),SED_Interest_Only),0,H52)</f>
        <v>0</v>
      </c>
      <c r="E53" s="78">
        <f t="shared" si="6"/>
        <v>0</v>
      </c>
      <c r="F53" s="78">
        <f>IFERROR(IF(OR(B53=0, C53&gt;=Refi_Origination_Date),0, PPMT(SED_I_Adj,'Loan Amort Table'!B53,SED_Amort_Periods,SED_Orig_Loan_Amount)),0)</f>
        <v>0</v>
      </c>
      <c r="G53" s="78" cm="1">
        <f t="array" ref="G53">IFERROR(_xlfn.IFS(C53&gt;=Refi_Origination_Date, 0, SED_Amort = 0, -D53 * SED_I_Adj, 1, IPMT(SED_I_Adj,IF(B53 = 0, 1, B53),SED_Amort_Periods,SED_Orig_Loan_Amount)),0)</f>
        <v>0</v>
      </c>
      <c r="H53" s="78">
        <f t="shared" si="27"/>
        <v>0</v>
      </c>
      <c r="J53">
        <f t="shared" si="1"/>
        <v>4</v>
      </c>
      <c r="K53">
        <f t="shared" si="7"/>
        <v>48</v>
      </c>
      <c r="L53" s="49">
        <f t="shared" si="20"/>
        <v>1431</v>
      </c>
      <c r="M53" s="78">
        <f>IF(L53&gt;EDATE(DATE(YEAR(NEW_Origination_Date)+ NEW_Amort, MONTH(NEW_Origination_Date), DAY(NEW_Origination_Date)),NEW_Interest_Only),0,Q52)</f>
        <v>0</v>
      </c>
      <c r="N53" s="78">
        <f t="shared" si="8"/>
        <v>0</v>
      </c>
      <c r="O53" s="78">
        <f>IFERROR(IF(K53=0,0, PPMT(NEW_I_Adj,'Loan Amort Table'!K53,NEW_Amort_Periods,NEW_Orig_Loan_Amount)),0)</f>
        <v>0</v>
      </c>
      <c r="P53" s="78">
        <f>IFERROR(IF(NEW_Amort = 0, -M53* NEW_I_Adj,IPMT(NEW_I_Adj,IF(K53 = 0, 1, K53),NEW_Amort_Periods,NEW_Orig_Loan_Amount)),0)</f>
        <v>0</v>
      </c>
      <c r="Q53" s="78">
        <f t="shared" si="9"/>
        <v>0</v>
      </c>
      <c r="S53">
        <f t="shared" si="2"/>
        <v>4</v>
      </c>
      <c r="T53">
        <f t="shared" si="10"/>
        <v>48</v>
      </c>
      <c r="U53" s="49">
        <f t="shared" si="21"/>
        <v>1431</v>
      </c>
      <c r="V53" s="78">
        <f t="shared" si="11"/>
        <v>0</v>
      </c>
      <c r="W53" s="78">
        <f t="shared" ca="1" si="22"/>
        <v>0</v>
      </c>
      <c r="X53" s="78">
        <f>IFERROR(IF(OR(T53=0, U53&gt;=Refi_Origination_Date),0, PPMT(Mezz_I_Adj,'Loan Amort Table'!T53,Mezz_Amort_Periods,Mezz_Orig_Loan_Amount)),0)</f>
        <v>0</v>
      </c>
      <c r="Y53" s="78" cm="1">
        <f t="array" aca="1" ref="Y53" ca="1">IFERROR(_xlfn.IFS(U53&gt;=Refi_Origination_Date,0, Mezz_Amort = 0, -V53 * Mezz_I_Adj, 1, IPMT(Mezz_I_Adj,IF(T53 = 0, 1, T53),Mezz_Amort_Periods,Mezz_Orig_Loan_Amount)),0)</f>
        <v>0</v>
      </c>
      <c r="Z53" s="78">
        <f t="shared" si="23"/>
        <v>0</v>
      </c>
      <c r="AB53">
        <f t="shared" si="3"/>
        <v>4</v>
      </c>
      <c r="AC53">
        <f t="shared" si="14"/>
        <v>48</v>
      </c>
      <c r="AD53" s="49">
        <f t="shared" si="24"/>
        <v>1431</v>
      </c>
      <c r="AE53" s="78">
        <f t="shared" si="15"/>
        <v>0</v>
      </c>
      <c r="AF53" s="78">
        <f t="shared" ca="1" si="25"/>
        <v>0</v>
      </c>
      <c r="AG53" s="78">
        <f ca="1">IFERROR(IF(AC53=0,0, PPMT(Refi_I_Adj,'Loan Amort Table'!AC53,Refi_Amort_Periods,Refi_Orig_Loan_Amount)),0)</f>
        <v>0</v>
      </c>
      <c r="AH53" s="78">
        <f t="shared" ca="1" si="4"/>
        <v>0</v>
      </c>
      <c r="AI53" s="78">
        <f t="shared" ca="1" si="26"/>
        <v>0</v>
      </c>
    </row>
    <row r="54" spans="1:35" x14ac:dyDescent="0.25">
      <c r="A54">
        <f t="shared" si="0"/>
        <v>5</v>
      </c>
      <c r="B54">
        <f t="shared" si="5"/>
        <v>49</v>
      </c>
      <c r="C54" s="49">
        <f t="shared" si="28"/>
        <v>1462</v>
      </c>
      <c r="D54" s="78">
        <f>IF(C54&gt;EDATE(DATE(YEAR(SED_Origination_Date)+ SED_Amort, MONTH(SED_Origination_Date), DAY(SED_Origination_Date)),SED_Interest_Only),0,H53)</f>
        <v>0</v>
      </c>
      <c r="E54" s="78">
        <f t="shared" si="6"/>
        <v>0</v>
      </c>
      <c r="F54" s="78">
        <f>IFERROR(IF(OR(B54=0, C54&gt;=Refi_Origination_Date),0, PPMT(SED_I_Adj,'Loan Amort Table'!B54,SED_Amort_Periods,SED_Orig_Loan_Amount)),0)</f>
        <v>0</v>
      </c>
      <c r="G54" s="78" cm="1">
        <f t="array" ref="G54">IFERROR(_xlfn.IFS(C54&gt;=Refi_Origination_Date, 0, SED_Amort = 0, -D54 * SED_I_Adj, 1, IPMT(SED_I_Adj,IF(B54 = 0, 1, B54),SED_Amort_Periods,SED_Orig_Loan_Amount)),0)</f>
        <v>0</v>
      </c>
      <c r="H54" s="78">
        <f t="shared" si="27"/>
        <v>0</v>
      </c>
      <c r="J54">
        <f t="shared" si="1"/>
        <v>5</v>
      </c>
      <c r="K54">
        <f t="shared" si="7"/>
        <v>49</v>
      </c>
      <c r="L54" s="49">
        <f t="shared" si="20"/>
        <v>1462</v>
      </c>
      <c r="M54" s="78">
        <f>IF(L54&gt;EDATE(DATE(YEAR(NEW_Origination_Date)+ NEW_Amort, MONTH(NEW_Origination_Date), DAY(NEW_Origination_Date)),NEW_Interest_Only),0,Q53)</f>
        <v>0</v>
      </c>
      <c r="N54" s="78">
        <f t="shared" si="8"/>
        <v>0</v>
      </c>
      <c r="O54" s="78">
        <f>IFERROR(IF(K54=0,0, PPMT(NEW_I_Adj,'Loan Amort Table'!K54,NEW_Amort_Periods,NEW_Orig_Loan_Amount)),0)</f>
        <v>0</v>
      </c>
      <c r="P54" s="78">
        <f>IFERROR(IF(NEW_Amort = 0, -M54* NEW_I_Adj,IPMT(NEW_I_Adj,IF(K54 = 0, 1, K54),NEW_Amort_Periods,NEW_Orig_Loan_Amount)),0)</f>
        <v>0</v>
      </c>
      <c r="Q54" s="78">
        <f t="shared" si="9"/>
        <v>0</v>
      </c>
      <c r="S54">
        <f t="shared" si="2"/>
        <v>5</v>
      </c>
      <c r="T54">
        <f t="shared" si="10"/>
        <v>49</v>
      </c>
      <c r="U54" s="49">
        <f t="shared" si="21"/>
        <v>1462</v>
      </c>
      <c r="V54" s="78">
        <f t="shared" si="11"/>
        <v>0</v>
      </c>
      <c r="W54" s="78">
        <f t="shared" ca="1" si="22"/>
        <v>0</v>
      </c>
      <c r="X54" s="78">
        <f>IFERROR(IF(OR(T54=0, U54&gt;=Refi_Origination_Date),0, PPMT(Mezz_I_Adj,'Loan Amort Table'!T54,Mezz_Amort_Periods,Mezz_Orig_Loan_Amount)),0)</f>
        <v>0</v>
      </c>
      <c r="Y54" s="78" cm="1">
        <f t="array" aca="1" ref="Y54" ca="1">IFERROR(_xlfn.IFS(U54&gt;=Refi_Origination_Date,0, Mezz_Amort = 0, -V54 * Mezz_I_Adj, 1, IPMT(Mezz_I_Adj,IF(T54 = 0, 1, T54),Mezz_Amort_Periods,Mezz_Orig_Loan_Amount)),0)</f>
        <v>0</v>
      </c>
      <c r="Z54" s="78">
        <f t="shared" si="23"/>
        <v>0</v>
      </c>
      <c r="AB54">
        <f t="shared" si="3"/>
        <v>5</v>
      </c>
      <c r="AC54">
        <f t="shared" si="14"/>
        <v>49</v>
      </c>
      <c r="AD54" s="49">
        <f t="shared" si="24"/>
        <v>1462</v>
      </c>
      <c r="AE54" s="78">
        <f t="shared" si="15"/>
        <v>0</v>
      </c>
      <c r="AF54" s="78">
        <f t="shared" ca="1" si="25"/>
        <v>0</v>
      </c>
      <c r="AG54" s="78">
        <f ca="1">IFERROR(IF(AC54=0,0, PPMT(Refi_I_Adj,'Loan Amort Table'!AC54,Refi_Amort_Periods,Refi_Orig_Loan_Amount)),0)</f>
        <v>0</v>
      </c>
      <c r="AH54" s="78">
        <f t="shared" ca="1" si="4"/>
        <v>0</v>
      </c>
      <c r="AI54" s="78">
        <f t="shared" ca="1" si="26"/>
        <v>0</v>
      </c>
    </row>
    <row r="55" spans="1:35" x14ac:dyDescent="0.25">
      <c r="A55">
        <f t="shared" si="0"/>
        <v>5</v>
      </c>
      <c r="B55">
        <f t="shared" si="5"/>
        <v>50</v>
      </c>
      <c r="C55" s="49">
        <f t="shared" si="28"/>
        <v>1493</v>
      </c>
      <c r="D55" s="78">
        <f>IF(C55&gt;EDATE(DATE(YEAR(SED_Origination_Date)+ SED_Amort, MONTH(SED_Origination_Date), DAY(SED_Origination_Date)),SED_Interest_Only),0,H54)</f>
        <v>0</v>
      </c>
      <c r="E55" s="78">
        <f t="shared" si="6"/>
        <v>0</v>
      </c>
      <c r="F55" s="78">
        <f>IFERROR(IF(OR(B55=0, C55&gt;=Refi_Origination_Date),0, PPMT(SED_I_Adj,'Loan Amort Table'!B55,SED_Amort_Periods,SED_Orig_Loan_Amount)),0)</f>
        <v>0</v>
      </c>
      <c r="G55" s="78" cm="1">
        <f t="array" ref="G55">IFERROR(_xlfn.IFS(C55&gt;=Refi_Origination_Date, 0, SED_Amort = 0, -D55 * SED_I_Adj, 1, IPMT(SED_I_Adj,IF(B55 = 0, 1, B55),SED_Amort_Periods,SED_Orig_Loan_Amount)),0)</f>
        <v>0</v>
      </c>
      <c r="H55" s="78">
        <f t="shared" si="27"/>
        <v>0</v>
      </c>
      <c r="J55">
        <f t="shared" si="1"/>
        <v>5</v>
      </c>
      <c r="K55">
        <f t="shared" si="7"/>
        <v>50</v>
      </c>
      <c r="L55" s="49">
        <f t="shared" si="20"/>
        <v>1493</v>
      </c>
      <c r="M55" s="78">
        <f>IF(L55&gt;EDATE(DATE(YEAR(NEW_Origination_Date)+ NEW_Amort, MONTH(NEW_Origination_Date), DAY(NEW_Origination_Date)),NEW_Interest_Only),0,Q54)</f>
        <v>0</v>
      </c>
      <c r="N55" s="78">
        <f t="shared" si="8"/>
        <v>0</v>
      </c>
      <c r="O55" s="78">
        <f>IFERROR(IF(K55=0,0, PPMT(NEW_I_Adj,'Loan Amort Table'!K55,NEW_Amort_Periods,NEW_Orig_Loan_Amount)),0)</f>
        <v>0</v>
      </c>
      <c r="P55" s="78">
        <f>IFERROR(IF(NEW_Amort = 0, -M55* NEW_I_Adj,IPMT(NEW_I_Adj,IF(K55 = 0, 1, K55),NEW_Amort_Periods,NEW_Orig_Loan_Amount)),0)</f>
        <v>0</v>
      </c>
      <c r="Q55" s="78">
        <f t="shared" si="9"/>
        <v>0</v>
      </c>
      <c r="S55">
        <f t="shared" si="2"/>
        <v>5</v>
      </c>
      <c r="T55">
        <f t="shared" si="10"/>
        <v>50</v>
      </c>
      <c r="U55" s="49">
        <f t="shared" si="21"/>
        <v>1493</v>
      </c>
      <c r="V55" s="78">
        <f t="shared" si="11"/>
        <v>0</v>
      </c>
      <c r="W55" s="78">
        <f t="shared" ca="1" si="22"/>
        <v>0</v>
      </c>
      <c r="X55" s="78">
        <f>IFERROR(IF(OR(T55=0, U55&gt;=Refi_Origination_Date),0, PPMT(Mezz_I_Adj,'Loan Amort Table'!T55,Mezz_Amort_Periods,Mezz_Orig_Loan_Amount)),0)</f>
        <v>0</v>
      </c>
      <c r="Y55" s="78" cm="1">
        <f t="array" aca="1" ref="Y55" ca="1">IFERROR(_xlfn.IFS(U55&gt;=Refi_Origination_Date,0, Mezz_Amort = 0, -V55 * Mezz_I_Adj, 1, IPMT(Mezz_I_Adj,IF(T55 = 0, 1, T55),Mezz_Amort_Periods,Mezz_Orig_Loan_Amount)),0)</f>
        <v>0</v>
      </c>
      <c r="Z55" s="78">
        <f t="shared" si="23"/>
        <v>0</v>
      </c>
      <c r="AB55">
        <f t="shared" si="3"/>
        <v>5</v>
      </c>
      <c r="AC55">
        <f t="shared" si="14"/>
        <v>50</v>
      </c>
      <c r="AD55" s="49">
        <f t="shared" si="24"/>
        <v>1493</v>
      </c>
      <c r="AE55" s="78">
        <f t="shared" si="15"/>
        <v>0</v>
      </c>
      <c r="AF55" s="78">
        <f t="shared" ca="1" si="25"/>
        <v>0</v>
      </c>
      <c r="AG55" s="78">
        <f ca="1">IFERROR(IF(AC55=0,0, PPMT(Refi_I_Adj,'Loan Amort Table'!AC55,Refi_Amort_Periods,Refi_Orig_Loan_Amount)),0)</f>
        <v>0</v>
      </c>
      <c r="AH55" s="78">
        <f t="shared" ca="1" si="4"/>
        <v>0</v>
      </c>
      <c r="AI55" s="78">
        <f t="shared" ca="1" si="26"/>
        <v>0</v>
      </c>
    </row>
    <row r="56" spans="1:35" x14ac:dyDescent="0.25">
      <c r="A56">
        <f t="shared" si="0"/>
        <v>5</v>
      </c>
      <c r="B56">
        <f t="shared" si="5"/>
        <v>51</v>
      </c>
      <c r="C56" s="49">
        <f t="shared" ref="C56:C119" si="29">EDATE(C55,1)</f>
        <v>1522</v>
      </c>
      <c r="D56" s="78">
        <f>IF(C56&gt;EDATE(DATE(YEAR(SED_Origination_Date)+ SED_Amort, MONTH(SED_Origination_Date), DAY(SED_Origination_Date)),SED_Interest_Only),0,H55)</f>
        <v>0</v>
      </c>
      <c r="E56" s="78">
        <f t="shared" si="6"/>
        <v>0</v>
      </c>
      <c r="F56" s="78">
        <f>IFERROR(IF(OR(B56=0, C56&gt;=Refi_Origination_Date),0, PPMT(SED_I_Adj,'Loan Amort Table'!B56,SED_Amort_Periods,SED_Orig_Loan_Amount)),0)</f>
        <v>0</v>
      </c>
      <c r="G56" s="78" cm="1">
        <f t="array" ref="G56">IFERROR(_xlfn.IFS(C56&gt;=Refi_Origination_Date, 0, SED_Amort = 0, -D56 * SED_I_Adj, 1, IPMT(SED_I_Adj,IF(B56 = 0, 1, B56),SED_Amort_Periods,SED_Orig_Loan_Amount)),0)</f>
        <v>0</v>
      </c>
      <c r="H56" s="78">
        <f t="shared" si="27"/>
        <v>0</v>
      </c>
      <c r="J56">
        <f t="shared" si="1"/>
        <v>5</v>
      </c>
      <c r="K56">
        <f t="shared" si="7"/>
        <v>51</v>
      </c>
      <c r="L56" s="49">
        <f t="shared" si="20"/>
        <v>1522</v>
      </c>
      <c r="M56" s="78">
        <f>IF(L56&gt;EDATE(DATE(YEAR(NEW_Origination_Date)+ NEW_Amort, MONTH(NEW_Origination_Date), DAY(NEW_Origination_Date)),NEW_Interest_Only),0,Q55)</f>
        <v>0</v>
      </c>
      <c r="N56" s="78">
        <f t="shared" si="8"/>
        <v>0</v>
      </c>
      <c r="O56" s="78">
        <f>IFERROR(IF(K56=0,0, PPMT(NEW_I_Adj,'Loan Amort Table'!K56,NEW_Amort_Periods,NEW_Orig_Loan_Amount)),0)</f>
        <v>0</v>
      </c>
      <c r="P56" s="78">
        <f>IFERROR(IF(NEW_Amort = 0, -M56* NEW_I_Adj,IPMT(NEW_I_Adj,IF(K56 = 0, 1, K56),NEW_Amort_Periods,NEW_Orig_Loan_Amount)),0)</f>
        <v>0</v>
      </c>
      <c r="Q56" s="78">
        <f t="shared" si="9"/>
        <v>0</v>
      </c>
      <c r="S56">
        <f t="shared" si="2"/>
        <v>5</v>
      </c>
      <c r="T56">
        <f t="shared" si="10"/>
        <v>51</v>
      </c>
      <c r="U56" s="49">
        <f t="shared" si="21"/>
        <v>1522</v>
      </c>
      <c r="V56" s="78">
        <f t="shared" si="11"/>
        <v>0</v>
      </c>
      <c r="W56" s="78">
        <f t="shared" ca="1" si="22"/>
        <v>0</v>
      </c>
      <c r="X56" s="78">
        <f>IFERROR(IF(OR(T56=0, U56&gt;=Refi_Origination_Date),0, PPMT(Mezz_I_Adj,'Loan Amort Table'!T56,Mezz_Amort_Periods,Mezz_Orig_Loan_Amount)),0)</f>
        <v>0</v>
      </c>
      <c r="Y56" s="78" cm="1">
        <f t="array" aca="1" ref="Y56" ca="1">IFERROR(_xlfn.IFS(U56&gt;=Refi_Origination_Date,0, Mezz_Amort = 0, -V56 * Mezz_I_Adj, 1, IPMT(Mezz_I_Adj,IF(T56 = 0, 1, T56),Mezz_Amort_Periods,Mezz_Orig_Loan_Amount)),0)</f>
        <v>0</v>
      </c>
      <c r="Z56" s="78">
        <f t="shared" si="23"/>
        <v>0</v>
      </c>
      <c r="AB56">
        <f t="shared" si="3"/>
        <v>5</v>
      </c>
      <c r="AC56">
        <f t="shared" si="14"/>
        <v>51</v>
      </c>
      <c r="AD56" s="49">
        <f t="shared" si="24"/>
        <v>1522</v>
      </c>
      <c r="AE56" s="78">
        <f t="shared" si="15"/>
        <v>0</v>
      </c>
      <c r="AF56" s="78">
        <f t="shared" ca="1" si="25"/>
        <v>0</v>
      </c>
      <c r="AG56" s="78">
        <f ca="1">IFERROR(IF(AC56=0,0, PPMT(Refi_I_Adj,'Loan Amort Table'!AC56,Refi_Amort_Periods,Refi_Orig_Loan_Amount)),0)</f>
        <v>0</v>
      </c>
      <c r="AH56" s="78">
        <f t="shared" ca="1" si="4"/>
        <v>0</v>
      </c>
      <c r="AI56" s="78">
        <f t="shared" ca="1" si="26"/>
        <v>0</v>
      </c>
    </row>
    <row r="57" spans="1:35" x14ac:dyDescent="0.25">
      <c r="A57">
        <f t="shared" si="0"/>
        <v>5</v>
      </c>
      <c r="B57">
        <f t="shared" si="5"/>
        <v>52</v>
      </c>
      <c r="C57" s="49">
        <f t="shared" si="29"/>
        <v>1553</v>
      </c>
      <c r="D57" s="78">
        <f>IF(C57&gt;EDATE(DATE(YEAR(SED_Origination_Date)+ SED_Amort, MONTH(SED_Origination_Date), DAY(SED_Origination_Date)),SED_Interest_Only),0,H56)</f>
        <v>0</v>
      </c>
      <c r="E57" s="78">
        <f t="shared" si="6"/>
        <v>0</v>
      </c>
      <c r="F57" s="78">
        <f>IFERROR(IF(OR(B57=0, C57&gt;=Refi_Origination_Date),0, PPMT(SED_I_Adj,'Loan Amort Table'!B57,SED_Amort_Periods,SED_Orig_Loan_Amount)),0)</f>
        <v>0</v>
      </c>
      <c r="G57" s="78" cm="1">
        <f t="array" ref="G57">IFERROR(_xlfn.IFS(C57&gt;=Refi_Origination_Date, 0, SED_Amort = 0, -D57 * SED_I_Adj, 1, IPMT(SED_I_Adj,IF(B57 = 0, 1, B57),SED_Amort_Periods,SED_Orig_Loan_Amount)),0)</f>
        <v>0</v>
      </c>
      <c r="H57" s="78">
        <f t="shared" si="27"/>
        <v>0</v>
      </c>
      <c r="J57">
        <f t="shared" si="1"/>
        <v>5</v>
      </c>
      <c r="K57">
        <f t="shared" si="7"/>
        <v>52</v>
      </c>
      <c r="L57" s="49">
        <f t="shared" si="20"/>
        <v>1553</v>
      </c>
      <c r="M57" s="78">
        <f>IF(L57&gt;EDATE(DATE(YEAR(NEW_Origination_Date)+ NEW_Amort, MONTH(NEW_Origination_Date), DAY(NEW_Origination_Date)),NEW_Interest_Only),0,Q56)</f>
        <v>0</v>
      </c>
      <c r="N57" s="78">
        <f t="shared" si="8"/>
        <v>0</v>
      </c>
      <c r="O57" s="78">
        <f>IFERROR(IF(K57=0,0, PPMT(NEW_I_Adj,'Loan Amort Table'!K57,NEW_Amort_Periods,NEW_Orig_Loan_Amount)),0)</f>
        <v>0</v>
      </c>
      <c r="P57" s="78">
        <f>IFERROR(IF(NEW_Amort = 0, -M57* NEW_I_Adj,IPMT(NEW_I_Adj,IF(K57 = 0, 1, K57),NEW_Amort_Periods,NEW_Orig_Loan_Amount)),0)</f>
        <v>0</v>
      </c>
      <c r="Q57" s="78">
        <f t="shared" si="9"/>
        <v>0</v>
      </c>
      <c r="S57">
        <f t="shared" si="2"/>
        <v>5</v>
      </c>
      <c r="T57">
        <f t="shared" si="10"/>
        <v>52</v>
      </c>
      <c r="U57" s="49">
        <f t="shared" si="21"/>
        <v>1553</v>
      </c>
      <c r="V57" s="78">
        <f t="shared" si="11"/>
        <v>0</v>
      </c>
      <c r="W57" s="78">
        <f t="shared" ca="1" si="22"/>
        <v>0</v>
      </c>
      <c r="X57" s="78">
        <f>IFERROR(IF(OR(T57=0, U57&gt;=Refi_Origination_Date),0, PPMT(Mezz_I_Adj,'Loan Amort Table'!T57,Mezz_Amort_Periods,Mezz_Orig_Loan_Amount)),0)</f>
        <v>0</v>
      </c>
      <c r="Y57" s="78" cm="1">
        <f t="array" aca="1" ref="Y57" ca="1">IFERROR(_xlfn.IFS(U57&gt;=Refi_Origination_Date,0, Mezz_Amort = 0, -V57 * Mezz_I_Adj, 1, IPMT(Mezz_I_Adj,IF(T57 = 0, 1, T57),Mezz_Amort_Periods,Mezz_Orig_Loan_Amount)),0)</f>
        <v>0</v>
      </c>
      <c r="Z57" s="78">
        <f t="shared" si="23"/>
        <v>0</v>
      </c>
      <c r="AB57">
        <f t="shared" si="3"/>
        <v>5</v>
      </c>
      <c r="AC57">
        <f t="shared" si="14"/>
        <v>52</v>
      </c>
      <c r="AD57" s="49">
        <f t="shared" si="24"/>
        <v>1553</v>
      </c>
      <c r="AE57" s="78">
        <f t="shared" si="15"/>
        <v>0</v>
      </c>
      <c r="AF57" s="78">
        <f t="shared" ca="1" si="25"/>
        <v>0</v>
      </c>
      <c r="AG57" s="78">
        <f ca="1">IFERROR(IF(AC57=0,0, PPMT(Refi_I_Adj,'Loan Amort Table'!AC57,Refi_Amort_Periods,Refi_Orig_Loan_Amount)),0)</f>
        <v>0</v>
      </c>
      <c r="AH57" s="78">
        <f t="shared" ca="1" si="4"/>
        <v>0</v>
      </c>
      <c r="AI57" s="78">
        <f t="shared" ca="1" si="26"/>
        <v>0</v>
      </c>
    </row>
    <row r="58" spans="1:35" x14ac:dyDescent="0.25">
      <c r="A58">
        <f t="shared" si="0"/>
        <v>5</v>
      </c>
      <c r="B58">
        <f t="shared" si="5"/>
        <v>53</v>
      </c>
      <c r="C58" s="49">
        <f t="shared" si="29"/>
        <v>1583</v>
      </c>
      <c r="D58" s="78">
        <f>IF(C58&gt;EDATE(DATE(YEAR(SED_Origination_Date)+ SED_Amort, MONTH(SED_Origination_Date), DAY(SED_Origination_Date)),SED_Interest_Only),0,H57)</f>
        <v>0</v>
      </c>
      <c r="E58" s="78">
        <f t="shared" si="6"/>
        <v>0</v>
      </c>
      <c r="F58" s="78">
        <f>IFERROR(IF(OR(B58=0, C58&gt;=Refi_Origination_Date),0, PPMT(SED_I_Adj,'Loan Amort Table'!B58,SED_Amort_Periods,SED_Orig_Loan_Amount)),0)</f>
        <v>0</v>
      </c>
      <c r="G58" s="78" cm="1">
        <f t="array" ref="G58">IFERROR(_xlfn.IFS(C58&gt;=Refi_Origination_Date, 0, SED_Amort = 0, -D58 * SED_I_Adj, 1, IPMT(SED_I_Adj,IF(B58 = 0, 1, B58),SED_Amort_Periods,SED_Orig_Loan_Amount)),0)</f>
        <v>0</v>
      </c>
      <c r="H58" s="78">
        <f t="shared" si="27"/>
        <v>0</v>
      </c>
      <c r="J58">
        <f t="shared" si="1"/>
        <v>5</v>
      </c>
      <c r="K58">
        <f t="shared" si="7"/>
        <v>53</v>
      </c>
      <c r="L58" s="49">
        <f t="shared" si="20"/>
        <v>1583</v>
      </c>
      <c r="M58" s="78">
        <f>IF(L58&gt;EDATE(DATE(YEAR(NEW_Origination_Date)+ NEW_Amort, MONTH(NEW_Origination_Date), DAY(NEW_Origination_Date)),NEW_Interest_Only),0,Q57)</f>
        <v>0</v>
      </c>
      <c r="N58" s="78">
        <f t="shared" si="8"/>
        <v>0</v>
      </c>
      <c r="O58" s="78">
        <f>IFERROR(IF(K58=0,0, PPMT(NEW_I_Adj,'Loan Amort Table'!K58,NEW_Amort_Periods,NEW_Orig_Loan_Amount)),0)</f>
        <v>0</v>
      </c>
      <c r="P58" s="78">
        <f>IFERROR(IF(NEW_Amort = 0, -M58* NEW_I_Adj,IPMT(NEW_I_Adj,IF(K58 = 0, 1, K58),NEW_Amort_Periods,NEW_Orig_Loan_Amount)),0)</f>
        <v>0</v>
      </c>
      <c r="Q58" s="78">
        <f t="shared" si="9"/>
        <v>0</v>
      </c>
      <c r="S58">
        <f t="shared" si="2"/>
        <v>5</v>
      </c>
      <c r="T58">
        <f t="shared" si="10"/>
        <v>53</v>
      </c>
      <c r="U58" s="49">
        <f t="shared" si="21"/>
        <v>1583</v>
      </c>
      <c r="V58" s="78">
        <f t="shared" si="11"/>
        <v>0</v>
      </c>
      <c r="W58" s="78">
        <f t="shared" ca="1" si="22"/>
        <v>0</v>
      </c>
      <c r="X58" s="78">
        <f>IFERROR(IF(OR(T58=0, U58&gt;=Refi_Origination_Date),0, PPMT(Mezz_I_Adj,'Loan Amort Table'!T58,Mezz_Amort_Periods,Mezz_Orig_Loan_Amount)),0)</f>
        <v>0</v>
      </c>
      <c r="Y58" s="78" cm="1">
        <f t="array" aca="1" ref="Y58" ca="1">IFERROR(_xlfn.IFS(U58&gt;=Refi_Origination_Date,0, Mezz_Amort = 0, -V58 * Mezz_I_Adj, 1, IPMT(Mezz_I_Adj,IF(T58 = 0, 1, T58),Mezz_Amort_Periods,Mezz_Orig_Loan_Amount)),0)</f>
        <v>0</v>
      </c>
      <c r="Z58" s="78">
        <f t="shared" si="23"/>
        <v>0</v>
      </c>
      <c r="AB58">
        <f t="shared" si="3"/>
        <v>5</v>
      </c>
      <c r="AC58">
        <f t="shared" si="14"/>
        <v>53</v>
      </c>
      <c r="AD58" s="49">
        <f t="shared" si="24"/>
        <v>1583</v>
      </c>
      <c r="AE58" s="78">
        <f t="shared" si="15"/>
        <v>0</v>
      </c>
      <c r="AF58" s="78">
        <f t="shared" ca="1" si="25"/>
        <v>0</v>
      </c>
      <c r="AG58" s="78">
        <f ca="1">IFERROR(IF(AC58=0,0, PPMT(Refi_I_Adj,'Loan Amort Table'!AC58,Refi_Amort_Periods,Refi_Orig_Loan_Amount)),0)</f>
        <v>0</v>
      </c>
      <c r="AH58" s="78">
        <f t="shared" ca="1" si="4"/>
        <v>0</v>
      </c>
      <c r="AI58" s="78">
        <f t="shared" ca="1" si="26"/>
        <v>0</v>
      </c>
    </row>
    <row r="59" spans="1:35" x14ac:dyDescent="0.25">
      <c r="A59">
        <f t="shared" si="0"/>
        <v>5</v>
      </c>
      <c r="B59">
        <f t="shared" si="5"/>
        <v>54</v>
      </c>
      <c r="C59" s="49">
        <f t="shared" si="29"/>
        <v>1614</v>
      </c>
      <c r="D59" s="78">
        <f>IF(C59&gt;EDATE(DATE(YEAR(SED_Origination_Date)+ SED_Amort, MONTH(SED_Origination_Date), DAY(SED_Origination_Date)),SED_Interest_Only),0,H58)</f>
        <v>0</v>
      </c>
      <c r="E59" s="78">
        <f t="shared" si="6"/>
        <v>0</v>
      </c>
      <c r="F59" s="78">
        <f>IFERROR(IF(OR(B59=0, C59&gt;=Refi_Origination_Date),0, PPMT(SED_I_Adj,'Loan Amort Table'!B59,SED_Amort_Periods,SED_Orig_Loan_Amount)),0)</f>
        <v>0</v>
      </c>
      <c r="G59" s="78" cm="1">
        <f t="array" ref="G59">IFERROR(_xlfn.IFS(C59&gt;=Refi_Origination_Date, 0, SED_Amort = 0, -D59 * SED_I_Adj, 1, IPMT(SED_I_Adj,IF(B59 = 0, 1, B59),SED_Amort_Periods,SED_Orig_Loan_Amount)),0)</f>
        <v>0</v>
      </c>
      <c r="H59" s="78">
        <f t="shared" si="27"/>
        <v>0</v>
      </c>
      <c r="J59">
        <f t="shared" si="1"/>
        <v>5</v>
      </c>
      <c r="K59">
        <f t="shared" si="7"/>
        <v>54</v>
      </c>
      <c r="L59" s="49">
        <f t="shared" si="20"/>
        <v>1614</v>
      </c>
      <c r="M59" s="78">
        <f>IF(L59&gt;EDATE(DATE(YEAR(NEW_Origination_Date)+ NEW_Amort, MONTH(NEW_Origination_Date), DAY(NEW_Origination_Date)),NEW_Interest_Only),0,Q58)</f>
        <v>0</v>
      </c>
      <c r="N59" s="78">
        <f t="shared" si="8"/>
        <v>0</v>
      </c>
      <c r="O59" s="78">
        <f>IFERROR(IF(K59=0,0, PPMT(NEW_I_Adj,'Loan Amort Table'!K59,NEW_Amort_Periods,NEW_Orig_Loan_Amount)),0)</f>
        <v>0</v>
      </c>
      <c r="P59" s="78">
        <f>IFERROR(IF(NEW_Amort = 0, -M59* NEW_I_Adj,IPMT(NEW_I_Adj,IF(K59 = 0, 1, K59),NEW_Amort_Periods,NEW_Orig_Loan_Amount)),0)</f>
        <v>0</v>
      </c>
      <c r="Q59" s="78">
        <f t="shared" si="9"/>
        <v>0</v>
      </c>
      <c r="S59">
        <f t="shared" si="2"/>
        <v>5</v>
      </c>
      <c r="T59">
        <f t="shared" si="10"/>
        <v>54</v>
      </c>
      <c r="U59" s="49">
        <f t="shared" si="21"/>
        <v>1614</v>
      </c>
      <c r="V59" s="78">
        <f t="shared" si="11"/>
        <v>0</v>
      </c>
      <c r="W59" s="78">
        <f t="shared" ca="1" si="22"/>
        <v>0</v>
      </c>
      <c r="X59" s="78">
        <f>IFERROR(IF(OR(T59=0, U59&gt;=Refi_Origination_Date),0, PPMT(Mezz_I_Adj,'Loan Amort Table'!T59,Mezz_Amort_Periods,Mezz_Orig_Loan_Amount)),0)</f>
        <v>0</v>
      </c>
      <c r="Y59" s="78" cm="1">
        <f t="array" aca="1" ref="Y59" ca="1">IFERROR(_xlfn.IFS(U59&gt;=Refi_Origination_Date,0, Mezz_Amort = 0, -V59 * Mezz_I_Adj, 1, IPMT(Mezz_I_Adj,IF(T59 = 0, 1, T59),Mezz_Amort_Periods,Mezz_Orig_Loan_Amount)),0)</f>
        <v>0</v>
      </c>
      <c r="Z59" s="78">
        <f t="shared" si="23"/>
        <v>0</v>
      </c>
      <c r="AB59">
        <f t="shared" si="3"/>
        <v>5</v>
      </c>
      <c r="AC59">
        <f t="shared" si="14"/>
        <v>54</v>
      </c>
      <c r="AD59" s="49">
        <f t="shared" si="24"/>
        <v>1614</v>
      </c>
      <c r="AE59" s="78">
        <f t="shared" si="15"/>
        <v>0</v>
      </c>
      <c r="AF59" s="78">
        <f t="shared" ca="1" si="25"/>
        <v>0</v>
      </c>
      <c r="AG59" s="78">
        <f ca="1">IFERROR(IF(AC59=0,0, PPMT(Refi_I_Adj,'Loan Amort Table'!AC59,Refi_Amort_Periods,Refi_Orig_Loan_Amount)),0)</f>
        <v>0</v>
      </c>
      <c r="AH59" s="78">
        <f t="shared" ca="1" si="4"/>
        <v>0</v>
      </c>
      <c r="AI59" s="78">
        <f t="shared" ca="1" si="26"/>
        <v>0</v>
      </c>
    </row>
    <row r="60" spans="1:35" x14ac:dyDescent="0.25">
      <c r="A60">
        <f t="shared" si="0"/>
        <v>5</v>
      </c>
      <c r="B60">
        <f t="shared" si="5"/>
        <v>55</v>
      </c>
      <c r="C60" s="49">
        <f t="shared" si="29"/>
        <v>1644</v>
      </c>
      <c r="D60" s="78">
        <f>IF(C60&gt;EDATE(DATE(YEAR(SED_Origination_Date)+ SED_Amort, MONTH(SED_Origination_Date), DAY(SED_Origination_Date)),SED_Interest_Only),0,H59)</f>
        <v>0</v>
      </c>
      <c r="E60" s="78">
        <f t="shared" si="6"/>
        <v>0</v>
      </c>
      <c r="F60" s="78">
        <f>IFERROR(IF(OR(B60=0, C60&gt;=Refi_Origination_Date),0, PPMT(SED_I_Adj,'Loan Amort Table'!B60,SED_Amort_Periods,SED_Orig_Loan_Amount)),0)</f>
        <v>0</v>
      </c>
      <c r="G60" s="78" cm="1">
        <f t="array" ref="G60">IFERROR(_xlfn.IFS(C60&gt;=Refi_Origination_Date, 0, SED_Amort = 0, -D60 * SED_I_Adj, 1, IPMT(SED_I_Adj,IF(B60 = 0, 1, B60),SED_Amort_Periods,SED_Orig_Loan_Amount)),0)</f>
        <v>0</v>
      </c>
      <c r="H60" s="78">
        <f t="shared" si="27"/>
        <v>0</v>
      </c>
      <c r="J60">
        <f t="shared" si="1"/>
        <v>5</v>
      </c>
      <c r="K60">
        <f t="shared" si="7"/>
        <v>55</v>
      </c>
      <c r="L60" s="49">
        <f t="shared" si="20"/>
        <v>1644</v>
      </c>
      <c r="M60" s="78">
        <f>IF(L60&gt;EDATE(DATE(YEAR(NEW_Origination_Date)+ NEW_Amort, MONTH(NEW_Origination_Date), DAY(NEW_Origination_Date)),NEW_Interest_Only),0,Q59)</f>
        <v>0</v>
      </c>
      <c r="N60" s="78">
        <f t="shared" si="8"/>
        <v>0</v>
      </c>
      <c r="O60" s="78">
        <f>IFERROR(IF(K60=0,0, PPMT(NEW_I_Adj,'Loan Amort Table'!K60,NEW_Amort_Periods,NEW_Orig_Loan_Amount)),0)</f>
        <v>0</v>
      </c>
      <c r="P60" s="78">
        <f>IFERROR(IF(NEW_Amort = 0, -M60* NEW_I_Adj,IPMT(NEW_I_Adj,IF(K60 = 0, 1, K60),NEW_Amort_Periods,NEW_Orig_Loan_Amount)),0)</f>
        <v>0</v>
      </c>
      <c r="Q60" s="78">
        <f t="shared" si="9"/>
        <v>0</v>
      </c>
      <c r="S60">
        <f t="shared" si="2"/>
        <v>5</v>
      </c>
      <c r="T60">
        <f t="shared" si="10"/>
        <v>55</v>
      </c>
      <c r="U60" s="49">
        <f t="shared" si="21"/>
        <v>1644</v>
      </c>
      <c r="V60" s="78">
        <f t="shared" si="11"/>
        <v>0</v>
      </c>
      <c r="W60" s="78">
        <f t="shared" ca="1" si="22"/>
        <v>0</v>
      </c>
      <c r="X60" s="78">
        <f>IFERROR(IF(OR(T60=0, U60&gt;=Refi_Origination_Date),0, PPMT(Mezz_I_Adj,'Loan Amort Table'!T60,Mezz_Amort_Periods,Mezz_Orig_Loan_Amount)),0)</f>
        <v>0</v>
      </c>
      <c r="Y60" s="78" cm="1">
        <f t="array" aca="1" ref="Y60" ca="1">IFERROR(_xlfn.IFS(U60&gt;=Refi_Origination_Date,0, Mezz_Amort = 0, -V60 * Mezz_I_Adj, 1, IPMT(Mezz_I_Adj,IF(T60 = 0, 1, T60),Mezz_Amort_Periods,Mezz_Orig_Loan_Amount)),0)</f>
        <v>0</v>
      </c>
      <c r="Z60" s="78">
        <f t="shared" si="23"/>
        <v>0</v>
      </c>
      <c r="AB60">
        <f t="shared" si="3"/>
        <v>5</v>
      </c>
      <c r="AC60">
        <f t="shared" si="14"/>
        <v>55</v>
      </c>
      <c r="AD60" s="49">
        <f t="shared" si="24"/>
        <v>1644</v>
      </c>
      <c r="AE60" s="78">
        <f t="shared" si="15"/>
        <v>0</v>
      </c>
      <c r="AF60" s="78">
        <f t="shared" ca="1" si="25"/>
        <v>0</v>
      </c>
      <c r="AG60" s="78">
        <f ca="1">IFERROR(IF(AC60=0,0, PPMT(Refi_I_Adj,'Loan Amort Table'!AC60,Refi_Amort_Periods,Refi_Orig_Loan_Amount)),0)</f>
        <v>0</v>
      </c>
      <c r="AH60" s="78">
        <f t="shared" ca="1" si="4"/>
        <v>0</v>
      </c>
      <c r="AI60" s="78">
        <f t="shared" ca="1" si="26"/>
        <v>0</v>
      </c>
    </row>
    <row r="61" spans="1:35" x14ac:dyDescent="0.25">
      <c r="A61">
        <f t="shared" si="0"/>
        <v>5</v>
      </c>
      <c r="B61">
        <f t="shared" si="5"/>
        <v>56</v>
      </c>
      <c r="C61" s="49">
        <f t="shared" si="29"/>
        <v>1675</v>
      </c>
      <c r="D61" s="78">
        <f>IF(C61&gt;EDATE(DATE(YEAR(SED_Origination_Date)+ SED_Amort, MONTH(SED_Origination_Date), DAY(SED_Origination_Date)),SED_Interest_Only),0,H60)</f>
        <v>0</v>
      </c>
      <c r="E61" s="78">
        <f t="shared" si="6"/>
        <v>0</v>
      </c>
      <c r="F61" s="78">
        <f>IFERROR(IF(OR(B61=0, C61&gt;=Refi_Origination_Date),0, PPMT(SED_I_Adj,'Loan Amort Table'!B61,SED_Amort_Periods,SED_Orig_Loan_Amount)),0)</f>
        <v>0</v>
      </c>
      <c r="G61" s="78" cm="1">
        <f t="array" ref="G61">IFERROR(_xlfn.IFS(C61&gt;=Refi_Origination_Date, 0, SED_Amort = 0, -D61 * SED_I_Adj, 1, IPMT(SED_I_Adj,IF(B61 = 0, 1, B61),SED_Amort_Periods,SED_Orig_Loan_Amount)),0)</f>
        <v>0</v>
      </c>
      <c r="H61" s="78">
        <f t="shared" si="27"/>
        <v>0</v>
      </c>
      <c r="J61">
        <f t="shared" si="1"/>
        <v>5</v>
      </c>
      <c r="K61">
        <f t="shared" si="7"/>
        <v>56</v>
      </c>
      <c r="L61" s="49">
        <f t="shared" si="20"/>
        <v>1675</v>
      </c>
      <c r="M61" s="78">
        <f>IF(L61&gt;EDATE(DATE(YEAR(NEW_Origination_Date)+ NEW_Amort, MONTH(NEW_Origination_Date), DAY(NEW_Origination_Date)),NEW_Interest_Only),0,Q60)</f>
        <v>0</v>
      </c>
      <c r="N61" s="78">
        <f t="shared" si="8"/>
        <v>0</v>
      </c>
      <c r="O61" s="78">
        <f>IFERROR(IF(K61=0,0, PPMT(NEW_I_Adj,'Loan Amort Table'!K61,NEW_Amort_Periods,NEW_Orig_Loan_Amount)),0)</f>
        <v>0</v>
      </c>
      <c r="P61" s="78">
        <f>IFERROR(IF(NEW_Amort = 0, -M61* NEW_I_Adj,IPMT(NEW_I_Adj,IF(K61 = 0, 1, K61),NEW_Amort_Periods,NEW_Orig_Loan_Amount)),0)</f>
        <v>0</v>
      </c>
      <c r="Q61" s="78">
        <f t="shared" si="9"/>
        <v>0</v>
      </c>
      <c r="S61">
        <f t="shared" si="2"/>
        <v>5</v>
      </c>
      <c r="T61">
        <f t="shared" si="10"/>
        <v>56</v>
      </c>
      <c r="U61" s="49">
        <f t="shared" si="21"/>
        <v>1675</v>
      </c>
      <c r="V61" s="78">
        <f t="shared" si="11"/>
        <v>0</v>
      </c>
      <c r="W61" s="78">
        <f t="shared" ca="1" si="22"/>
        <v>0</v>
      </c>
      <c r="X61" s="78">
        <f>IFERROR(IF(OR(T61=0, U61&gt;=Refi_Origination_Date),0, PPMT(Mezz_I_Adj,'Loan Amort Table'!T61,Mezz_Amort_Periods,Mezz_Orig_Loan_Amount)),0)</f>
        <v>0</v>
      </c>
      <c r="Y61" s="78" cm="1">
        <f t="array" aca="1" ref="Y61" ca="1">IFERROR(_xlfn.IFS(U61&gt;=Refi_Origination_Date,0, Mezz_Amort = 0, -V61 * Mezz_I_Adj, 1, IPMT(Mezz_I_Adj,IF(T61 = 0, 1, T61),Mezz_Amort_Periods,Mezz_Orig_Loan_Amount)),0)</f>
        <v>0</v>
      </c>
      <c r="Z61" s="78">
        <f t="shared" si="23"/>
        <v>0</v>
      </c>
      <c r="AB61">
        <f t="shared" si="3"/>
        <v>5</v>
      </c>
      <c r="AC61">
        <f t="shared" si="14"/>
        <v>56</v>
      </c>
      <c r="AD61" s="49">
        <f t="shared" si="24"/>
        <v>1675</v>
      </c>
      <c r="AE61" s="78">
        <f t="shared" si="15"/>
        <v>0</v>
      </c>
      <c r="AF61" s="78">
        <f t="shared" ca="1" si="25"/>
        <v>0</v>
      </c>
      <c r="AG61" s="78">
        <f ca="1">IFERROR(IF(AC61=0,0, PPMT(Refi_I_Adj,'Loan Amort Table'!AC61,Refi_Amort_Periods,Refi_Orig_Loan_Amount)),0)</f>
        <v>0</v>
      </c>
      <c r="AH61" s="78">
        <f t="shared" ca="1" si="4"/>
        <v>0</v>
      </c>
      <c r="AI61" s="78">
        <f t="shared" ca="1" si="26"/>
        <v>0</v>
      </c>
    </row>
    <row r="62" spans="1:35" x14ac:dyDescent="0.25">
      <c r="A62">
        <f t="shared" si="0"/>
        <v>5</v>
      </c>
      <c r="B62">
        <f t="shared" si="5"/>
        <v>57</v>
      </c>
      <c r="C62" s="49">
        <f t="shared" si="29"/>
        <v>1706</v>
      </c>
      <c r="D62" s="78">
        <f>IF(C62&gt;EDATE(DATE(YEAR(SED_Origination_Date)+ SED_Amort, MONTH(SED_Origination_Date), DAY(SED_Origination_Date)),SED_Interest_Only),0,H61)</f>
        <v>0</v>
      </c>
      <c r="E62" s="78">
        <f t="shared" si="6"/>
        <v>0</v>
      </c>
      <c r="F62" s="78">
        <f>IFERROR(IF(OR(B62=0, C62&gt;=Refi_Origination_Date),0, PPMT(SED_I_Adj,'Loan Amort Table'!B62,SED_Amort_Periods,SED_Orig_Loan_Amount)),0)</f>
        <v>0</v>
      </c>
      <c r="G62" s="78" cm="1">
        <f t="array" ref="G62">IFERROR(_xlfn.IFS(C62&gt;=Refi_Origination_Date, 0, SED_Amort = 0, -D62 * SED_I_Adj, 1, IPMT(SED_I_Adj,IF(B62 = 0, 1, B62),SED_Amort_Periods,SED_Orig_Loan_Amount)),0)</f>
        <v>0</v>
      </c>
      <c r="H62" s="78">
        <f t="shared" si="27"/>
        <v>0</v>
      </c>
      <c r="J62">
        <f t="shared" si="1"/>
        <v>5</v>
      </c>
      <c r="K62">
        <f t="shared" si="7"/>
        <v>57</v>
      </c>
      <c r="L62" s="49">
        <f t="shared" si="20"/>
        <v>1706</v>
      </c>
      <c r="M62" s="78">
        <f>IF(L62&gt;EDATE(DATE(YEAR(NEW_Origination_Date)+ NEW_Amort, MONTH(NEW_Origination_Date), DAY(NEW_Origination_Date)),NEW_Interest_Only),0,Q61)</f>
        <v>0</v>
      </c>
      <c r="N62" s="78">
        <f t="shared" si="8"/>
        <v>0</v>
      </c>
      <c r="O62" s="78">
        <f>IFERROR(IF(K62=0,0, PPMT(NEW_I_Adj,'Loan Amort Table'!K62,NEW_Amort_Periods,NEW_Orig_Loan_Amount)),0)</f>
        <v>0</v>
      </c>
      <c r="P62" s="78">
        <f>IFERROR(IF(NEW_Amort = 0, -M62* NEW_I_Adj,IPMT(NEW_I_Adj,IF(K62 = 0, 1, K62),NEW_Amort_Periods,NEW_Orig_Loan_Amount)),0)</f>
        <v>0</v>
      </c>
      <c r="Q62" s="78">
        <f t="shared" si="9"/>
        <v>0</v>
      </c>
      <c r="S62">
        <f t="shared" si="2"/>
        <v>5</v>
      </c>
      <c r="T62">
        <f t="shared" si="10"/>
        <v>57</v>
      </c>
      <c r="U62" s="49">
        <f t="shared" si="21"/>
        <v>1706</v>
      </c>
      <c r="V62" s="78">
        <f t="shared" si="11"/>
        <v>0</v>
      </c>
      <c r="W62" s="78">
        <f t="shared" ca="1" si="22"/>
        <v>0</v>
      </c>
      <c r="X62" s="78">
        <f>IFERROR(IF(OR(T62=0, U62&gt;=Refi_Origination_Date),0, PPMT(Mezz_I_Adj,'Loan Amort Table'!T62,Mezz_Amort_Periods,Mezz_Orig_Loan_Amount)),0)</f>
        <v>0</v>
      </c>
      <c r="Y62" s="78" cm="1">
        <f t="array" aca="1" ref="Y62" ca="1">IFERROR(_xlfn.IFS(U62&gt;=Refi_Origination_Date,0, Mezz_Amort = 0, -V62 * Mezz_I_Adj, 1, IPMT(Mezz_I_Adj,IF(T62 = 0, 1, T62),Mezz_Amort_Periods,Mezz_Orig_Loan_Amount)),0)</f>
        <v>0</v>
      </c>
      <c r="Z62" s="78">
        <f t="shared" si="23"/>
        <v>0</v>
      </c>
      <c r="AB62">
        <f t="shared" si="3"/>
        <v>5</v>
      </c>
      <c r="AC62">
        <f t="shared" si="14"/>
        <v>57</v>
      </c>
      <c r="AD62" s="49">
        <f t="shared" si="24"/>
        <v>1706</v>
      </c>
      <c r="AE62" s="78">
        <f t="shared" si="15"/>
        <v>0</v>
      </c>
      <c r="AF62" s="78">
        <f t="shared" ca="1" si="25"/>
        <v>0</v>
      </c>
      <c r="AG62" s="78">
        <f ca="1">IFERROR(IF(AC62=0,0, PPMT(Refi_I_Adj,'Loan Amort Table'!AC62,Refi_Amort_Periods,Refi_Orig_Loan_Amount)),0)</f>
        <v>0</v>
      </c>
      <c r="AH62" s="78">
        <f t="shared" ca="1" si="4"/>
        <v>0</v>
      </c>
      <c r="AI62" s="78">
        <f t="shared" ca="1" si="26"/>
        <v>0</v>
      </c>
    </row>
    <row r="63" spans="1:35" x14ac:dyDescent="0.25">
      <c r="A63">
        <f t="shared" si="0"/>
        <v>5</v>
      </c>
      <c r="B63">
        <f t="shared" si="5"/>
        <v>58</v>
      </c>
      <c r="C63" s="49">
        <f t="shared" si="29"/>
        <v>1736</v>
      </c>
      <c r="D63" s="78">
        <f>IF(C63&gt;EDATE(DATE(YEAR(SED_Origination_Date)+ SED_Amort, MONTH(SED_Origination_Date), DAY(SED_Origination_Date)),SED_Interest_Only),0,H62)</f>
        <v>0</v>
      </c>
      <c r="E63" s="78">
        <f t="shared" si="6"/>
        <v>0</v>
      </c>
      <c r="F63" s="78">
        <f>IFERROR(IF(OR(B63=0, C63&gt;=Refi_Origination_Date),0, PPMT(SED_I_Adj,'Loan Amort Table'!B63,SED_Amort_Periods,SED_Orig_Loan_Amount)),0)</f>
        <v>0</v>
      </c>
      <c r="G63" s="78" cm="1">
        <f t="array" ref="G63">IFERROR(_xlfn.IFS(C63&gt;=Refi_Origination_Date, 0, SED_Amort = 0, -D63 * SED_I_Adj, 1, IPMT(SED_I_Adj,IF(B63 = 0, 1, B63),SED_Amort_Periods,SED_Orig_Loan_Amount)),0)</f>
        <v>0</v>
      </c>
      <c r="H63" s="78">
        <f t="shared" si="27"/>
        <v>0</v>
      </c>
      <c r="J63">
        <f t="shared" si="1"/>
        <v>5</v>
      </c>
      <c r="K63">
        <f t="shared" si="7"/>
        <v>58</v>
      </c>
      <c r="L63" s="49">
        <f t="shared" si="20"/>
        <v>1736</v>
      </c>
      <c r="M63" s="78">
        <f>IF(L63&gt;EDATE(DATE(YEAR(NEW_Origination_Date)+ NEW_Amort, MONTH(NEW_Origination_Date), DAY(NEW_Origination_Date)),NEW_Interest_Only),0,Q62)</f>
        <v>0</v>
      </c>
      <c r="N63" s="78">
        <f t="shared" si="8"/>
        <v>0</v>
      </c>
      <c r="O63" s="78">
        <f>IFERROR(IF(K63=0,0, PPMT(NEW_I_Adj,'Loan Amort Table'!K63,NEW_Amort_Periods,NEW_Orig_Loan_Amount)),0)</f>
        <v>0</v>
      </c>
      <c r="P63" s="78">
        <f>IFERROR(IF(NEW_Amort = 0, -M63* NEW_I_Adj,IPMT(NEW_I_Adj,IF(K63 = 0, 1, K63),NEW_Amort_Periods,NEW_Orig_Loan_Amount)),0)</f>
        <v>0</v>
      </c>
      <c r="Q63" s="78">
        <f t="shared" si="9"/>
        <v>0</v>
      </c>
      <c r="S63">
        <f t="shared" si="2"/>
        <v>5</v>
      </c>
      <c r="T63">
        <f t="shared" si="10"/>
        <v>58</v>
      </c>
      <c r="U63" s="49">
        <f t="shared" si="21"/>
        <v>1736</v>
      </c>
      <c r="V63" s="78">
        <f t="shared" si="11"/>
        <v>0</v>
      </c>
      <c r="W63" s="78">
        <f t="shared" ca="1" si="22"/>
        <v>0</v>
      </c>
      <c r="X63" s="78">
        <f>IFERROR(IF(OR(T63=0, U63&gt;=Refi_Origination_Date),0, PPMT(Mezz_I_Adj,'Loan Amort Table'!T63,Mezz_Amort_Periods,Mezz_Orig_Loan_Amount)),0)</f>
        <v>0</v>
      </c>
      <c r="Y63" s="78" cm="1">
        <f t="array" aca="1" ref="Y63" ca="1">IFERROR(_xlfn.IFS(U63&gt;=Refi_Origination_Date,0, Mezz_Amort = 0, -V63 * Mezz_I_Adj, 1, IPMT(Mezz_I_Adj,IF(T63 = 0, 1, T63),Mezz_Amort_Periods,Mezz_Orig_Loan_Amount)),0)</f>
        <v>0</v>
      </c>
      <c r="Z63" s="78">
        <f t="shared" si="23"/>
        <v>0</v>
      </c>
      <c r="AB63">
        <f t="shared" si="3"/>
        <v>5</v>
      </c>
      <c r="AC63">
        <f t="shared" si="14"/>
        <v>58</v>
      </c>
      <c r="AD63" s="49">
        <f t="shared" si="24"/>
        <v>1736</v>
      </c>
      <c r="AE63" s="78">
        <f t="shared" si="15"/>
        <v>0</v>
      </c>
      <c r="AF63" s="78">
        <f t="shared" ca="1" si="25"/>
        <v>0</v>
      </c>
      <c r="AG63" s="78">
        <f ca="1">IFERROR(IF(AC63=0,0, PPMT(Refi_I_Adj,'Loan Amort Table'!AC63,Refi_Amort_Periods,Refi_Orig_Loan_Amount)),0)</f>
        <v>0</v>
      </c>
      <c r="AH63" s="78">
        <f t="shared" ca="1" si="4"/>
        <v>0</v>
      </c>
      <c r="AI63" s="78">
        <f t="shared" ca="1" si="26"/>
        <v>0</v>
      </c>
    </row>
    <row r="64" spans="1:35" x14ac:dyDescent="0.25">
      <c r="A64">
        <f t="shared" si="0"/>
        <v>5</v>
      </c>
      <c r="B64">
        <f t="shared" si="5"/>
        <v>59</v>
      </c>
      <c r="C64" s="49">
        <f t="shared" si="29"/>
        <v>1767</v>
      </c>
      <c r="D64" s="78">
        <f>IF(C64&gt;EDATE(DATE(YEAR(SED_Origination_Date)+ SED_Amort, MONTH(SED_Origination_Date), DAY(SED_Origination_Date)),SED_Interest_Only),0,H63)</f>
        <v>0</v>
      </c>
      <c r="E64" s="78">
        <f t="shared" si="6"/>
        <v>0</v>
      </c>
      <c r="F64" s="78">
        <f>IFERROR(IF(OR(B64=0, C64&gt;=Refi_Origination_Date),0, PPMT(SED_I_Adj,'Loan Amort Table'!B64,SED_Amort_Periods,SED_Orig_Loan_Amount)),0)</f>
        <v>0</v>
      </c>
      <c r="G64" s="78" cm="1">
        <f t="array" ref="G64">IFERROR(_xlfn.IFS(C64&gt;=Refi_Origination_Date, 0, SED_Amort = 0, -D64 * SED_I_Adj, 1, IPMT(SED_I_Adj,IF(B64 = 0, 1, B64),SED_Amort_Periods,SED_Orig_Loan_Amount)),0)</f>
        <v>0</v>
      </c>
      <c r="H64" s="78">
        <f t="shared" si="27"/>
        <v>0</v>
      </c>
      <c r="J64">
        <f t="shared" si="1"/>
        <v>5</v>
      </c>
      <c r="K64">
        <f t="shared" si="7"/>
        <v>59</v>
      </c>
      <c r="L64" s="49">
        <f t="shared" si="20"/>
        <v>1767</v>
      </c>
      <c r="M64" s="78">
        <f>IF(L64&gt;EDATE(DATE(YEAR(NEW_Origination_Date)+ NEW_Amort, MONTH(NEW_Origination_Date), DAY(NEW_Origination_Date)),NEW_Interest_Only),0,Q63)</f>
        <v>0</v>
      </c>
      <c r="N64" s="78">
        <f t="shared" si="8"/>
        <v>0</v>
      </c>
      <c r="O64" s="78">
        <f>IFERROR(IF(K64=0,0, PPMT(NEW_I_Adj,'Loan Amort Table'!K64,NEW_Amort_Periods,NEW_Orig_Loan_Amount)),0)</f>
        <v>0</v>
      </c>
      <c r="P64" s="78">
        <f>IFERROR(IF(NEW_Amort = 0, -M64* NEW_I_Adj,IPMT(NEW_I_Adj,IF(K64 = 0, 1, K64),NEW_Amort_Periods,NEW_Orig_Loan_Amount)),0)</f>
        <v>0</v>
      </c>
      <c r="Q64" s="78">
        <f t="shared" si="9"/>
        <v>0</v>
      </c>
      <c r="S64">
        <f t="shared" si="2"/>
        <v>5</v>
      </c>
      <c r="T64">
        <f t="shared" si="10"/>
        <v>59</v>
      </c>
      <c r="U64" s="49">
        <f t="shared" si="21"/>
        <v>1767</v>
      </c>
      <c r="V64" s="78">
        <f t="shared" si="11"/>
        <v>0</v>
      </c>
      <c r="W64" s="78">
        <f t="shared" ca="1" si="22"/>
        <v>0</v>
      </c>
      <c r="X64" s="78">
        <f>IFERROR(IF(OR(T64=0, U64&gt;=Refi_Origination_Date),0, PPMT(Mezz_I_Adj,'Loan Amort Table'!T64,Mezz_Amort_Periods,Mezz_Orig_Loan_Amount)),0)</f>
        <v>0</v>
      </c>
      <c r="Y64" s="78" cm="1">
        <f t="array" aca="1" ref="Y64" ca="1">IFERROR(_xlfn.IFS(U64&gt;=Refi_Origination_Date,0, Mezz_Amort = 0, -V64 * Mezz_I_Adj, 1, IPMT(Mezz_I_Adj,IF(T64 = 0, 1, T64),Mezz_Amort_Periods,Mezz_Orig_Loan_Amount)),0)</f>
        <v>0</v>
      </c>
      <c r="Z64" s="78">
        <f t="shared" si="23"/>
        <v>0</v>
      </c>
      <c r="AB64">
        <f t="shared" si="3"/>
        <v>5</v>
      </c>
      <c r="AC64">
        <f t="shared" si="14"/>
        <v>59</v>
      </c>
      <c r="AD64" s="49">
        <f t="shared" si="24"/>
        <v>1767</v>
      </c>
      <c r="AE64" s="78">
        <f t="shared" si="15"/>
        <v>0</v>
      </c>
      <c r="AF64" s="78">
        <f t="shared" ca="1" si="25"/>
        <v>0</v>
      </c>
      <c r="AG64" s="78">
        <f ca="1">IFERROR(IF(AC64=0,0, PPMT(Refi_I_Adj,'Loan Amort Table'!AC64,Refi_Amort_Periods,Refi_Orig_Loan_Amount)),0)</f>
        <v>0</v>
      </c>
      <c r="AH64" s="78">
        <f t="shared" ca="1" si="4"/>
        <v>0</v>
      </c>
      <c r="AI64" s="78">
        <f t="shared" ca="1" si="26"/>
        <v>0</v>
      </c>
    </row>
    <row r="65" spans="1:35" x14ac:dyDescent="0.25">
      <c r="A65">
        <f t="shared" si="0"/>
        <v>5</v>
      </c>
      <c r="B65">
        <f t="shared" si="5"/>
        <v>60</v>
      </c>
      <c r="C65" s="49">
        <f t="shared" si="29"/>
        <v>1797</v>
      </c>
      <c r="D65" s="78">
        <f>IF(C65&gt;EDATE(DATE(YEAR(SED_Origination_Date)+ SED_Amort, MONTH(SED_Origination_Date), DAY(SED_Origination_Date)),SED_Interest_Only),0,H64)</f>
        <v>0</v>
      </c>
      <c r="E65" s="78">
        <f t="shared" si="6"/>
        <v>0</v>
      </c>
      <c r="F65" s="78">
        <f>IFERROR(IF(OR(B65=0, C65&gt;=Refi_Origination_Date),0, PPMT(SED_I_Adj,'Loan Amort Table'!B65,SED_Amort_Periods,SED_Orig_Loan_Amount)),0)</f>
        <v>0</v>
      </c>
      <c r="G65" s="78" cm="1">
        <f t="array" ref="G65">IFERROR(_xlfn.IFS(C65&gt;=Refi_Origination_Date, 0, SED_Amort = 0, -D65 * SED_I_Adj, 1, IPMT(SED_I_Adj,IF(B65 = 0, 1, B65),SED_Amort_Periods,SED_Orig_Loan_Amount)),0)</f>
        <v>0</v>
      </c>
      <c r="H65" s="78">
        <f t="shared" si="27"/>
        <v>0</v>
      </c>
      <c r="J65">
        <f t="shared" si="1"/>
        <v>5</v>
      </c>
      <c r="K65">
        <f t="shared" si="7"/>
        <v>60</v>
      </c>
      <c r="L65" s="49">
        <f t="shared" si="20"/>
        <v>1797</v>
      </c>
      <c r="M65" s="78">
        <f>IF(L65&gt;EDATE(DATE(YEAR(NEW_Origination_Date)+ NEW_Amort, MONTH(NEW_Origination_Date), DAY(NEW_Origination_Date)),NEW_Interest_Only),0,Q64)</f>
        <v>0</v>
      </c>
      <c r="N65" s="78">
        <f t="shared" si="8"/>
        <v>0</v>
      </c>
      <c r="O65" s="78">
        <f>IFERROR(IF(K65=0,0, PPMT(NEW_I_Adj,'Loan Amort Table'!K65,NEW_Amort_Periods,NEW_Orig_Loan_Amount)),0)</f>
        <v>0</v>
      </c>
      <c r="P65" s="78">
        <f>IFERROR(IF(NEW_Amort = 0, -M65* NEW_I_Adj,IPMT(NEW_I_Adj,IF(K65 = 0, 1, K65),NEW_Amort_Periods,NEW_Orig_Loan_Amount)),0)</f>
        <v>0</v>
      </c>
      <c r="Q65" s="78">
        <f t="shared" si="9"/>
        <v>0</v>
      </c>
      <c r="S65">
        <f t="shared" si="2"/>
        <v>5</v>
      </c>
      <c r="T65">
        <f t="shared" si="10"/>
        <v>60</v>
      </c>
      <c r="U65" s="49">
        <f t="shared" si="21"/>
        <v>1797</v>
      </c>
      <c r="V65" s="78">
        <f t="shared" si="11"/>
        <v>0</v>
      </c>
      <c r="W65" s="78">
        <f t="shared" ca="1" si="22"/>
        <v>0</v>
      </c>
      <c r="X65" s="78">
        <f>IFERROR(IF(OR(T65=0, U65&gt;=Refi_Origination_Date),0, PPMT(Mezz_I_Adj,'Loan Amort Table'!T65,Mezz_Amort_Periods,Mezz_Orig_Loan_Amount)),0)</f>
        <v>0</v>
      </c>
      <c r="Y65" s="78" cm="1">
        <f t="array" aca="1" ref="Y65" ca="1">IFERROR(_xlfn.IFS(U65&gt;=Refi_Origination_Date,0, Mezz_Amort = 0, -V65 * Mezz_I_Adj, 1, IPMT(Mezz_I_Adj,IF(T65 = 0, 1, T65),Mezz_Amort_Periods,Mezz_Orig_Loan_Amount)),0)</f>
        <v>0</v>
      </c>
      <c r="Z65" s="78">
        <f t="shared" si="23"/>
        <v>0</v>
      </c>
      <c r="AB65">
        <f t="shared" si="3"/>
        <v>5</v>
      </c>
      <c r="AC65">
        <f t="shared" si="14"/>
        <v>60</v>
      </c>
      <c r="AD65" s="49">
        <f t="shared" si="24"/>
        <v>1797</v>
      </c>
      <c r="AE65" s="78">
        <f t="shared" si="15"/>
        <v>0</v>
      </c>
      <c r="AF65" s="78">
        <f t="shared" ca="1" si="25"/>
        <v>0</v>
      </c>
      <c r="AG65" s="78">
        <f ca="1">IFERROR(IF(AC65=0,0, PPMT(Refi_I_Adj,'Loan Amort Table'!AC65,Refi_Amort_Periods,Refi_Orig_Loan_Amount)),0)</f>
        <v>0</v>
      </c>
      <c r="AH65" s="78">
        <f t="shared" ca="1" si="4"/>
        <v>0</v>
      </c>
      <c r="AI65" s="78">
        <f t="shared" ca="1" si="26"/>
        <v>0</v>
      </c>
    </row>
    <row r="66" spans="1:35" x14ac:dyDescent="0.25">
      <c r="A66">
        <f t="shared" si="0"/>
        <v>6</v>
      </c>
      <c r="B66">
        <f t="shared" si="5"/>
        <v>61</v>
      </c>
      <c r="C66" s="49">
        <f t="shared" si="29"/>
        <v>1828</v>
      </c>
      <c r="D66" s="78">
        <f>IF(C66&gt;EDATE(DATE(YEAR(SED_Origination_Date)+ SED_Amort, MONTH(SED_Origination_Date), DAY(SED_Origination_Date)),SED_Interest_Only),0,H65)</f>
        <v>0</v>
      </c>
      <c r="E66" s="78">
        <f t="shared" si="6"/>
        <v>0</v>
      </c>
      <c r="F66" s="78">
        <f>IFERROR(IF(OR(B66=0, C66&gt;=Refi_Origination_Date),0, PPMT(SED_I_Adj,'Loan Amort Table'!B66,SED_Amort_Periods,SED_Orig_Loan_Amount)),0)</f>
        <v>0</v>
      </c>
      <c r="G66" s="78" cm="1">
        <f t="array" ref="G66">IFERROR(_xlfn.IFS(C66&gt;=Refi_Origination_Date, 0, SED_Amort = 0, -D66 * SED_I_Adj, 1, IPMT(SED_I_Adj,IF(B66 = 0, 1, B66),SED_Amort_Periods,SED_Orig_Loan_Amount)),0)</f>
        <v>0</v>
      </c>
      <c r="H66" s="78">
        <f t="shared" si="27"/>
        <v>0</v>
      </c>
      <c r="J66">
        <f t="shared" si="1"/>
        <v>6</v>
      </c>
      <c r="K66">
        <f t="shared" si="7"/>
        <v>61</v>
      </c>
      <c r="L66" s="49">
        <f t="shared" si="20"/>
        <v>1828</v>
      </c>
      <c r="M66" s="78">
        <f>IF(L66&gt;EDATE(DATE(YEAR(NEW_Origination_Date)+ NEW_Amort, MONTH(NEW_Origination_Date), DAY(NEW_Origination_Date)),NEW_Interest_Only),0,Q65)</f>
        <v>0</v>
      </c>
      <c r="N66" s="78">
        <f t="shared" si="8"/>
        <v>0</v>
      </c>
      <c r="O66" s="78">
        <f>IFERROR(IF(K66=0,0, PPMT(NEW_I_Adj,'Loan Amort Table'!K66,NEW_Amort_Periods,NEW_Orig_Loan_Amount)),0)</f>
        <v>0</v>
      </c>
      <c r="P66" s="78">
        <f>IFERROR(IF(NEW_Amort = 0, -M66* NEW_I_Adj,IPMT(NEW_I_Adj,IF(K66 = 0, 1, K66),NEW_Amort_Periods,NEW_Orig_Loan_Amount)),0)</f>
        <v>0</v>
      </c>
      <c r="Q66" s="78">
        <f t="shared" si="9"/>
        <v>0</v>
      </c>
      <c r="S66">
        <f t="shared" si="2"/>
        <v>6</v>
      </c>
      <c r="T66">
        <f t="shared" si="10"/>
        <v>61</v>
      </c>
      <c r="U66" s="49">
        <f t="shared" si="21"/>
        <v>1828</v>
      </c>
      <c r="V66" s="78">
        <f t="shared" si="11"/>
        <v>0</v>
      </c>
      <c r="W66" s="78">
        <f t="shared" ca="1" si="22"/>
        <v>0</v>
      </c>
      <c r="X66" s="78">
        <f>IFERROR(IF(OR(T66=0, U66&gt;=Refi_Origination_Date),0, PPMT(Mezz_I_Adj,'Loan Amort Table'!T66,Mezz_Amort_Periods,Mezz_Orig_Loan_Amount)),0)</f>
        <v>0</v>
      </c>
      <c r="Y66" s="78" cm="1">
        <f t="array" aca="1" ref="Y66" ca="1">IFERROR(_xlfn.IFS(U66&gt;=Refi_Origination_Date,0, Mezz_Amort = 0, -V66 * Mezz_I_Adj, 1, IPMT(Mezz_I_Adj,IF(T66 = 0, 1, T66),Mezz_Amort_Periods,Mezz_Orig_Loan_Amount)),0)</f>
        <v>0</v>
      </c>
      <c r="Z66" s="78">
        <f t="shared" si="23"/>
        <v>0</v>
      </c>
      <c r="AB66">
        <f t="shared" si="3"/>
        <v>6</v>
      </c>
      <c r="AC66">
        <f t="shared" si="14"/>
        <v>61</v>
      </c>
      <c r="AD66" s="49">
        <f t="shared" si="24"/>
        <v>1828</v>
      </c>
      <c r="AE66" s="78">
        <f t="shared" si="15"/>
        <v>0</v>
      </c>
      <c r="AF66" s="78">
        <f t="shared" ca="1" si="25"/>
        <v>0</v>
      </c>
      <c r="AG66" s="78">
        <f ca="1">IFERROR(IF(AC66=0,0, PPMT(Refi_I_Adj,'Loan Amort Table'!AC66,Refi_Amort_Periods,Refi_Orig_Loan_Amount)),0)</f>
        <v>0</v>
      </c>
      <c r="AH66" s="78">
        <f t="shared" ca="1" si="4"/>
        <v>0</v>
      </c>
      <c r="AI66" s="78">
        <f t="shared" ca="1" si="26"/>
        <v>0</v>
      </c>
    </row>
    <row r="67" spans="1:35" x14ac:dyDescent="0.25">
      <c r="A67">
        <f t="shared" si="0"/>
        <v>6</v>
      </c>
      <c r="B67">
        <f t="shared" si="5"/>
        <v>62</v>
      </c>
      <c r="C67" s="49">
        <f t="shared" si="29"/>
        <v>1859</v>
      </c>
      <c r="D67" s="78">
        <f>IF(C67&gt;EDATE(DATE(YEAR(SED_Origination_Date)+ SED_Amort, MONTH(SED_Origination_Date), DAY(SED_Origination_Date)),SED_Interest_Only),0,H66)</f>
        <v>0</v>
      </c>
      <c r="E67" s="78">
        <f t="shared" si="6"/>
        <v>0</v>
      </c>
      <c r="F67" s="78">
        <f>IFERROR(IF(OR(B67=0, C67&gt;=Refi_Origination_Date),0, PPMT(SED_I_Adj,'Loan Amort Table'!B67,SED_Amort_Periods,SED_Orig_Loan_Amount)),0)</f>
        <v>0</v>
      </c>
      <c r="G67" s="78" cm="1">
        <f t="array" ref="G67">IFERROR(_xlfn.IFS(C67&gt;=Refi_Origination_Date, 0, SED_Amort = 0, -D67 * SED_I_Adj, 1, IPMT(SED_I_Adj,IF(B67 = 0, 1, B67),SED_Amort_Periods,SED_Orig_Loan_Amount)),0)</f>
        <v>0</v>
      </c>
      <c r="H67" s="78">
        <f t="shared" si="27"/>
        <v>0</v>
      </c>
      <c r="J67">
        <f t="shared" si="1"/>
        <v>6</v>
      </c>
      <c r="K67">
        <f t="shared" si="7"/>
        <v>62</v>
      </c>
      <c r="L67" s="49">
        <f t="shared" si="20"/>
        <v>1859</v>
      </c>
      <c r="M67" s="78">
        <f>IF(L67&gt;EDATE(DATE(YEAR(NEW_Origination_Date)+ NEW_Amort, MONTH(NEW_Origination_Date), DAY(NEW_Origination_Date)),NEW_Interest_Only),0,Q66)</f>
        <v>0</v>
      </c>
      <c r="N67" s="78">
        <f t="shared" si="8"/>
        <v>0</v>
      </c>
      <c r="O67" s="78">
        <f>IFERROR(IF(K67=0,0, PPMT(NEW_I_Adj,'Loan Amort Table'!K67,NEW_Amort_Periods,NEW_Orig_Loan_Amount)),0)</f>
        <v>0</v>
      </c>
      <c r="P67" s="78">
        <f>IFERROR(IF(NEW_Amort = 0, -M67* NEW_I_Adj,IPMT(NEW_I_Adj,IF(K67 = 0, 1, K67),NEW_Amort_Periods,NEW_Orig_Loan_Amount)),0)</f>
        <v>0</v>
      </c>
      <c r="Q67" s="78">
        <f t="shared" si="9"/>
        <v>0</v>
      </c>
      <c r="S67">
        <f t="shared" si="2"/>
        <v>6</v>
      </c>
      <c r="T67">
        <f t="shared" si="10"/>
        <v>62</v>
      </c>
      <c r="U67" s="49">
        <f t="shared" si="21"/>
        <v>1859</v>
      </c>
      <c r="V67" s="78">
        <f t="shared" si="11"/>
        <v>0</v>
      </c>
      <c r="W67" s="78">
        <f t="shared" ca="1" si="22"/>
        <v>0</v>
      </c>
      <c r="X67" s="78">
        <f>IFERROR(IF(OR(T67=0, U67&gt;=Refi_Origination_Date),0, PPMT(Mezz_I_Adj,'Loan Amort Table'!T67,Mezz_Amort_Periods,Mezz_Orig_Loan_Amount)),0)</f>
        <v>0</v>
      </c>
      <c r="Y67" s="78" cm="1">
        <f t="array" aca="1" ref="Y67" ca="1">IFERROR(_xlfn.IFS(U67&gt;=Refi_Origination_Date,0, Mezz_Amort = 0, -V67 * Mezz_I_Adj, 1, IPMT(Mezz_I_Adj,IF(T67 = 0, 1, T67),Mezz_Amort_Periods,Mezz_Orig_Loan_Amount)),0)</f>
        <v>0</v>
      </c>
      <c r="Z67" s="78">
        <f t="shared" si="23"/>
        <v>0</v>
      </c>
      <c r="AB67">
        <f t="shared" si="3"/>
        <v>6</v>
      </c>
      <c r="AC67">
        <f t="shared" si="14"/>
        <v>62</v>
      </c>
      <c r="AD67" s="49">
        <f t="shared" si="24"/>
        <v>1859</v>
      </c>
      <c r="AE67" s="78">
        <f t="shared" si="15"/>
        <v>0</v>
      </c>
      <c r="AF67" s="78">
        <f t="shared" ca="1" si="25"/>
        <v>0</v>
      </c>
      <c r="AG67" s="78">
        <f ca="1">IFERROR(IF(AC67=0,0, PPMT(Refi_I_Adj,'Loan Amort Table'!AC67,Refi_Amort_Periods,Refi_Orig_Loan_Amount)),0)</f>
        <v>0</v>
      </c>
      <c r="AH67" s="78">
        <f t="shared" ca="1" si="4"/>
        <v>0</v>
      </c>
      <c r="AI67" s="78">
        <f t="shared" ca="1" si="26"/>
        <v>0</v>
      </c>
    </row>
    <row r="68" spans="1:35" x14ac:dyDescent="0.25">
      <c r="A68">
        <f t="shared" si="0"/>
        <v>6</v>
      </c>
      <c r="B68">
        <f t="shared" si="5"/>
        <v>63</v>
      </c>
      <c r="C68" s="49">
        <f t="shared" si="29"/>
        <v>1887</v>
      </c>
      <c r="D68" s="78">
        <f>IF(C68&gt;EDATE(DATE(YEAR(SED_Origination_Date)+ SED_Amort, MONTH(SED_Origination_Date), DAY(SED_Origination_Date)),SED_Interest_Only),0,H67)</f>
        <v>0</v>
      </c>
      <c r="E68" s="78">
        <f t="shared" si="6"/>
        <v>0</v>
      </c>
      <c r="F68" s="78">
        <f>IFERROR(IF(OR(B68=0, C68&gt;=Refi_Origination_Date),0, PPMT(SED_I_Adj,'Loan Amort Table'!B68,SED_Amort_Periods,SED_Orig_Loan_Amount)),0)</f>
        <v>0</v>
      </c>
      <c r="G68" s="78" cm="1">
        <f t="array" ref="G68">IFERROR(_xlfn.IFS(C68&gt;=Refi_Origination_Date, 0, SED_Amort = 0, -D68 * SED_I_Adj, 1, IPMT(SED_I_Adj,IF(B68 = 0, 1, B68),SED_Amort_Periods,SED_Orig_Loan_Amount)),0)</f>
        <v>0</v>
      </c>
      <c r="H68" s="78">
        <f t="shared" si="27"/>
        <v>0</v>
      </c>
      <c r="J68">
        <f t="shared" si="1"/>
        <v>6</v>
      </c>
      <c r="K68">
        <f t="shared" si="7"/>
        <v>63</v>
      </c>
      <c r="L68" s="49">
        <f t="shared" si="20"/>
        <v>1887</v>
      </c>
      <c r="M68" s="78">
        <f>IF(L68&gt;EDATE(DATE(YEAR(NEW_Origination_Date)+ NEW_Amort, MONTH(NEW_Origination_Date), DAY(NEW_Origination_Date)),NEW_Interest_Only),0,Q67)</f>
        <v>0</v>
      </c>
      <c r="N68" s="78">
        <f t="shared" si="8"/>
        <v>0</v>
      </c>
      <c r="O68" s="78">
        <f>IFERROR(IF(K68=0,0, PPMT(NEW_I_Adj,'Loan Amort Table'!K68,NEW_Amort_Periods,NEW_Orig_Loan_Amount)),0)</f>
        <v>0</v>
      </c>
      <c r="P68" s="78">
        <f>IFERROR(IF(NEW_Amort = 0, -M68* NEW_I_Adj,IPMT(NEW_I_Adj,IF(K68 = 0, 1, K68),NEW_Amort_Periods,NEW_Orig_Loan_Amount)),0)</f>
        <v>0</v>
      </c>
      <c r="Q68" s="78">
        <f t="shared" si="9"/>
        <v>0</v>
      </c>
      <c r="S68">
        <f t="shared" si="2"/>
        <v>6</v>
      </c>
      <c r="T68">
        <f t="shared" si="10"/>
        <v>63</v>
      </c>
      <c r="U68" s="49">
        <f t="shared" si="21"/>
        <v>1887</v>
      </c>
      <c r="V68" s="78">
        <f t="shared" si="11"/>
        <v>0</v>
      </c>
      <c r="W68" s="78">
        <f t="shared" ca="1" si="22"/>
        <v>0</v>
      </c>
      <c r="X68" s="78">
        <f>IFERROR(IF(OR(T68=0, U68&gt;=Refi_Origination_Date),0, PPMT(Mezz_I_Adj,'Loan Amort Table'!T68,Mezz_Amort_Periods,Mezz_Orig_Loan_Amount)),0)</f>
        <v>0</v>
      </c>
      <c r="Y68" s="78" cm="1">
        <f t="array" aca="1" ref="Y68" ca="1">IFERROR(_xlfn.IFS(U68&gt;=Refi_Origination_Date,0, Mezz_Amort = 0, -V68 * Mezz_I_Adj, 1, IPMT(Mezz_I_Adj,IF(T68 = 0, 1, T68),Mezz_Amort_Periods,Mezz_Orig_Loan_Amount)),0)</f>
        <v>0</v>
      </c>
      <c r="Z68" s="78">
        <f t="shared" si="23"/>
        <v>0</v>
      </c>
      <c r="AB68">
        <f t="shared" si="3"/>
        <v>6</v>
      </c>
      <c r="AC68">
        <f t="shared" si="14"/>
        <v>63</v>
      </c>
      <c r="AD68" s="49">
        <f t="shared" si="24"/>
        <v>1887</v>
      </c>
      <c r="AE68" s="78">
        <f t="shared" si="15"/>
        <v>0</v>
      </c>
      <c r="AF68" s="78">
        <f t="shared" ca="1" si="25"/>
        <v>0</v>
      </c>
      <c r="AG68" s="78">
        <f ca="1">IFERROR(IF(AC68=0,0, PPMT(Refi_I_Adj,'Loan Amort Table'!AC68,Refi_Amort_Periods,Refi_Orig_Loan_Amount)),0)</f>
        <v>0</v>
      </c>
      <c r="AH68" s="78">
        <f t="shared" ca="1" si="4"/>
        <v>0</v>
      </c>
      <c r="AI68" s="78">
        <f t="shared" ca="1" si="26"/>
        <v>0</v>
      </c>
    </row>
    <row r="69" spans="1:35" x14ac:dyDescent="0.25">
      <c r="A69">
        <f t="shared" si="0"/>
        <v>6</v>
      </c>
      <c r="B69">
        <f t="shared" si="5"/>
        <v>64</v>
      </c>
      <c r="C69" s="49">
        <f t="shared" si="29"/>
        <v>1918</v>
      </c>
      <c r="D69" s="78">
        <f>IF(C69&gt;EDATE(DATE(YEAR(SED_Origination_Date)+ SED_Amort, MONTH(SED_Origination_Date), DAY(SED_Origination_Date)),SED_Interest_Only),0,H68)</f>
        <v>0</v>
      </c>
      <c r="E69" s="78">
        <f t="shared" si="6"/>
        <v>0</v>
      </c>
      <c r="F69" s="78">
        <f>IFERROR(IF(OR(B69=0, C69&gt;=Refi_Origination_Date),0, PPMT(SED_I_Adj,'Loan Amort Table'!B69,SED_Amort_Periods,SED_Orig_Loan_Amount)),0)</f>
        <v>0</v>
      </c>
      <c r="G69" s="78" cm="1">
        <f t="array" ref="G69">IFERROR(_xlfn.IFS(C69&gt;=Refi_Origination_Date, 0, SED_Amort = 0, -D69 * SED_I_Adj, 1, IPMT(SED_I_Adj,IF(B69 = 0, 1, B69),SED_Amort_Periods,SED_Orig_Loan_Amount)),0)</f>
        <v>0</v>
      </c>
      <c r="H69" s="78">
        <f t="shared" si="27"/>
        <v>0</v>
      </c>
      <c r="J69">
        <f t="shared" si="1"/>
        <v>6</v>
      </c>
      <c r="K69">
        <f t="shared" si="7"/>
        <v>64</v>
      </c>
      <c r="L69" s="49">
        <f t="shared" si="20"/>
        <v>1918</v>
      </c>
      <c r="M69" s="78">
        <f>IF(L69&gt;EDATE(DATE(YEAR(NEW_Origination_Date)+ NEW_Amort, MONTH(NEW_Origination_Date), DAY(NEW_Origination_Date)),NEW_Interest_Only),0,Q68)</f>
        <v>0</v>
      </c>
      <c r="N69" s="78">
        <f t="shared" si="8"/>
        <v>0</v>
      </c>
      <c r="O69" s="78">
        <f>IFERROR(IF(K69=0,0, PPMT(NEW_I_Adj,'Loan Amort Table'!K69,NEW_Amort_Periods,NEW_Orig_Loan_Amount)),0)</f>
        <v>0</v>
      </c>
      <c r="P69" s="78">
        <f>IFERROR(IF(NEW_Amort = 0, -M69* NEW_I_Adj,IPMT(NEW_I_Adj,IF(K69 = 0, 1, K69),NEW_Amort_Periods,NEW_Orig_Loan_Amount)),0)</f>
        <v>0</v>
      </c>
      <c r="Q69" s="78">
        <f t="shared" si="9"/>
        <v>0</v>
      </c>
      <c r="S69">
        <f t="shared" si="2"/>
        <v>6</v>
      </c>
      <c r="T69">
        <f t="shared" si="10"/>
        <v>64</v>
      </c>
      <c r="U69" s="49">
        <f t="shared" si="21"/>
        <v>1918</v>
      </c>
      <c r="V69" s="78">
        <f t="shared" si="11"/>
        <v>0</v>
      </c>
      <c r="W69" s="78">
        <f t="shared" ca="1" si="22"/>
        <v>0</v>
      </c>
      <c r="X69" s="78">
        <f>IFERROR(IF(OR(T69=0, U69&gt;=Refi_Origination_Date),0, PPMT(Mezz_I_Adj,'Loan Amort Table'!T69,Mezz_Amort_Periods,Mezz_Orig_Loan_Amount)),0)</f>
        <v>0</v>
      </c>
      <c r="Y69" s="78" cm="1">
        <f t="array" aca="1" ref="Y69" ca="1">IFERROR(_xlfn.IFS(U69&gt;=Refi_Origination_Date,0, Mezz_Amort = 0, -V69 * Mezz_I_Adj, 1, IPMT(Mezz_I_Adj,IF(T69 = 0, 1, T69),Mezz_Amort_Periods,Mezz_Orig_Loan_Amount)),0)</f>
        <v>0</v>
      </c>
      <c r="Z69" s="78">
        <f t="shared" si="23"/>
        <v>0</v>
      </c>
      <c r="AB69">
        <f t="shared" si="3"/>
        <v>6</v>
      </c>
      <c r="AC69">
        <f t="shared" si="14"/>
        <v>64</v>
      </c>
      <c r="AD69" s="49">
        <f t="shared" si="24"/>
        <v>1918</v>
      </c>
      <c r="AE69" s="78">
        <f t="shared" si="15"/>
        <v>0</v>
      </c>
      <c r="AF69" s="78">
        <f t="shared" ca="1" si="25"/>
        <v>0</v>
      </c>
      <c r="AG69" s="78">
        <f ca="1">IFERROR(IF(AC69=0,0, PPMT(Refi_I_Adj,'Loan Amort Table'!AC69,Refi_Amort_Periods,Refi_Orig_Loan_Amount)),0)</f>
        <v>0</v>
      </c>
      <c r="AH69" s="78">
        <f t="shared" ca="1" si="4"/>
        <v>0</v>
      </c>
      <c r="AI69" s="78">
        <f t="shared" ca="1" si="26"/>
        <v>0</v>
      </c>
    </row>
    <row r="70" spans="1:35" x14ac:dyDescent="0.25">
      <c r="A70">
        <f t="shared" ref="A70:A133" si="30">IFERROR(ROUNDUP((DATEDIF(SED_Origination_Date,C70,"m")+1)/12,0),"")</f>
        <v>6</v>
      </c>
      <c r="B70">
        <f t="shared" si="5"/>
        <v>65</v>
      </c>
      <c r="C70" s="49">
        <f t="shared" si="29"/>
        <v>1948</v>
      </c>
      <c r="D70" s="78">
        <f>IF(C70&gt;EDATE(DATE(YEAR(SED_Origination_Date)+ SED_Amort, MONTH(SED_Origination_Date), DAY(SED_Origination_Date)),SED_Interest_Only),0,H69)</f>
        <v>0</v>
      </c>
      <c r="E70" s="78">
        <f t="shared" si="6"/>
        <v>0</v>
      </c>
      <c r="F70" s="78">
        <f>IFERROR(IF(OR(B70=0, C70&gt;=Refi_Origination_Date),0, PPMT(SED_I_Adj,'Loan Amort Table'!B70,SED_Amort_Periods,SED_Orig_Loan_Amount)),0)</f>
        <v>0</v>
      </c>
      <c r="G70" s="78" cm="1">
        <f t="array" ref="G70">IFERROR(_xlfn.IFS(C70&gt;=Refi_Origination_Date, 0, SED_Amort = 0, -D70 * SED_I_Adj, 1, IPMT(SED_I_Adj,IF(B70 = 0, 1, B70),SED_Amort_Periods,SED_Orig_Loan_Amount)),0)</f>
        <v>0</v>
      </c>
      <c r="H70" s="78">
        <f t="shared" si="27"/>
        <v>0</v>
      </c>
      <c r="J70">
        <f t="shared" ref="J70:J133" si="31">IFERROR(ROUNDUP((DATEDIF(NEW_Origination_Date,L70,"m")+1)/12,0),"")</f>
        <v>6</v>
      </c>
      <c r="K70">
        <f t="shared" si="7"/>
        <v>65</v>
      </c>
      <c r="L70" s="49">
        <f t="shared" si="20"/>
        <v>1948</v>
      </c>
      <c r="M70" s="78">
        <f>IF(L70&gt;EDATE(DATE(YEAR(NEW_Origination_Date)+ NEW_Amort, MONTH(NEW_Origination_Date), DAY(NEW_Origination_Date)),NEW_Interest_Only),0,Q69)</f>
        <v>0</v>
      </c>
      <c r="N70" s="78">
        <f t="shared" si="8"/>
        <v>0</v>
      </c>
      <c r="O70" s="78">
        <f>IFERROR(IF(K70=0,0, PPMT(NEW_I_Adj,'Loan Amort Table'!K70,NEW_Amort_Periods,NEW_Orig_Loan_Amount)),0)</f>
        <v>0</v>
      </c>
      <c r="P70" s="78">
        <f>IFERROR(IF(NEW_Amort = 0, -M70* NEW_I_Adj,IPMT(NEW_I_Adj,IF(K70 = 0, 1, K70),NEW_Amort_Periods,NEW_Orig_Loan_Amount)),0)</f>
        <v>0</v>
      </c>
      <c r="Q70" s="78">
        <f t="shared" si="9"/>
        <v>0</v>
      </c>
      <c r="S70">
        <f t="shared" ref="S70:S133" si="32">IFERROR(ROUNDUP((DATEDIF(Mezz_Origination_Date,U70,"m")+1)/12,0),"")</f>
        <v>6</v>
      </c>
      <c r="T70">
        <f t="shared" si="10"/>
        <v>65</v>
      </c>
      <c r="U70" s="49">
        <f t="shared" si="21"/>
        <v>1948</v>
      </c>
      <c r="V70" s="78">
        <f t="shared" si="11"/>
        <v>0</v>
      </c>
      <c r="W70" s="78">
        <f t="shared" ca="1" si="22"/>
        <v>0</v>
      </c>
      <c r="X70" s="78">
        <f>IFERROR(IF(OR(T70=0, U70&gt;=Refi_Origination_Date),0, PPMT(Mezz_I_Adj,'Loan Amort Table'!T70,Mezz_Amort_Periods,Mezz_Orig_Loan_Amount)),0)</f>
        <v>0</v>
      </c>
      <c r="Y70" s="78" cm="1">
        <f t="array" aca="1" ref="Y70" ca="1">IFERROR(_xlfn.IFS(U70&gt;=Refi_Origination_Date,0, Mezz_Amort = 0, -V70 * Mezz_I_Adj, 1, IPMT(Mezz_I_Adj,IF(T70 = 0, 1, T70),Mezz_Amort_Periods,Mezz_Orig_Loan_Amount)),0)</f>
        <v>0</v>
      </c>
      <c r="Z70" s="78">
        <f t="shared" si="23"/>
        <v>0</v>
      </c>
      <c r="AB70">
        <f t="shared" ref="AB70:AB133" si="33">IFERROR(ROUNDUP((DATEDIF(Refi_Origination_Date,AD70,"m")+1)/12,0),"")</f>
        <v>6</v>
      </c>
      <c r="AC70">
        <f t="shared" si="14"/>
        <v>65</v>
      </c>
      <c r="AD70" s="49">
        <f t="shared" si="24"/>
        <v>1948</v>
      </c>
      <c r="AE70" s="78">
        <f t="shared" si="15"/>
        <v>0</v>
      </c>
      <c r="AF70" s="78">
        <f t="shared" ca="1" si="25"/>
        <v>0</v>
      </c>
      <c r="AG70" s="78">
        <f ca="1">IFERROR(IF(AC70=0,0, PPMT(Refi_I_Adj,'Loan Amort Table'!AC70,Refi_Amort_Periods,Refi_Orig_Loan_Amount)),0)</f>
        <v>0</v>
      </c>
      <c r="AH70" s="78">
        <f t="shared" ref="AH70:AH133" ca="1" si="34">IFERROR(IF(Refi_Amort = 0, -AE70 * Refi_I_Adj, IPMT(Refi_I_Adj,IF(AC70 = 0, 1, AC70),Refi_Amort_Periods,Refi_Orig_Loan_Amount)),0)</f>
        <v>0</v>
      </c>
      <c r="AI70" s="78">
        <f t="shared" ca="1" si="26"/>
        <v>0</v>
      </c>
    </row>
    <row r="71" spans="1:35" x14ac:dyDescent="0.25">
      <c r="A71">
        <f t="shared" si="30"/>
        <v>6</v>
      </c>
      <c r="B71">
        <f t="shared" ref="B71:B134" si="35">IF(C71&lt;SED_Begin_PMT,0, B70+1)</f>
        <v>66</v>
      </c>
      <c r="C71" s="49">
        <f t="shared" si="29"/>
        <v>1979</v>
      </c>
      <c r="D71" s="78">
        <f>IF(C71&gt;EDATE(DATE(YEAR(SED_Origination_Date)+ SED_Amort, MONTH(SED_Origination_Date), DAY(SED_Origination_Date)),SED_Interest_Only),0,H70)</f>
        <v>0</v>
      </c>
      <c r="E71" s="78">
        <f t="shared" ref="E71:E134" si="36">F71+G71</f>
        <v>0</v>
      </c>
      <c r="F71" s="78">
        <f>IFERROR(IF(OR(B71=0, C71&gt;=Refi_Origination_Date),0, PPMT(SED_I_Adj,'Loan Amort Table'!B71,SED_Amort_Periods,SED_Orig_Loan_Amount)),0)</f>
        <v>0</v>
      </c>
      <c r="G71" s="78" cm="1">
        <f t="array" ref="G71">IFERROR(_xlfn.IFS(C71&gt;=Refi_Origination_Date, 0, SED_Amort = 0, -D71 * SED_I_Adj, 1, IPMT(SED_I_Adj,IF(B71 = 0, 1, B71),SED_Amort_Periods,SED_Orig_Loan_Amount)),0)</f>
        <v>0</v>
      </c>
      <c r="H71" s="78">
        <f t="shared" si="27"/>
        <v>0</v>
      </c>
      <c r="J71">
        <f t="shared" si="31"/>
        <v>6</v>
      </c>
      <c r="K71">
        <f t="shared" ref="K71:K134" si="37">IF(L71&lt;NEW_Begin_PMT,0, K70+1)</f>
        <v>66</v>
      </c>
      <c r="L71" s="49">
        <f t="shared" si="20"/>
        <v>1979</v>
      </c>
      <c r="M71" s="78">
        <f>IF(L71&gt;EDATE(DATE(YEAR(NEW_Origination_Date)+ NEW_Amort, MONTH(NEW_Origination_Date), DAY(NEW_Origination_Date)),NEW_Interest_Only),0,Q70)</f>
        <v>0</v>
      </c>
      <c r="N71" s="78">
        <f t="shared" ref="N71:N134" si="38">O71+P71</f>
        <v>0</v>
      </c>
      <c r="O71" s="78">
        <f>IFERROR(IF(K71=0,0, PPMT(NEW_I_Adj,'Loan Amort Table'!K71,NEW_Amort_Periods,NEW_Orig_Loan_Amount)),0)</f>
        <v>0</v>
      </c>
      <c r="P71" s="78">
        <f>IFERROR(IF(NEW_Amort = 0, -M71* NEW_I_Adj,IPMT(NEW_I_Adj,IF(K71 = 0, 1, K71),NEW_Amort_Periods,NEW_Orig_Loan_Amount)),0)</f>
        <v>0</v>
      </c>
      <c r="Q71" s="78">
        <f t="shared" ref="Q71:Q134" si="39">M71+O71</f>
        <v>0</v>
      </c>
      <c r="S71">
        <f t="shared" si="32"/>
        <v>6</v>
      </c>
      <c r="T71">
        <f t="shared" ref="T71:T134" si="40">IF(U71&lt;Mezz_Begin_PMT,0, T70+1)</f>
        <v>66</v>
      </c>
      <c r="U71" s="49">
        <f t="shared" si="21"/>
        <v>1979</v>
      </c>
      <c r="V71" s="78">
        <f t="shared" ref="V71:V134" si="41">IF(U71&gt;EDATE(DATE(YEAR(Mezz_Origination_Date)+ Mezz_Amort, MONTH(Mezz_Origination_Date), DAY(Mezz_Origination_Date)),Mezz_Interest_Only),0,Z70)</f>
        <v>0</v>
      </c>
      <c r="W71" s="78">
        <f t="shared" ca="1" si="22"/>
        <v>0</v>
      </c>
      <c r="X71" s="78">
        <f>IFERROR(IF(OR(T71=0, U71&gt;=Refi_Origination_Date),0, PPMT(Mezz_I_Adj,'Loan Amort Table'!T71,Mezz_Amort_Periods,Mezz_Orig_Loan_Amount)),0)</f>
        <v>0</v>
      </c>
      <c r="Y71" s="78" cm="1">
        <f t="array" aca="1" ref="Y71" ca="1">IFERROR(_xlfn.IFS(U71&gt;=Refi_Origination_Date,0, Mezz_Amort = 0, -V71 * Mezz_I_Adj, 1, IPMT(Mezz_I_Adj,IF(T71 = 0, 1, T71),Mezz_Amort_Periods,Mezz_Orig_Loan_Amount)),0)</f>
        <v>0</v>
      </c>
      <c r="Z71" s="78">
        <f t="shared" si="23"/>
        <v>0</v>
      </c>
      <c r="AB71">
        <f t="shared" si="33"/>
        <v>6</v>
      </c>
      <c r="AC71">
        <f t="shared" ref="AC71:AC134" si="42">IF(AD71&lt;Refi_Begin_PMT,0, AC70+1)</f>
        <v>66</v>
      </c>
      <c r="AD71" s="49">
        <f t="shared" si="24"/>
        <v>1979</v>
      </c>
      <c r="AE71" s="78">
        <f t="shared" ref="AE71:AE134" si="43">IF(AD71&gt;EDATE(DATE(YEAR(Refi_Origination_Date)+ Refi_Amort, MONTH(Refi_Origination_Date), DAY(Refi_Origination_Date)),Refi_Interest_Only),0,AI70)</f>
        <v>0</v>
      </c>
      <c r="AF71" s="78">
        <f t="shared" ca="1" si="25"/>
        <v>0</v>
      </c>
      <c r="AG71" s="78">
        <f ca="1">IFERROR(IF(AC71=0,0, PPMT(Refi_I_Adj,'Loan Amort Table'!AC71,Refi_Amort_Periods,Refi_Orig_Loan_Amount)),0)</f>
        <v>0</v>
      </c>
      <c r="AH71" s="78">
        <f t="shared" ca="1" si="34"/>
        <v>0</v>
      </c>
      <c r="AI71" s="78">
        <f t="shared" ca="1" si="26"/>
        <v>0</v>
      </c>
    </row>
    <row r="72" spans="1:35" x14ac:dyDescent="0.25">
      <c r="A72">
        <f t="shared" si="30"/>
        <v>6</v>
      </c>
      <c r="B72">
        <f t="shared" si="35"/>
        <v>67</v>
      </c>
      <c r="C72" s="49">
        <f t="shared" si="29"/>
        <v>2009</v>
      </c>
      <c r="D72" s="78">
        <f>IF(C72&gt;EDATE(DATE(YEAR(SED_Origination_Date)+ SED_Amort, MONTH(SED_Origination_Date), DAY(SED_Origination_Date)),SED_Interest_Only),0,H71)</f>
        <v>0</v>
      </c>
      <c r="E72" s="78">
        <f t="shared" si="36"/>
        <v>0</v>
      </c>
      <c r="F72" s="78">
        <f>IFERROR(IF(OR(B72=0, C72&gt;=Refi_Origination_Date),0, PPMT(SED_I_Adj,'Loan Amort Table'!B72,SED_Amort_Periods,SED_Orig_Loan_Amount)),0)</f>
        <v>0</v>
      </c>
      <c r="G72" s="78" cm="1">
        <f t="array" ref="G72">IFERROR(_xlfn.IFS(C72&gt;=Refi_Origination_Date, 0, SED_Amort = 0, -D72 * SED_I_Adj, 1, IPMT(SED_I_Adj,IF(B72 = 0, 1, B72),SED_Amort_Periods,SED_Orig_Loan_Amount)),0)</f>
        <v>0</v>
      </c>
      <c r="H72" s="78">
        <f t="shared" si="27"/>
        <v>0</v>
      </c>
      <c r="J72">
        <f t="shared" si="31"/>
        <v>6</v>
      </c>
      <c r="K72">
        <f t="shared" si="37"/>
        <v>67</v>
      </c>
      <c r="L72" s="49">
        <f t="shared" ref="L72:L135" si="44">EDATE(L71,1)</f>
        <v>2009</v>
      </c>
      <c r="M72" s="78">
        <f>IF(L72&gt;EDATE(DATE(YEAR(NEW_Origination_Date)+ NEW_Amort, MONTH(NEW_Origination_Date), DAY(NEW_Origination_Date)),NEW_Interest_Only),0,Q71)</f>
        <v>0</v>
      </c>
      <c r="N72" s="78">
        <f t="shared" si="38"/>
        <v>0</v>
      </c>
      <c r="O72" s="78">
        <f>IFERROR(IF(K72=0,0, PPMT(NEW_I_Adj,'Loan Amort Table'!K72,NEW_Amort_Periods,NEW_Orig_Loan_Amount)),0)</f>
        <v>0</v>
      </c>
      <c r="P72" s="78">
        <f>IFERROR(IF(NEW_Amort = 0, -M72* NEW_I_Adj,IPMT(NEW_I_Adj,IF(K72 = 0, 1, K72),NEW_Amort_Periods,NEW_Orig_Loan_Amount)),0)</f>
        <v>0</v>
      </c>
      <c r="Q72" s="78">
        <f t="shared" si="39"/>
        <v>0</v>
      </c>
      <c r="S72">
        <f t="shared" si="32"/>
        <v>6</v>
      </c>
      <c r="T72">
        <f t="shared" si="40"/>
        <v>67</v>
      </c>
      <c r="U72" s="49">
        <f t="shared" ref="U72:U135" si="45">EDATE(U71,1)</f>
        <v>2009</v>
      </c>
      <c r="V72" s="78">
        <f t="shared" si="41"/>
        <v>0</v>
      </c>
      <c r="W72" s="78">
        <f t="shared" ref="W72:W135" ca="1" si="46">X72+Y72</f>
        <v>0</v>
      </c>
      <c r="X72" s="78">
        <f>IFERROR(IF(OR(T72=0, U72&gt;=Refi_Origination_Date),0, PPMT(Mezz_I_Adj,'Loan Amort Table'!T72,Mezz_Amort_Periods,Mezz_Orig_Loan_Amount)),0)</f>
        <v>0</v>
      </c>
      <c r="Y72" s="78" cm="1">
        <f t="array" aca="1" ref="Y72" ca="1">IFERROR(_xlfn.IFS(U72&gt;=Refi_Origination_Date,0, Mezz_Amort = 0, -V72 * Mezz_I_Adj, 1, IPMT(Mezz_I_Adj,IF(T72 = 0, 1, T72),Mezz_Amort_Periods,Mezz_Orig_Loan_Amount)),0)</f>
        <v>0</v>
      </c>
      <c r="Z72" s="78">
        <f t="shared" ref="Z72:Z135" si="47">V72+X72</f>
        <v>0</v>
      </c>
      <c r="AB72">
        <f t="shared" si="33"/>
        <v>6</v>
      </c>
      <c r="AC72">
        <f t="shared" si="42"/>
        <v>67</v>
      </c>
      <c r="AD72" s="49">
        <f t="shared" ref="AD72:AD135" si="48">EDATE(AD71,1)</f>
        <v>2009</v>
      </c>
      <c r="AE72" s="78">
        <f t="shared" si="43"/>
        <v>0</v>
      </c>
      <c r="AF72" s="78">
        <f t="shared" ref="AF72:AF135" ca="1" si="49">AG72+AH72</f>
        <v>0</v>
      </c>
      <c r="AG72" s="78">
        <f ca="1">IFERROR(IF(AC72=0,0, PPMT(Refi_I_Adj,'Loan Amort Table'!AC72,Refi_Amort_Periods,Refi_Orig_Loan_Amount)),0)</f>
        <v>0</v>
      </c>
      <c r="AH72" s="78">
        <f t="shared" ca="1" si="34"/>
        <v>0</v>
      </c>
      <c r="AI72" s="78">
        <f t="shared" ref="AI72:AI135" ca="1" si="50">AE72+AG72</f>
        <v>0</v>
      </c>
    </row>
    <row r="73" spans="1:35" x14ac:dyDescent="0.25">
      <c r="A73">
        <f t="shared" si="30"/>
        <v>6</v>
      </c>
      <c r="B73">
        <f t="shared" si="35"/>
        <v>68</v>
      </c>
      <c r="C73" s="49">
        <f t="shared" si="29"/>
        <v>2040</v>
      </c>
      <c r="D73" s="78">
        <f>IF(C73&gt;EDATE(DATE(YEAR(SED_Origination_Date)+ SED_Amort, MONTH(SED_Origination_Date), DAY(SED_Origination_Date)),SED_Interest_Only),0,H72)</f>
        <v>0</v>
      </c>
      <c r="E73" s="78">
        <f t="shared" si="36"/>
        <v>0</v>
      </c>
      <c r="F73" s="78">
        <f>IFERROR(IF(OR(B73=0, C73&gt;=Refi_Origination_Date),0, PPMT(SED_I_Adj,'Loan Amort Table'!B73,SED_Amort_Periods,SED_Orig_Loan_Amount)),0)</f>
        <v>0</v>
      </c>
      <c r="G73" s="78" cm="1">
        <f t="array" ref="G73">IFERROR(_xlfn.IFS(C73&gt;=Refi_Origination_Date, 0, SED_Amort = 0, -D73 * SED_I_Adj, 1, IPMT(SED_I_Adj,IF(B73 = 0, 1, B73),SED_Amort_Periods,SED_Orig_Loan_Amount)),0)</f>
        <v>0</v>
      </c>
      <c r="H73" s="78">
        <f t="shared" si="27"/>
        <v>0</v>
      </c>
      <c r="J73">
        <f t="shared" si="31"/>
        <v>6</v>
      </c>
      <c r="K73">
        <f t="shared" si="37"/>
        <v>68</v>
      </c>
      <c r="L73" s="49">
        <f t="shared" si="44"/>
        <v>2040</v>
      </c>
      <c r="M73" s="78">
        <f>IF(L73&gt;EDATE(DATE(YEAR(NEW_Origination_Date)+ NEW_Amort, MONTH(NEW_Origination_Date), DAY(NEW_Origination_Date)),NEW_Interest_Only),0,Q72)</f>
        <v>0</v>
      </c>
      <c r="N73" s="78">
        <f t="shared" si="38"/>
        <v>0</v>
      </c>
      <c r="O73" s="78">
        <f>IFERROR(IF(K73=0,0, PPMT(NEW_I_Adj,'Loan Amort Table'!K73,NEW_Amort_Periods,NEW_Orig_Loan_Amount)),0)</f>
        <v>0</v>
      </c>
      <c r="P73" s="78">
        <f>IFERROR(IF(NEW_Amort = 0, -M73* NEW_I_Adj,IPMT(NEW_I_Adj,IF(K73 = 0, 1, K73),NEW_Amort_Periods,NEW_Orig_Loan_Amount)),0)</f>
        <v>0</v>
      </c>
      <c r="Q73" s="78">
        <f t="shared" si="39"/>
        <v>0</v>
      </c>
      <c r="S73">
        <f t="shared" si="32"/>
        <v>6</v>
      </c>
      <c r="T73">
        <f t="shared" si="40"/>
        <v>68</v>
      </c>
      <c r="U73" s="49">
        <f t="shared" si="45"/>
        <v>2040</v>
      </c>
      <c r="V73" s="78">
        <f t="shared" si="41"/>
        <v>0</v>
      </c>
      <c r="W73" s="78">
        <f t="shared" ca="1" si="46"/>
        <v>0</v>
      </c>
      <c r="X73" s="78">
        <f>IFERROR(IF(OR(T73=0, U73&gt;=Refi_Origination_Date),0, PPMT(Mezz_I_Adj,'Loan Amort Table'!T73,Mezz_Amort_Periods,Mezz_Orig_Loan_Amount)),0)</f>
        <v>0</v>
      </c>
      <c r="Y73" s="78" cm="1">
        <f t="array" aca="1" ref="Y73" ca="1">IFERROR(_xlfn.IFS(U73&gt;=Refi_Origination_Date,0, Mezz_Amort = 0, -V73 * Mezz_I_Adj, 1, IPMT(Mezz_I_Adj,IF(T73 = 0, 1, T73),Mezz_Amort_Periods,Mezz_Orig_Loan_Amount)),0)</f>
        <v>0</v>
      </c>
      <c r="Z73" s="78">
        <f t="shared" si="47"/>
        <v>0</v>
      </c>
      <c r="AB73">
        <f t="shared" si="33"/>
        <v>6</v>
      </c>
      <c r="AC73">
        <f t="shared" si="42"/>
        <v>68</v>
      </c>
      <c r="AD73" s="49">
        <f t="shared" si="48"/>
        <v>2040</v>
      </c>
      <c r="AE73" s="78">
        <f t="shared" si="43"/>
        <v>0</v>
      </c>
      <c r="AF73" s="78">
        <f t="shared" ca="1" si="49"/>
        <v>0</v>
      </c>
      <c r="AG73" s="78">
        <f ca="1">IFERROR(IF(AC73=0,0, PPMT(Refi_I_Adj,'Loan Amort Table'!AC73,Refi_Amort_Periods,Refi_Orig_Loan_Amount)),0)</f>
        <v>0</v>
      </c>
      <c r="AH73" s="78">
        <f t="shared" ca="1" si="34"/>
        <v>0</v>
      </c>
      <c r="AI73" s="78">
        <f t="shared" ca="1" si="50"/>
        <v>0</v>
      </c>
    </row>
    <row r="74" spans="1:35" x14ac:dyDescent="0.25">
      <c r="A74">
        <f t="shared" si="30"/>
        <v>6</v>
      </c>
      <c r="B74">
        <f t="shared" si="35"/>
        <v>69</v>
      </c>
      <c r="C74" s="49">
        <f t="shared" si="29"/>
        <v>2071</v>
      </c>
      <c r="D74" s="78">
        <f>IF(C74&gt;EDATE(DATE(YEAR(SED_Origination_Date)+ SED_Amort, MONTH(SED_Origination_Date), DAY(SED_Origination_Date)),SED_Interest_Only),0,H73)</f>
        <v>0</v>
      </c>
      <c r="E74" s="78">
        <f t="shared" si="36"/>
        <v>0</v>
      </c>
      <c r="F74" s="78">
        <f>IFERROR(IF(OR(B74=0, C74&gt;=Refi_Origination_Date),0, PPMT(SED_I_Adj,'Loan Amort Table'!B74,SED_Amort_Periods,SED_Orig_Loan_Amount)),0)</f>
        <v>0</v>
      </c>
      <c r="G74" s="78" cm="1">
        <f t="array" ref="G74">IFERROR(_xlfn.IFS(C74&gt;=Refi_Origination_Date, 0, SED_Amort = 0, -D74 * SED_I_Adj, 1, IPMT(SED_I_Adj,IF(B74 = 0, 1, B74),SED_Amort_Periods,SED_Orig_Loan_Amount)),0)</f>
        <v>0</v>
      </c>
      <c r="H74" s="78">
        <f t="shared" si="27"/>
        <v>0</v>
      </c>
      <c r="J74">
        <f t="shared" si="31"/>
        <v>6</v>
      </c>
      <c r="K74">
        <f t="shared" si="37"/>
        <v>69</v>
      </c>
      <c r="L74" s="49">
        <f t="shared" si="44"/>
        <v>2071</v>
      </c>
      <c r="M74" s="78">
        <f>IF(L74&gt;EDATE(DATE(YEAR(NEW_Origination_Date)+ NEW_Amort, MONTH(NEW_Origination_Date), DAY(NEW_Origination_Date)),NEW_Interest_Only),0,Q73)</f>
        <v>0</v>
      </c>
      <c r="N74" s="78">
        <f t="shared" si="38"/>
        <v>0</v>
      </c>
      <c r="O74" s="78">
        <f>IFERROR(IF(K74=0,0, PPMT(NEW_I_Adj,'Loan Amort Table'!K74,NEW_Amort_Periods,NEW_Orig_Loan_Amount)),0)</f>
        <v>0</v>
      </c>
      <c r="P74" s="78">
        <f>IFERROR(IF(NEW_Amort = 0, -M74* NEW_I_Adj,IPMT(NEW_I_Adj,IF(K74 = 0, 1, K74),NEW_Amort_Periods,NEW_Orig_Loan_Amount)),0)</f>
        <v>0</v>
      </c>
      <c r="Q74" s="78">
        <f t="shared" si="39"/>
        <v>0</v>
      </c>
      <c r="S74">
        <f t="shared" si="32"/>
        <v>6</v>
      </c>
      <c r="T74">
        <f t="shared" si="40"/>
        <v>69</v>
      </c>
      <c r="U74" s="49">
        <f t="shared" si="45"/>
        <v>2071</v>
      </c>
      <c r="V74" s="78">
        <f t="shared" si="41"/>
        <v>0</v>
      </c>
      <c r="W74" s="78">
        <f t="shared" ca="1" si="46"/>
        <v>0</v>
      </c>
      <c r="X74" s="78">
        <f>IFERROR(IF(OR(T74=0, U74&gt;=Refi_Origination_Date),0, PPMT(Mezz_I_Adj,'Loan Amort Table'!T74,Mezz_Amort_Periods,Mezz_Orig_Loan_Amount)),0)</f>
        <v>0</v>
      </c>
      <c r="Y74" s="78" cm="1">
        <f t="array" aca="1" ref="Y74" ca="1">IFERROR(_xlfn.IFS(U74&gt;=Refi_Origination_Date,0, Mezz_Amort = 0, -V74 * Mezz_I_Adj, 1, IPMT(Mezz_I_Adj,IF(T74 = 0, 1, T74),Mezz_Amort_Periods,Mezz_Orig_Loan_Amount)),0)</f>
        <v>0</v>
      </c>
      <c r="Z74" s="78">
        <f t="shared" si="47"/>
        <v>0</v>
      </c>
      <c r="AB74">
        <f t="shared" si="33"/>
        <v>6</v>
      </c>
      <c r="AC74">
        <f t="shared" si="42"/>
        <v>69</v>
      </c>
      <c r="AD74" s="49">
        <f t="shared" si="48"/>
        <v>2071</v>
      </c>
      <c r="AE74" s="78">
        <f t="shared" si="43"/>
        <v>0</v>
      </c>
      <c r="AF74" s="78">
        <f t="shared" ca="1" si="49"/>
        <v>0</v>
      </c>
      <c r="AG74" s="78">
        <f ca="1">IFERROR(IF(AC74=0,0, PPMT(Refi_I_Adj,'Loan Amort Table'!AC74,Refi_Amort_Periods,Refi_Orig_Loan_Amount)),0)</f>
        <v>0</v>
      </c>
      <c r="AH74" s="78">
        <f t="shared" ca="1" si="34"/>
        <v>0</v>
      </c>
      <c r="AI74" s="78">
        <f t="shared" ca="1" si="50"/>
        <v>0</v>
      </c>
    </row>
    <row r="75" spans="1:35" x14ac:dyDescent="0.25">
      <c r="A75">
        <f t="shared" si="30"/>
        <v>6</v>
      </c>
      <c r="B75">
        <f t="shared" si="35"/>
        <v>70</v>
      </c>
      <c r="C75" s="49">
        <f t="shared" si="29"/>
        <v>2101</v>
      </c>
      <c r="D75" s="78">
        <f>IF(C75&gt;EDATE(DATE(YEAR(SED_Origination_Date)+ SED_Amort, MONTH(SED_Origination_Date), DAY(SED_Origination_Date)),SED_Interest_Only),0,H74)</f>
        <v>0</v>
      </c>
      <c r="E75" s="78">
        <f t="shared" si="36"/>
        <v>0</v>
      </c>
      <c r="F75" s="78">
        <f>IFERROR(IF(OR(B75=0, C75&gt;=Refi_Origination_Date),0, PPMT(SED_I_Adj,'Loan Amort Table'!B75,SED_Amort_Periods,SED_Orig_Loan_Amount)),0)</f>
        <v>0</v>
      </c>
      <c r="G75" s="78" cm="1">
        <f t="array" ref="G75">IFERROR(_xlfn.IFS(C75&gt;=Refi_Origination_Date, 0, SED_Amort = 0, -D75 * SED_I_Adj, 1, IPMT(SED_I_Adj,IF(B75 = 0, 1, B75),SED_Amort_Periods,SED_Orig_Loan_Amount)),0)</f>
        <v>0</v>
      </c>
      <c r="H75" s="78">
        <f t="shared" ref="H75:H138" si="51">D75+F75</f>
        <v>0</v>
      </c>
      <c r="J75">
        <f t="shared" si="31"/>
        <v>6</v>
      </c>
      <c r="K75">
        <f t="shared" si="37"/>
        <v>70</v>
      </c>
      <c r="L75" s="49">
        <f t="shared" si="44"/>
        <v>2101</v>
      </c>
      <c r="M75" s="78">
        <f>IF(L75&gt;EDATE(DATE(YEAR(NEW_Origination_Date)+ NEW_Amort, MONTH(NEW_Origination_Date), DAY(NEW_Origination_Date)),NEW_Interest_Only),0,Q74)</f>
        <v>0</v>
      </c>
      <c r="N75" s="78">
        <f t="shared" si="38"/>
        <v>0</v>
      </c>
      <c r="O75" s="78">
        <f>IFERROR(IF(K75=0,0, PPMT(NEW_I_Adj,'Loan Amort Table'!K75,NEW_Amort_Periods,NEW_Orig_Loan_Amount)),0)</f>
        <v>0</v>
      </c>
      <c r="P75" s="78">
        <f>IFERROR(IF(NEW_Amort = 0, -M75* NEW_I_Adj,IPMT(NEW_I_Adj,IF(K75 = 0, 1, K75),NEW_Amort_Periods,NEW_Orig_Loan_Amount)),0)</f>
        <v>0</v>
      </c>
      <c r="Q75" s="78">
        <f t="shared" si="39"/>
        <v>0</v>
      </c>
      <c r="S75">
        <f t="shared" si="32"/>
        <v>6</v>
      </c>
      <c r="T75">
        <f t="shared" si="40"/>
        <v>70</v>
      </c>
      <c r="U75" s="49">
        <f t="shared" si="45"/>
        <v>2101</v>
      </c>
      <c r="V75" s="78">
        <f t="shared" si="41"/>
        <v>0</v>
      </c>
      <c r="W75" s="78">
        <f t="shared" ca="1" si="46"/>
        <v>0</v>
      </c>
      <c r="X75" s="78">
        <f>IFERROR(IF(OR(T75=0, U75&gt;=Refi_Origination_Date),0, PPMT(Mezz_I_Adj,'Loan Amort Table'!T75,Mezz_Amort_Periods,Mezz_Orig_Loan_Amount)),0)</f>
        <v>0</v>
      </c>
      <c r="Y75" s="78" cm="1">
        <f t="array" aca="1" ref="Y75" ca="1">IFERROR(_xlfn.IFS(U75&gt;=Refi_Origination_Date,0, Mezz_Amort = 0, -V75 * Mezz_I_Adj, 1, IPMT(Mezz_I_Adj,IF(T75 = 0, 1, T75),Mezz_Amort_Periods,Mezz_Orig_Loan_Amount)),0)</f>
        <v>0</v>
      </c>
      <c r="Z75" s="78">
        <f t="shared" si="47"/>
        <v>0</v>
      </c>
      <c r="AB75">
        <f t="shared" si="33"/>
        <v>6</v>
      </c>
      <c r="AC75">
        <f t="shared" si="42"/>
        <v>70</v>
      </c>
      <c r="AD75" s="49">
        <f t="shared" si="48"/>
        <v>2101</v>
      </c>
      <c r="AE75" s="78">
        <f t="shared" si="43"/>
        <v>0</v>
      </c>
      <c r="AF75" s="78">
        <f t="shared" ca="1" si="49"/>
        <v>0</v>
      </c>
      <c r="AG75" s="78">
        <f ca="1">IFERROR(IF(AC75=0,0, PPMT(Refi_I_Adj,'Loan Amort Table'!AC75,Refi_Amort_Periods,Refi_Orig_Loan_Amount)),0)</f>
        <v>0</v>
      </c>
      <c r="AH75" s="78">
        <f t="shared" ca="1" si="34"/>
        <v>0</v>
      </c>
      <c r="AI75" s="78">
        <f t="shared" ca="1" si="50"/>
        <v>0</v>
      </c>
    </row>
    <row r="76" spans="1:35" x14ac:dyDescent="0.25">
      <c r="A76">
        <f t="shared" si="30"/>
        <v>6</v>
      </c>
      <c r="B76">
        <f t="shared" si="35"/>
        <v>71</v>
      </c>
      <c r="C76" s="49">
        <f t="shared" si="29"/>
        <v>2132</v>
      </c>
      <c r="D76" s="78">
        <f>IF(C76&gt;EDATE(DATE(YEAR(SED_Origination_Date)+ SED_Amort, MONTH(SED_Origination_Date), DAY(SED_Origination_Date)),SED_Interest_Only),0,H75)</f>
        <v>0</v>
      </c>
      <c r="E76" s="78">
        <f t="shared" si="36"/>
        <v>0</v>
      </c>
      <c r="F76" s="78">
        <f>IFERROR(IF(OR(B76=0, C76&gt;=Refi_Origination_Date),0, PPMT(SED_I_Adj,'Loan Amort Table'!B76,SED_Amort_Periods,SED_Orig_Loan_Amount)),0)</f>
        <v>0</v>
      </c>
      <c r="G76" s="78" cm="1">
        <f t="array" ref="G76">IFERROR(_xlfn.IFS(C76&gt;=Refi_Origination_Date, 0, SED_Amort = 0, -D76 * SED_I_Adj, 1, IPMT(SED_I_Adj,IF(B76 = 0, 1, B76),SED_Amort_Periods,SED_Orig_Loan_Amount)),0)</f>
        <v>0</v>
      </c>
      <c r="H76" s="78">
        <f t="shared" si="51"/>
        <v>0</v>
      </c>
      <c r="J76">
        <f t="shared" si="31"/>
        <v>6</v>
      </c>
      <c r="K76">
        <f t="shared" si="37"/>
        <v>71</v>
      </c>
      <c r="L76" s="49">
        <f t="shared" si="44"/>
        <v>2132</v>
      </c>
      <c r="M76" s="78">
        <f>IF(L76&gt;EDATE(DATE(YEAR(NEW_Origination_Date)+ NEW_Amort, MONTH(NEW_Origination_Date), DAY(NEW_Origination_Date)),NEW_Interest_Only),0,Q75)</f>
        <v>0</v>
      </c>
      <c r="N76" s="78">
        <f t="shared" si="38"/>
        <v>0</v>
      </c>
      <c r="O76" s="78">
        <f>IFERROR(IF(K76=0,0, PPMT(NEW_I_Adj,'Loan Amort Table'!K76,NEW_Amort_Periods,NEW_Orig_Loan_Amount)),0)</f>
        <v>0</v>
      </c>
      <c r="P76" s="78">
        <f>IFERROR(IF(NEW_Amort = 0, -M76* NEW_I_Adj,IPMT(NEW_I_Adj,IF(K76 = 0, 1, K76),NEW_Amort_Periods,NEW_Orig_Loan_Amount)),0)</f>
        <v>0</v>
      </c>
      <c r="Q76" s="78">
        <f t="shared" si="39"/>
        <v>0</v>
      </c>
      <c r="S76">
        <f t="shared" si="32"/>
        <v>6</v>
      </c>
      <c r="T76">
        <f t="shared" si="40"/>
        <v>71</v>
      </c>
      <c r="U76" s="49">
        <f t="shared" si="45"/>
        <v>2132</v>
      </c>
      <c r="V76" s="78">
        <f t="shared" si="41"/>
        <v>0</v>
      </c>
      <c r="W76" s="78">
        <f t="shared" ca="1" si="46"/>
        <v>0</v>
      </c>
      <c r="X76" s="78">
        <f>IFERROR(IF(OR(T76=0, U76&gt;=Refi_Origination_Date),0, PPMT(Mezz_I_Adj,'Loan Amort Table'!T76,Mezz_Amort_Periods,Mezz_Orig_Loan_Amount)),0)</f>
        <v>0</v>
      </c>
      <c r="Y76" s="78" cm="1">
        <f t="array" aca="1" ref="Y76" ca="1">IFERROR(_xlfn.IFS(U76&gt;=Refi_Origination_Date,0, Mezz_Amort = 0, -V76 * Mezz_I_Adj, 1, IPMT(Mezz_I_Adj,IF(T76 = 0, 1, T76),Mezz_Amort_Periods,Mezz_Orig_Loan_Amount)),0)</f>
        <v>0</v>
      </c>
      <c r="Z76" s="78">
        <f t="shared" si="47"/>
        <v>0</v>
      </c>
      <c r="AB76">
        <f t="shared" si="33"/>
        <v>6</v>
      </c>
      <c r="AC76">
        <f t="shared" si="42"/>
        <v>71</v>
      </c>
      <c r="AD76" s="49">
        <f t="shared" si="48"/>
        <v>2132</v>
      </c>
      <c r="AE76" s="78">
        <f t="shared" si="43"/>
        <v>0</v>
      </c>
      <c r="AF76" s="78">
        <f t="shared" ca="1" si="49"/>
        <v>0</v>
      </c>
      <c r="AG76" s="78">
        <f ca="1">IFERROR(IF(AC76=0,0, PPMT(Refi_I_Adj,'Loan Amort Table'!AC76,Refi_Amort_Periods,Refi_Orig_Loan_Amount)),0)</f>
        <v>0</v>
      </c>
      <c r="AH76" s="78">
        <f t="shared" ca="1" si="34"/>
        <v>0</v>
      </c>
      <c r="AI76" s="78">
        <f t="shared" ca="1" si="50"/>
        <v>0</v>
      </c>
    </row>
    <row r="77" spans="1:35" x14ac:dyDescent="0.25">
      <c r="A77">
        <f t="shared" si="30"/>
        <v>6</v>
      </c>
      <c r="B77">
        <f t="shared" si="35"/>
        <v>72</v>
      </c>
      <c r="C77" s="49">
        <f t="shared" si="29"/>
        <v>2162</v>
      </c>
      <c r="D77" s="78">
        <f>IF(C77&gt;EDATE(DATE(YEAR(SED_Origination_Date)+ SED_Amort, MONTH(SED_Origination_Date), DAY(SED_Origination_Date)),SED_Interest_Only),0,H76)</f>
        <v>0</v>
      </c>
      <c r="E77" s="78">
        <f t="shared" si="36"/>
        <v>0</v>
      </c>
      <c r="F77" s="78">
        <f>IFERROR(IF(OR(B77=0, C77&gt;=Refi_Origination_Date),0, PPMT(SED_I_Adj,'Loan Amort Table'!B77,SED_Amort_Periods,SED_Orig_Loan_Amount)),0)</f>
        <v>0</v>
      </c>
      <c r="G77" s="78" cm="1">
        <f t="array" ref="G77">IFERROR(_xlfn.IFS(C77&gt;=Refi_Origination_Date, 0, SED_Amort = 0, -D77 * SED_I_Adj, 1, IPMT(SED_I_Adj,IF(B77 = 0, 1, B77),SED_Amort_Periods,SED_Orig_Loan_Amount)),0)</f>
        <v>0</v>
      </c>
      <c r="H77" s="78">
        <f t="shared" si="51"/>
        <v>0</v>
      </c>
      <c r="J77">
        <f t="shared" si="31"/>
        <v>6</v>
      </c>
      <c r="K77">
        <f t="shared" si="37"/>
        <v>72</v>
      </c>
      <c r="L77" s="49">
        <f t="shared" si="44"/>
        <v>2162</v>
      </c>
      <c r="M77" s="78">
        <f>IF(L77&gt;EDATE(DATE(YEAR(NEW_Origination_Date)+ NEW_Amort, MONTH(NEW_Origination_Date), DAY(NEW_Origination_Date)),NEW_Interest_Only),0,Q76)</f>
        <v>0</v>
      </c>
      <c r="N77" s="78">
        <f t="shared" si="38"/>
        <v>0</v>
      </c>
      <c r="O77" s="78">
        <f>IFERROR(IF(K77=0,0, PPMT(NEW_I_Adj,'Loan Amort Table'!K77,NEW_Amort_Periods,NEW_Orig_Loan_Amount)),0)</f>
        <v>0</v>
      </c>
      <c r="P77" s="78">
        <f>IFERROR(IF(NEW_Amort = 0, -M77* NEW_I_Adj,IPMT(NEW_I_Adj,IF(K77 = 0, 1, K77),NEW_Amort_Periods,NEW_Orig_Loan_Amount)),0)</f>
        <v>0</v>
      </c>
      <c r="Q77" s="78">
        <f t="shared" si="39"/>
        <v>0</v>
      </c>
      <c r="S77">
        <f t="shared" si="32"/>
        <v>6</v>
      </c>
      <c r="T77">
        <f t="shared" si="40"/>
        <v>72</v>
      </c>
      <c r="U77" s="49">
        <f t="shared" si="45"/>
        <v>2162</v>
      </c>
      <c r="V77" s="78">
        <f t="shared" si="41"/>
        <v>0</v>
      </c>
      <c r="W77" s="78">
        <f t="shared" ca="1" si="46"/>
        <v>0</v>
      </c>
      <c r="X77" s="78">
        <f>IFERROR(IF(OR(T77=0, U77&gt;=Refi_Origination_Date),0, PPMT(Mezz_I_Adj,'Loan Amort Table'!T77,Mezz_Amort_Periods,Mezz_Orig_Loan_Amount)),0)</f>
        <v>0</v>
      </c>
      <c r="Y77" s="78" cm="1">
        <f t="array" aca="1" ref="Y77" ca="1">IFERROR(_xlfn.IFS(U77&gt;=Refi_Origination_Date,0, Mezz_Amort = 0, -V77 * Mezz_I_Adj, 1, IPMT(Mezz_I_Adj,IF(T77 = 0, 1, T77),Mezz_Amort_Periods,Mezz_Orig_Loan_Amount)),0)</f>
        <v>0</v>
      </c>
      <c r="Z77" s="78">
        <f t="shared" si="47"/>
        <v>0</v>
      </c>
      <c r="AB77">
        <f t="shared" si="33"/>
        <v>6</v>
      </c>
      <c r="AC77">
        <f t="shared" si="42"/>
        <v>72</v>
      </c>
      <c r="AD77" s="49">
        <f t="shared" si="48"/>
        <v>2162</v>
      </c>
      <c r="AE77" s="78">
        <f t="shared" si="43"/>
        <v>0</v>
      </c>
      <c r="AF77" s="78">
        <f t="shared" ca="1" si="49"/>
        <v>0</v>
      </c>
      <c r="AG77" s="78">
        <f ca="1">IFERROR(IF(AC77=0,0, PPMT(Refi_I_Adj,'Loan Amort Table'!AC77,Refi_Amort_Periods,Refi_Orig_Loan_Amount)),0)</f>
        <v>0</v>
      </c>
      <c r="AH77" s="78">
        <f t="shared" ca="1" si="34"/>
        <v>0</v>
      </c>
      <c r="AI77" s="78">
        <f t="shared" ca="1" si="50"/>
        <v>0</v>
      </c>
    </row>
    <row r="78" spans="1:35" x14ac:dyDescent="0.25">
      <c r="A78">
        <f t="shared" si="30"/>
        <v>7</v>
      </c>
      <c r="B78">
        <f t="shared" si="35"/>
        <v>73</v>
      </c>
      <c r="C78" s="49">
        <f t="shared" si="29"/>
        <v>2193</v>
      </c>
      <c r="D78" s="78">
        <f>IF(C78&gt;EDATE(DATE(YEAR(SED_Origination_Date)+ SED_Amort, MONTH(SED_Origination_Date), DAY(SED_Origination_Date)),SED_Interest_Only),0,H77)</f>
        <v>0</v>
      </c>
      <c r="E78" s="78">
        <f t="shared" si="36"/>
        <v>0</v>
      </c>
      <c r="F78" s="78">
        <f>IFERROR(IF(OR(B78=0, C78&gt;=Refi_Origination_Date),0, PPMT(SED_I_Adj,'Loan Amort Table'!B78,SED_Amort_Periods,SED_Orig_Loan_Amount)),0)</f>
        <v>0</v>
      </c>
      <c r="G78" s="78" cm="1">
        <f t="array" ref="G78">IFERROR(_xlfn.IFS(C78&gt;=Refi_Origination_Date, 0, SED_Amort = 0, -D78 * SED_I_Adj, 1, IPMT(SED_I_Adj,IF(B78 = 0, 1, B78),SED_Amort_Periods,SED_Orig_Loan_Amount)),0)</f>
        <v>0</v>
      </c>
      <c r="H78" s="78">
        <f t="shared" si="51"/>
        <v>0</v>
      </c>
      <c r="J78">
        <f t="shared" si="31"/>
        <v>7</v>
      </c>
      <c r="K78">
        <f t="shared" si="37"/>
        <v>73</v>
      </c>
      <c r="L78" s="49">
        <f t="shared" si="44"/>
        <v>2193</v>
      </c>
      <c r="M78" s="78">
        <f>IF(L78&gt;EDATE(DATE(YEAR(NEW_Origination_Date)+ NEW_Amort, MONTH(NEW_Origination_Date), DAY(NEW_Origination_Date)),NEW_Interest_Only),0,Q77)</f>
        <v>0</v>
      </c>
      <c r="N78" s="78">
        <f t="shared" si="38"/>
        <v>0</v>
      </c>
      <c r="O78" s="78">
        <f>IFERROR(IF(K78=0,0, PPMT(NEW_I_Adj,'Loan Amort Table'!K78,NEW_Amort_Periods,NEW_Orig_Loan_Amount)),0)</f>
        <v>0</v>
      </c>
      <c r="P78" s="78">
        <f>IFERROR(IF(NEW_Amort = 0, -M78* NEW_I_Adj,IPMT(NEW_I_Adj,IF(K78 = 0, 1, K78),NEW_Amort_Periods,NEW_Orig_Loan_Amount)),0)</f>
        <v>0</v>
      </c>
      <c r="Q78" s="78">
        <f t="shared" si="39"/>
        <v>0</v>
      </c>
      <c r="S78">
        <f t="shared" si="32"/>
        <v>7</v>
      </c>
      <c r="T78">
        <f t="shared" si="40"/>
        <v>73</v>
      </c>
      <c r="U78" s="49">
        <f t="shared" si="45"/>
        <v>2193</v>
      </c>
      <c r="V78" s="78">
        <f t="shared" si="41"/>
        <v>0</v>
      </c>
      <c r="W78" s="78">
        <f t="shared" ca="1" si="46"/>
        <v>0</v>
      </c>
      <c r="X78" s="78">
        <f>IFERROR(IF(OR(T78=0, U78&gt;=Refi_Origination_Date),0, PPMT(Mezz_I_Adj,'Loan Amort Table'!T78,Mezz_Amort_Periods,Mezz_Orig_Loan_Amount)),0)</f>
        <v>0</v>
      </c>
      <c r="Y78" s="78" cm="1">
        <f t="array" aca="1" ref="Y78" ca="1">IFERROR(_xlfn.IFS(U78&gt;=Refi_Origination_Date,0, Mezz_Amort = 0, -V78 * Mezz_I_Adj, 1, IPMT(Mezz_I_Adj,IF(T78 = 0, 1, T78),Mezz_Amort_Periods,Mezz_Orig_Loan_Amount)),0)</f>
        <v>0</v>
      </c>
      <c r="Z78" s="78">
        <f t="shared" si="47"/>
        <v>0</v>
      </c>
      <c r="AB78">
        <f t="shared" si="33"/>
        <v>7</v>
      </c>
      <c r="AC78">
        <f t="shared" si="42"/>
        <v>73</v>
      </c>
      <c r="AD78" s="49">
        <f t="shared" si="48"/>
        <v>2193</v>
      </c>
      <c r="AE78" s="78">
        <f t="shared" si="43"/>
        <v>0</v>
      </c>
      <c r="AF78" s="78">
        <f t="shared" ca="1" si="49"/>
        <v>0</v>
      </c>
      <c r="AG78" s="78">
        <f ca="1">IFERROR(IF(AC78=0,0, PPMT(Refi_I_Adj,'Loan Amort Table'!AC78,Refi_Amort_Periods,Refi_Orig_Loan_Amount)),0)</f>
        <v>0</v>
      </c>
      <c r="AH78" s="78">
        <f t="shared" ca="1" si="34"/>
        <v>0</v>
      </c>
      <c r="AI78" s="78">
        <f t="shared" ca="1" si="50"/>
        <v>0</v>
      </c>
    </row>
    <row r="79" spans="1:35" x14ac:dyDescent="0.25">
      <c r="A79">
        <f t="shared" si="30"/>
        <v>7</v>
      </c>
      <c r="B79">
        <f t="shared" si="35"/>
        <v>74</v>
      </c>
      <c r="C79" s="49">
        <f t="shared" si="29"/>
        <v>2224</v>
      </c>
      <c r="D79" s="78">
        <f>IF(C79&gt;EDATE(DATE(YEAR(SED_Origination_Date)+ SED_Amort, MONTH(SED_Origination_Date), DAY(SED_Origination_Date)),SED_Interest_Only),0,H78)</f>
        <v>0</v>
      </c>
      <c r="E79" s="78">
        <f t="shared" si="36"/>
        <v>0</v>
      </c>
      <c r="F79" s="78">
        <f>IFERROR(IF(OR(B79=0, C79&gt;=Refi_Origination_Date),0, PPMT(SED_I_Adj,'Loan Amort Table'!B79,SED_Amort_Periods,SED_Orig_Loan_Amount)),0)</f>
        <v>0</v>
      </c>
      <c r="G79" s="78" cm="1">
        <f t="array" ref="G79">IFERROR(_xlfn.IFS(C79&gt;=Refi_Origination_Date, 0, SED_Amort = 0, -D79 * SED_I_Adj, 1, IPMT(SED_I_Adj,IF(B79 = 0, 1, B79),SED_Amort_Periods,SED_Orig_Loan_Amount)),0)</f>
        <v>0</v>
      </c>
      <c r="H79" s="78">
        <f t="shared" si="51"/>
        <v>0</v>
      </c>
      <c r="J79">
        <f t="shared" si="31"/>
        <v>7</v>
      </c>
      <c r="K79">
        <f t="shared" si="37"/>
        <v>74</v>
      </c>
      <c r="L79" s="49">
        <f t="shared" si="44"/>
        <v>2224</v>
      </c>
      <c r="M79" s="78">
        <f>IF(L79&gt;EDATE(DATE(YEAR(NEW_Origination_Date)+ NEW_Amort, MONTH(NEW_Origination_Date), DAY(NEW_Origination_Date)),NEW_Interest_Only),0,Q78)</f>
        <v>0</v>
      </c>
      <c r="N79" s="78">
        <f t="shared" si="38"/>
        <v>0</v>
      </c>
      <c r="O79" s="78">
        <f>IFERROR(IF(K79=0,0, PPMT(NEW_I_Adj,'Loan Amort Table'!K79,NEW_Amort_Periods,NEW_Orig_Loan_Amount)),0)</f>
        <v>0</v>
      </c>
      <c r="P79" s="78">
        <f>IFERROR(IF(NEW_Amort = 0, -M79* NEW_I_Adj,IPMT(NEW_I_Adj,IF(K79 = 0, 1, K79),NEW_Amort_Periods,NEW_Orig_Loan_Amount)),0)</f>
        <v>0</v>
      </c>
      <c r="Q79" s="78">
        <f t="shared" si="39"/>
        <v>0</v>
      </c>
      <c r="S79">
        <f t="shared" si="32"/>
        <v>7</v>
      </c>
      <c r="T79">
        <f t="shared" si="40"/>
        <v>74</v>
      </c>
      <c r="U79" s="49">
        <f t="shared" si="45"/>
        <v>2224</v>
      </c>
      <c r="V79" s="78">
        <f t="shared" si="41"/>
        <v>0</v>
      </c>
      <c r="W79" s="78">
        <f t="shared" ca="1" si="46"/>
        <v>0</v>
      </c>
      <c r="X79" s="78">
        <f>IFERROR(IF(OR(T79=0, U79&gt;=Refi_Origination_Date),0, PPMT(Mezz_I_Adj,'Loan Amort Table'!T79,Mezz_Amort_Periods,Mezz_Orig_Loan_Amount)),0)</f>
        <v>0</v>
      </c>
      <c r="Y79" s="78" cm="1">
        <f t="array" aca="1" ref="Y79" ca="1">IFERROR(_xlfn.IFS(U79&gt;=Refi_Origination_Date,0, Mezz_Amort = 0, -V79 * Mezz_I_Adj, 1, IPMT(Mezz_I_Adj,IF(T79 = 0, 1, T79),Mezz_Amort_Periods,Mezz_Orig_Loan_Amount)),0)</f>
        <v>0</v>
      </c>
      <c r="Z79" s="78">
        <f t="shared" si="47"/>
        <v>0</v>
      </c>
      <c r="AB79">
        <f t="shared" si="33"/>
        <v>7</v>
      </c>
      <c r="AC79">
        <f t="shared" si="42"/>
        <v>74</v>
      </c>
      <c r="AD79" s="49">
        <f t="shared" si="48"/>
        <v>2224</v>
      </c>
      <c r="AE79" s="78">
        <f t="shared" si="43"/>
        <v>0</v>
      </c>
      <c r="AF79" s="78">
        <f t="shared" ca="1" si="49"/>
        <v>0</v>
      </c>
      <c r="AG79" s="78">
        <f ca="1">IFERROR(IF(AC79=0,0, PPMT(Refi_I_Adj,'Loan Amort Table'!AC79,Refi_Amort_Periods,Refi_Orig_Loan_Amount)),0)</f>
        <v>0</v>
      </c>
      <c r="AH79" s="78">
        <f t="shared" ca="1" si="34"/>
        <v>0</v>
      </c>
      <c r="AI79" s="78">
        <f t="shared" ca="1" si="50"/>
        <v>0</v>
      </c>
    </row>
    <row r="80" spans="1:35" x14ac:dyDescent="0.25">
      <c r="A80">
        <f t="shared" si="30"/>
        <v>7</v>
      </c>
      <c r="B80">
        <f t="shared" si="35"/>
        <v>75</v>
      </c>
      <c r="C80" s="49">
        <f t="shared" si="29"/>
        <v>2252</v>
      </c>
      <c r="D80" s="78">
        <f>IF(C80&gt;EDATE(DATE(YEAR(SED_Origination_Date)+ SED_Amort, MONTH(SED_Origination_Date), DAY(SED_Origination_Date)),SED_Interest_Only),0,H79)</f>
        <v>0</v>
      </c>
      <c r="E80" s="78">
        <f t="shared" si="36"/>
        <v>0</v>
      </c>
      <c r="F80" s="78">
        <f>IFERROR(IF(OR(B80=0, C80&gt;=Refi_Origination_Date),0, PPMT(SED_I_Adj,'Loan Amort Table'!B80,SED_Amort_Periods,SED_Orig_Loan_Amount)),0)</f>
        <v>0</v>
      </c>
      <c r="G80" s="78" cm="1">
        <f t="array" ref="G80">IFERROR(_xlfn.IFS(C80&gt;=Refi_Origination_Date, 0, SED_Amort = 0, -D80 * SED_I_Adj, 1, IPMT(SED_I_Adj,IF(B80 = 0, 1, B80),SED_Amort_Periods,SED_Orig_Loan_Amount)),0)</f>
        <v>0</v>
      </c>
      <c r="H80" s="78">
        <f t="shared" si="51"/>
        <v>0</v>
      </c>
      <c r="J80">
        <f t="shared" si="31"/>
        <v>7</v>
      </c>
      <c r="K80">
        <f t="shared" si="37"/>
        <v>75</v>
      </c>
      <c r="L80" s="49">
        <f t="shared" si="44"/>
        <v>2252</v>
      </c>
      <c r="M80" s="78">
        <f>IF(L80&gt;EDATE(DATE(YEAR(NEW_Origination_Date)+ NEW_Amort, MONTH(NEW_Origination_Date), DAY(NEW_Origination_Date)),NEW_Interest_Only),0,Q79)</f>
        <v>0</v>
      </c>
      <c r="N80" s="78">
        <f t="shared" si="38"/>
        <v>0</v>
      </c>
      <c r="O80" s="78">
        <f>IFERROR(IF(K80=0,0, PPMT(NEW_I_Adj,'Loan Amort Table'!K80,NEW_Amort_Periods,NEW_Orig_Loan_Amount)),0)</f>
        <v>0</v>
      </c>
      <c r="P80" s="78">
        <f>IFERROR(IF(NEW_Amort = 0, -M80* NEW_I_Adj,IPMT(NEW_I_Adj,IF(K80 = 0, 1, K80),NEW_Amort_Periods,NEW_Orig_Loan_Amount)),0)</f>
        <v>0</v>
      </c>
      <c r="Q80" s="78">
        <f t="shared" si="39"/>
        <v>0</v>
      </c>
      <c r="S80">
        <f t="shared" si="32"/>
        <v>7</v>
      </c>
      <c r="T80">
        <f t="shared" si="40"/>
        <v>75</v>
      </c>
      <c r="U80" s="49">
        <f t="shared" si="45"/>
        <v>2252</v>
      </c>
      <c r="V80" s="78">
        <f t="shared" si="41"/>
        <v>0</v>
      </c>
      <c r="W80" s="78">
        <f t="shared" ca="1" si="46"/>
        <v>0</v>
      </c>
      <c r="X80" s="78">
        <f>IFERROR(IF(OR(T80=0, U80&gt;=Refi_Origination_Date),0, PPMT(Mezz_I_Adj,'Loan Amort Table'!T80,Mezz_Amort_Periods,Mezz_Orig_Loan_Amount)),0)</f>
        <v>0</v>
      </c>
      <c r="Y80" s="78" cm="1">
        <f t="array" aca="1" ref="Y80" ca="1">IFERROR(_xlfn.IFS(U80&gt;=Refi_Origination_Date,0, Mezz_Amort = 0, -V80 * Mezz_I_Adj, 1, IPMT(Mezz_I_Adj,IF(T80 = 0, 1, T80),Mezz_Amort_Periods,Mezz_Orig_Loan_Amount)),0)</f>
        <v>0</v>
      </c>
      <c r="Z80" s="78">
        <f t="shared" si="47"/>
        <v>0</v>
      </c>
      <c r="AB80">
        <f t="shared" si="33"/>
        <v>7</v>
      </c>
      <c r="AC80">
        <f t="shared" si="42"/>
        <v>75</v>
      </c>
      <c r="AD80" s="49">
        <f t="shared" si="48"/>
        <v>2252</v>
      </c>
      <c r="AE80" s="78">
        <f t="shared" si="43"/>
        <v>0</v>
      </c>
      <c r="AF80" s="78">
        <f t="shared" ca="1" si="49"/>
        <v>0</v>
      </c>
      <c r="AG80" s="78">
        <f ca="1">IFERROR(IF(AC80=0,0, PPMT(Refi_I_Adj,'Loan Amort Table'!AC80,Refi_Amort_Periods,Refi_Orig_Loan_Amount)),0)</f>
        <v>0</v>
      </c>
      <c r="AH80" s="78">
        <f t="shared" ca="1" si="34"/>
        <v>0</v>
      </c>
      <c r="AI80" s="78">
        <f t="shared" ca="1" si="50"/>
        <v>0</v>
      </c>
    </row>
    <row r="81" spans="1:35" x14ac:dyDescent="0.25">
      <c r="A81">
        <f t="shared" si="30"/>
        <v>7</v>
      </c>
      <c r="B81">
        <f t="shared" si="35"/>
        <v>76</v>
      </c>
      <c r="C81" s="49">
        <f t="shared" si="29"/>
        <v>2283</v>
      </c>
      <c r="D81" s="78">
        <f>IF(C81&gt;EDATE(DATE(YEAR(SED_Origination_Date)+ SED_Amort, MONTH(SED_Origination_Date), DAY(SED_Origination_Date)),SED_Interest_Only),0,H80)</f>
        <v>0</v>
      </c>
      <c r="E81" s="78">
        <f t="shared" si="36"/>
        <v>0</v>
      </c>
      <c r="F81" s="78">
        <f>IFERROR(IF(OR(B81=0, C81&gt;=Refi_Origination_Date),0, PPMT(SED_I_Adj,'Loan Amort Table'!B81,SED_Amort_Periods,SED_Orig_Loan_Amount)),0)</f>
        <v>0</v>
      </c>
      <c r="G81" s="78" cm="1">
        <f t="array" ref="G81">IFERROR(_xlfn.IFS(C81&gt;=Refi_Origination_Date, 0, SED_Amort = 0, -D81 * SED_I_Adj, 1, IPMT(SED_I_Adj,IF(B81 = 0, 1, B81),SED_Amort_Periods,SED_Orig_Loan_Amount)),0)</f>
        <v>0</v>
      </c>
      <c r="H81" s="78">
        <f t="shared" si="51"/>
        <v>0</v>
      </c>
      <c r="J81">
        <f t="shared" si="31"/>
        <v>7</v>
      </c>
      <c r="K81">
        <f t="shared" si="37"/>
        <v>76</v>
      </c>
      <c r="L81" s="49">
        <f t="shared" si="44"/>
        <v>2283</v>
      </c>
      <c r="M81" s="78">
        <f>IF(L81&gt;EDATE(DATE(YEAR(NEW_Origination_Date)+ NEW_Amort, MONTH(NEW_Origination_Date), DAY(NEW_Origination_Date)),NEW_Interest_Only),0,Q80)</f>
        <v>0</v>
      </c>
      <c r="N81" s="78">
        <f t="shared" si="38"/>
        <v>0</v>
      </c>
      <c r="O81" s="78">
        <f>IFERROR(IF(K81=0,0, PPMT(NEW_I_Adj,'Loan Amort Table'!K81,NEW_Amort_Periods,NEW_Orig_Loan_Amount)),0)</f>
        <v>0</v>
      </c>
      <c r="P81" s="78">
        <f>IFERROR(IF(NEW_Amort = 0, -M81* NEW_I_Adj,IPMT(NEW_I_Adj,IF(K81 = 0, 1, K81),NEW_Amort_Periods,NEW_Orig_Loan_Amount)),0)</f>
        <v>0</v>
      </c>
      <c r="Q81" s="78">
        <f t="shared" si="39"/>
        <v>0</v>
      </c>
      <c r="S81">
        <f t="shared" si="32"/>
        <v>7</v>
      </c>
      <c r="T81">
        <f t="shared" si="40"/>
        <v>76</v>
      </c>
      <c r="U81" s="49">
        <f t="shared" si="45"/>
        <v>2283</v>
      </c>
      <c r="V81" s="78">
        <f t="shared" si="41"/>
        <v>0</v>
      </c>
      <c r="W81" s="78">
        <f t="shared" ca="1" si="46"/>
        <v>0</v>
      </c>
      <c r="X81" s="78">
        <f>IFERROR(IF(OR(T81=0, U81&gt;=Refi_Origination_Date),0, PPMT(Mezz_I_Adj,'Loan Amort Table'!T81,Mezz_Amort_Periods,Mezz_Orig_Loan_Amount)),0)</f>
        <v>0</v>
      </c>
      <c r="Y81" s="78" cm="1">
        <f t="array" aca="1" ref="Y81" ca="1">IFERROR(_xlfn.IFS(U81&gt;=Refi_Origination_Date,0, Mezz_Amort = 0, -V81 * Mezz_I_Adj, 1, IPMT(Mezz_I_Adj,IF(T81 = 0, 1, T81),Mezz_Amort_Periods,Mezz_Orig_Loan_Amount)),0)</f>
        <v>0</v>
      </c>
      <c r="Z81" s="78">
        <f t="shared" si="47"/>
        <v>0</v>
      </c>
      <c r="AB81">
        <f t="shared" si="33"/>
        <v>7</v>
      </c>
      <c r="AC81">
        <f t="shared" si="42"/>
        <v>76</v>
      </c>
      <c r="AD81" s="49">
        <f t="shared" si="48"/>
        <v>2283</v>
      </c>
      <c r="AE81" s="78">
        <f t="shared" si="43"/>
        <v>0</v>
      </c>
      <c r="AF81" s="78">
        <f t="shared" ca="1" si="49"/>
        <v>0</v>
      </c>
      <c r="AG81" s="78">
        <f ca="1">IFERROR(IF(AC81=0,0, PPMT(Refi_I_Adj,'Loan Amort Table'!AC81,Refi_Amort_Periods,Refi_Orig_Loan_Amount)),0)</f>
        <v>0</v>
      </c>
      <c r="AH81" s="78">
        <f t="shared" ca="1" si="34"/>
        <v>0</v>
      </c>
      <c r="AI81" s="78">
        <f t="shared" ca="1" si="50"/>
        <v>0</v>
      </c>
    </row>
    <row r="82" spans="1:35" x14ac:dyDescent="0.25">
      <c r="A82">
        <f t="shared" si="30"/>
        <v>7</v>
      </c>
      <c r="B82">
        <f t="shared" si="35"/>
        <v>77</v>
      </c>
      <c r="C82" s="49">
        <f t="shared" si="29"/>
        <v>2313</v>
      </c>
      <c r="D82" s="78">
        <f>IF(C82&gt;EDATE(DATE(YEAR(SED_Origination_Date)+ SED_Amort, MONTH(SED_Origination_Date), DAY(SED_Origination_Date)),SED_Interest_Only),0,H81)</f>
        <v>0</v>
      </c>
      <c r="E82" s="78">
        <f t="shared" si="36"/>
        <v>0</v>
      </c>
      <c r="F82" s="78">
        <f>IFERROR(IF(OR(B82=0, C82&gt;=Refi_Origination_Date),0, PPMT(SED_I_Adj,'Loan Amort Table'!B82,SED_Amort_Periods,SED_Orig_Loan_Amount)),0)</f>
        <v>0</v>
      </c>
      <c r="G82" s="78" cm="1">
        <f t="array" ref="G82">IFERROR(_xlfn.IFS(C82&gt;=Refi_Origination_Date, 0, SED_Amort = 0, -D82 * SED_I_Adj, 1, IPMT(SED_I_Adj,IF(B82 = 0, 1, B82),SED_Amort_Periods,SED_Orig_Loan_Amount)),0)</f>
        <v>0</v>
      </c>
      <c r="H82" s="78">
        <f t="shared" si="51"/>
        <v>0</v>
      </c>
      <c r="J82">
        <f t="shared" si="31"/>
        <v>7</v>
      </c>
      <c r="K82">
        <f t="shared" si="37"/>
        <v>77</v>
      </c>
      <c r="L82" s="49">
        <f t="shared" si="44"/>
        <v>2313</v>
      </c>
      <c r="M82" s="78">
        <f>IF(L82&gt;EDATE(DATE(YEAR(NEW_Origination_Date)+ NEW_Amort, MONTH(NEW_Origination_Date), DAY(NEW_Origination_Date)),NEW_Interest_Only),0,Q81)</f>
        <v>0</v>
      </c>
      <c r="N82" s="78">
        <f t="shared" si="38"/>
        <v>0</v>
      </c>
      <c r="O82" s="78">
        <f>IFERROR(IF(K82=0,0, PPMT(NEW_I_Adj,'Loan Amort Table'!K82,NEW_Amort_Periods,NEW_Orig_Loan_Amount)),0)</f>
        <v>0</v>
      </c>
      <c r="P82" s="78">
        <f>IFERROR(IF(NEW_Amort = 0, -M82* NEW_I_Adj,IPMT(NEW_I_Adj,IF(K82 = 0, 1, K82),NEW_Amort_Periods,NEW_Orig_Loan_Amount)),0)</f>
        <v>0</v>
      </c>
      <c r="Q82" s="78">
        <f t="shared" si="39"/>
        <v>0</v>
      </c>
      <c r="S82">
        <f t="shared" si="32"/>
        <v>7</v>
      </c>
      <c r="T82">
        <f t="shared" si="40"/>
        <v>77</v>
      </c>
      <c r="U82" s="49">
        <f t="shared" si="45"/>
        <v>2313</v>
      </c>
      <c r="V82" s="78">
        <f t="shared" si="41"/>
        <v>0</v>
      </c>
      <c r="W82" s="78">
        <f t="shared" ca="1" si="46"/>
        <v>0</v>
      </c>
      <c r="X82" s="78">
        <f>IFERROR(IF(OR(T82=0, U82&gt;=Refi_Origination_Date),0, PPMT(Mezz_I_Adj,'Loan Amort Table'!T82,Mezz_Amort_Periods,Mezz_Orig_Loan_Amount)),0)</f>
        <v>0</v>
      </c>
      <c r="Y82" s="78" cm="1">
        <f t="array" aca="1" ref="Y82" ca="1">IFERROR(_xlfn.IFS(U82&gt;=Refi_Origination_Date,0, Mezz_Amort = 0, -V82 * Mezz_I_Adj, 1, IPMT(Mezz_I_Adj,IF(T82 = 0, 1, T82),Mezz_Amort_Periods,Mezz_Orig_Loan_Amount)),0)</f>
        <v>0</v>
      </c>
      <c r="Z82" s="78">
        <f t="shared" si="47"/>
        <v>0</v>
      </c>
      <c r="AB82">
        <f t="shared" si="33"/>
        <v>7</v>
      </c>
      <c r="AC82">
        <f t="shared" si="42"/>
        <v>77</v>
      </c>
      <c r="AD82" s="49">
        <f t="shared" si="48"/>
        <v>2313</v>
      </c>
      <c r="AE82" s="78">
        <f t="shared" si="43"/>
        <v>0</v>
      </c>
      <c r="AF82" s="78">
        <f t="shared" ca="1" si="49"/>
        <v>0</v>
      </c>
      <c r="AG82" s="78">
        <f ca="1">IFERROR(IF(AC82=0,0, PPMT(Refi_I_Adj,'Loan Amort Table'!AC82,Refi_Amort_Periods,Refi_Orig_Loan_Amount)),0)</f>
        <v>0</v>
      </c>
      <c r="AH82" s="78">
        <f t="shared" ca="1" si="34"/>
        <v>0</v>
      </c>
      <c r="AI82" s="78">
        <f t="shared" ca="1" si="50"/>
        <v>0</v>
      </c>
    </row>
    <row r="83" spans="1:35" x14ac:dyDescent="0.25">
      <c r="A83">
        <f t="shared" si="30"/>
        <v>7</v>
      </c>
      <c r="B83">
        <f t="shared" si="35"/>
        <v>78</v>
      </c>
      <c r="C83" s="49">
        <f t="shared" si="29"/>
        <v>2344</v>
      </c>
      <c r="D83" s="78">
        <f>IF(C83&gt;EDATE(DATE(YEAR(SED_Origination_Date)+ SED_Amort, MONTH(SED_Origination_Date), DAY(SED_Origination_Date)),SED_Interest_Only),0,H82)</f>
        <v>0</v>
      </c>
      <c r="E83" s="78">
        <f t="shared" si="36"/>
        <v>0</v>
      </c>
      <c r="F83" s="78">
        <f>IFERROR(IF(OR(B83=0, C83&gt;=Refi_Origination_Date),0, PPMT(SED_I_Adj,'Loan Amort Table'!B83,SED_Amort_Periods,SED_Orig_Loan_Amount)),0)</f>
        <v>0</v>
      </c>
      <c r="G83" s="78" cm="1">
        <f t="array" ref="G83">IFERROR(_xlfn.IFS(C83&gt;=Refi_Origination_Date, 0, SED_Amort = 0, -D83 * SED_I_Adj, 1, IPMT(SED_I_Adj,IF(B83 = 0, 1, B83),SED_Amort_Periods,SED_Orig_Loan_Amount)),0)</f>
        <v>0</v>
      </c>
      <c r="H83" s="78">
        <f t="shared" si="51"/>
        <v>0</v>
      </c>
      <c r="J83">
        <f t="shared" si="31"/>
        <v>7</v>
      </c>
      <c r="K83">
        <f t="shared" si="37"/>
        <v>78</v>
      </c>
      <c r="L83" s="49">
        <f t="shared" si="44"/>
        <v>2344</v>
      </c>
      <c r="M83" s="78">
        <f>IF(L83&gt;EDATE(DATE(YEAR(NEW_Origination_Date)+ NEW_Amort, MONTH(NEW_Origination_Date), DAY(NEW_Origination_Date)),NEW_Interest_Only),0,Q82)</f>
        <v>0</v>
      </c>
      <c r="N83" s="78">
        <f t="shared" si="38"/>
        <v>0</v>
      </c>
      <c r="O83" s="78">
        <f>IFERROR(IF(K83=0,0, PPMT(NEW_I_Adj,'Loan Amort Table'!K83,NEW_Amort_Periods,NEW_Orig_Loan_Amount)),0)</f>
        <v>0</v>
      </c>
      <c r="P83" s="78">
        <f>IFERROR(IF(NEW_Amort = 0, -M83* NEW_I_Adj,IPMT(NEW_I_Adj,IF(K83 = 0, 1, K83),NEW_Amort_Periods,NEW_Orig_Loan_Amount)),0)</f>
        <v>0</v>
      </c>
      <c r="Q83" s="78">
        <f t="shared" si="39"/>
        <v>0</v>
      </c>
      <c r="S83">
        <f t="shared" si="32"/>
        <v>7</v>
      </c>
      <c r="T83">
        <f t="shared" si="40"/>
        <v>78</v>
      </c>
      <c r="U83" s="49">
        <f t="shared" si="45"/>
        <v>2344</v>
      </c>
      <c r="V83" s="78">
        <f t="shared" si="41"/>
        <v>0</v>
      </c>
      <c r="W83" s="78">
        <f t="shared" ca="1" si="46"/>
        <v>0</v>
      </c>
      <c r="X83" s="78">
        <f>IFERROR(IF(OR(T83=0, U83&gt;=Refi_Origination_Date),0, PPMT(Mezz_I_Adj,'Loan Amort Table'!T83,Mezz_Amort_Periods,Mezz_Orig_Loan_Amount)),0)</f>
        <v>0</v>
      </c>
      <c r="Y83" s="78" cm="1">
        <f t="array" aca="1" ref="Y83" ca="1">IFERROR(_xlfn.IFS(U83&gt;=Refi_Origination_Date,0, Mezz_Amort = 0, -V83 * Mezz_I_Adj, 1, IPMT(Mezz_I_Adj,IF(T83 = 0, 1, T83),Mezz_Amort_Periods,Mezz_Orig_Loan_Amount)),0)</f>
        <v>0</v>
      </c>
      <c r="Z83" s="78">
        <f t="shared" si="47"/>
        <v>0</v>
      </c>
      <c r="AB83">
        <f t="shared" si="33"/>
        <v>7</v>
      </c>
      <c r="AC83">
        <f t="shared" si="42"/>
        <v>78</v>
      </c>
      <c r="AD83" s="49">
        <f t="shared" si="48"/>
        <v>2344</v>
      </c>
      <c r="AE83" s="78">
        <f t="shared" si="43"/>
        <v>0</v>
      </c>
      <c r="AF83" s="78">
        <f t="shared" ca="1" si="49"/>
        <v>0</v>
      </c>
      <c r="AG83" s="78">
        <f ca="1">IFERROR(IF(AC83=0,0, PPMT(Refi_I_Adj,'Loan Amort Table'!AC83,Refi_Amort_Periods,Refi_Orig_Loan_Amount)),0)</f>
        <v>0</v>
      </c>
      <c r="AH83" s="78">
        <f t="shared" ca="1" si="34"/>
        <v>0</v>
      </c>
      <c r="AI83" s="78">
        <f t="shared" ca="1" si="50"/>
        <v>0</v>
      </c>
    </row>
    <row r="84" spans="1:35" x14ac:dyDescent="0.25">
      <c r="A84">
        <f t="shared" si="30"/>
        <v>7</v>
      </c>
      <c r="B84">
        <f t="shared" si="35"/>
        <v>79</v>
      </c>
      <c r="C84" s="49">
        <f t="shared" si="29"/>
        <v>2374</v>
      </c>
      <c r="D84" s="78">
        <f>IF(C84&gt;EDATE(DATE(YEAR(SED_Origination_Date)+ SED_Amort, MONTH(SED_Origination_Date), DAY(SED_Origination_Date)),SED_Interest_Only),0,H83)</f>
        <v>0</v>
      </c>
      <c r="E84" s="78">
        <f t="shared" si="36"/>
        <v>0</v>
      </c>
      <c r="F84" s="78">
        <f>IFERROR(IF(OR(B84=0, C84&gt;=Refi_Origination_Date),0, PPMT(SED_I_Adj,'Loan Amort Table'!B84,SED_Amort_Periods,SED_Orig_Loan_Amount)),0)</f>
        <v>0</v>
      </c>
      <c r="G84" s="78" cm="1">
        <f t="array" ref="G84">IFERROR(_xlfn.IFS(C84&gt;=Refi_Origination_Date, 0, SED_Amort = 0, -D84 * SED_I_Adj, 1, IPMT(SED_I_Adj,IF(B84 = 0, 1, B84),SED_Amort_Periods,SED_Orig_Loan_Amount)),0)</f>
        <v>0</v>
      </c>
      <c r="H84" s="78">
        <f t="shared" si="51"/>
        <v>0</v>
      </c>
      <c r="J84">
        <f t="shared" si="31"/>
        <v>7</v>
      </c>
      <c r="K84">
        <f t="shared" si="37"/>
        <v>79</v>
      </c>
      <c r="L84" s="49">
        <f t="shared" si="44"/>
        <v>2374</v>
      </c>
      <c r="M84" s="78">
        <f>IF(L84&gt;EDATE(DATE(YEAR(NEW_Origination_Date)+ NEW_Amort, MONTH(NEW_Origination_Date), DAY(NEW_Origination_Date)),NEW_Interest_Only),0,Q83)</f>
        <v>0</v>
      </c>
      <c r="N84" s="78">
        <f t="shared" si="38"/>
        <v>0</v>
      </c>
      <c r="O84" s="78">
        <f>IFERROR(IF(K84=0,0, PPMT(NEW_I_Adj,'Loan Amort Table'!K84,NEW_Amort_Periods,NEW_Orig_Loan_Amount)),0)</f>
        <v>0</v>
      </c>
      <c r="P84" s="78">
        <f>IFERROR(IF(NEW_Amort = 0, -M84* NEW_I_Adj,IPMT(NEW_I_Adj,IF(K84 = 0, 1, K84),NEW_Amort_Periods,NEW_Orig_Loan_Amount)),0)</f>
        <v>0</v>
      </c>
      <c r="Q84" s="78">
        <f t="shared" si="39"/>
        <v>0</v>
      </c>
      <c r="S84">
        <f t="shared" si="32"/>
        <v>7</v>
      </c>
      <c r="T84">
        <f t="shared" si="40"/>
        <v>79</v>
      </c>
      <c r="U84" s="49">
        <f t="shared" si="45"/>
        <v>2374</v>
      </c>
      <c r="V84" s="78">
        <f t="shared" si="41"/>
        <v>0</v>
      </c>
      <c r="W84" s="78">
        <f t="shared" ca="1" si="46"/>
        <v>0</v>
      </c>
      <c r="X84" s="78">
        <f>IFERROR(IF(OR(T84=0, U84&gt;=Refi_Origination_Date),0, PPMT(Mezz_I_Adj,'Loan Amort Table'!T84,Mezz_Amort_Periods,Mezz_Orig_Loan_Amount)),0)</f>
        <v>0</v>
      </c>
      <c r="Y84" s="78" cm="1">
        <f t="array" aca="1" ref="Y84" ca="1">IFERROR(_xlfn.IFS(U84&gt;=Refi_Origination_Date,0, Mezz_Amort = 0, -V84 * Mezz_I_Adj, 1, IPMT(Mezz_I_Adj,IF(T84 = 0, 1, T84),Mezz_Amort_Periods,Mezz_Orig_Loan_Amount)),0)</f>
        <v>0</v>
      </c>
      <c r="Z84" s="78">
        <f t="shared" si="47"/>
        <v>0</v>
      </c>
      <c r="AB84">
        <f t="shared" si="33"/>
        <v>7</v>
      </c>
      <c r="AC84">
        <f t="shared" si="42"/>
        <v>79</v>
      </c>
      <c r="AD84" s="49">
        <f t="shared" si="48"/>
        <v>2374</v>
      </c>
      <c r="AE84" s="78">
        <f t="shared" si="43"/>
        <v>0</v>
      </c>
      <c r="AF84" s="78">
        <f t="shared" ca="1" si="49"/>
        <v>0</v>
      </c>
      <c r="AG84" s="78">
        <f ca="1">IFERROR(IF(AC84=0,0, PPMT(Refi_I_Adj,'Loan Amort Table'!AC84,Refi_Amort_Periods,Refi_Orig_Loan_Amount)),0)</f>
        <v>0</v>
      </c>
      <c r="AH84" s="78">
        <f t="shared" ca="1" si="34"/>
        <v>0</v>
      </c>
      <c r="AI84" s="78">
        <f t="shared" ca="1" si="50"/>
        <v>0</v>
      </c>
    </row>
    <row r="85" spans="1:35" x14ac:dyDescent="0.25">
      <c r="A85">
        <f t="shared" si="30"/>
        <v>7</v>
      </c>
      <c r="B85">
        <f t="shared" si="35"/>
        <v>80</v>
      </c>
      <c r="C85" s="49">
        <f t="shared" si="29"/>
        <v>2405</v>
      </c>
      <c r="D85" s="78">
        <f>IF(C85&gt;EDATE(DATE(YEAR(SED_Origination_Date)+ SED_Amort, MONTH(SED_Origination_Date), DAY(SED_Origination_Date)),SED_Interest_Only),0,H84)</f>
        <v>0</v>
      </c>
      <c r="E85" s="78">
        <f t="shared" si="36"/>
        <v>0</v>
      </c>
      <c r="F85" s="78">
        <f>IFERROR(IF(OR(B85=0, C85&gt;=Refi_Origination_Date),0, PPMT(SED_I_Adj,'Loan Amort Table'!B85,SED_Amort_Periods,SED_Orig_Loan_Amount)),0)</f>
        <v>0</v>
      </c>
      <c r="G85" s="78" cm="1">
        <f t="array" ref="G85">IFERROR(_xlfn.IFS(C85&gt;=Refi_Origination_Date, 0, SED_Amort = 0, -D85 * SED_I_Adj, 1, IPMT(SED_I_Adj,IF(B85 = 0, 1, B85),SED_Amort_Periods,SED_Orig_Loan_Amount)),0)</f>
        <v>0</v>
      </c>
      <c r="H85" s="78">
        <f t="shared" si="51"/>
        <v>0</v>
      </c>
      <c r="J85">
        <f t="shared" si="31"/>
        <v>7</v>
      </c>
      <c r="K85">
        <f t="shared" si="37"/>
        <v>80</v>
      </c>
      <c r="L85" s="49">
        <f t="shared" si="44"/>
        <v>2405</v>
      </c>
      <c r="M85" s="78">
        <f>IF(L85&gt;EDATE(DATE(YEAR(NEW_Origination_Date)+ NEW_Amort, MONTH(NEW_Origination_Date), DAY(NEW_Origination_Date)),NEW_Interest_Only),0,Q84)</f>
        <v>0</v>
      </c>
      <c r="N85" s="78">
        <f t="shared" si="38"/>
        <v>0</v>
      </c>
      <c r="O85" s="78">
        <f>IFERROR(IF(K85=0,0, PPMT(NEW_I_Adj,'Loan Amort Table'!K85,NEW_Amort_Periods,NEW_Orig_Loan_Amount)),0)</f>
        <v>0</v>
      </c>
      <c r="P85" s="78">
        <f>IFERROR(IF(NEW_Amort = 0, -M85* NEW_I_Adj,IPMT(NEW_I_Adj,IF(K85 = 0, 1, K85),NEW_Amort_Periods,NEW_Orig_Loan_Amount)),0)</f>
        <v>0</v>
      </c>
      <c r="Q85" s="78">
        <f t="shared" si="39"/>
        <v>0</v>
      </c>
      <c r="S85">
        <f t="shared" si="32"/>
        <v>7</v>
      </c>
      <c r="T85">
        <f t="shared" si="40"/>
        <v>80</v>
      </c>
      <c r="U85" s="49">
        <f t="shared" si="45"/>
        <v>2405</v>
      </c>
      <c r="V85" s="78">
        <f t="shared" si="41"/>
        <v>0</v>
      </c>
      <c r="W85" s="78">
        <f t="shared" ca="1" si="46"/>
        <v>0</v>
      </c>
      <c r="X85" s="78">
        <f>IFERROR(IF(OR(T85=0, U85&gt;=Refi_Origination_Date),0, PPMT(Mezz_I_Adj,'Loan Amort Table'!T85,Mezz_Amort_Periods,Mezz_Orig_Loan_Amount)),0)</f>
        <v>0</v>
      </c>
      <c r="Y85" s="78" cm="1">
        <f t="array" aca="1" ref="Y85" ca="1">IFERROR(_xlfn.IFS(U85&gt;=Refi_Origination_Date,0, Mezz_Amort = 0, -V85 * Mezz_I_Adj, 1, IPMT(Mezz_I_Adj,IF(T85 = 0, 1, T85),Mezz_Amort_Periods,Mezz_Orig_Loan_Amount)),0)</f>
        <v>0</v>
      </c>
      <c r="Z85" s="78">
        <f t="shared" si="47"/>
        <v>0</v>
      </c>
      <c r="AB85">
        <f t="shared" si="33"/>
        <v>7</v>
      </c>
      <c r="AC85">
        <f t="shared" si="42"/>
        <v>80</v>
      </c>
      <c r="AD85" s="49">
        <f t="shared" si="48"/>
        <v>2405</v>
      </c>
      <c r="AE85" s="78">
        <f t="shared" si="43"/>
        <v>0</v>
      </c>
      <c r="AF85" s="78">
        <f t="shared" ca="1" si="49"/>
        <v>0</v>
      </c>
      <c r="AG85" s="78">
        <f ca="1">IFERROR(IF(AC85=0,0, PPMT(Refi_I_Adj,'Loan Amort Table'!AC85,Refi_Amort_Periods,Refi_Orig_Loan_Amount)),0)</f>
        <v>0</v>
      </c>
      <c r="AH85" s="78">
        <f t="shared" ca="1" si="34"/>
        <v>0</v>
      </c>
      <c r="AI85" s="78">
        <f t="shared" ca="1" si="50"/>
        <v>0</v>
      </c>
    </row>
    <row r="86" spans="1:35" x14ac:dyDescent="0.25">
      <c r="A86">
        <f t="shared" si="30"/>
        <v>7</v>
      </c>
      <c r="B86">
        <f t="shared" si="35"/>
        <v>81</v>
      </c>
      <c r="C86" s="49">
        <f t="shared" si="29"/>
        <v>2436</v>
      </c>
      <c r="D86" s="78">
        <f>IF(C86&gt;EDATE(DATE(YEAR(SED_Origination_Date)+ SED_Amort, MONTH(SED_Origination_Date), DAY(SED_Origination_Date)),SED_Interest_Only),0,H85)</f>
        <v>0</v>
      </c>
      <c r="E86" s="78">
        <f t="shared" si="36"/>
        <v>0</v>
      </c>
      <c r="F86" s="78">
        <f>IFERROR(IF(OR(B86=0, C86&gt;=Refi_Origination_Date),0, PPMT(SED_I_Adj,'Loan Amort Table'!B86,SED_Amort_Periods,SED_Orig_Loan_Amount)),0)</f>
        <v>0</v>
      </c>
      <c r="G86" s="78" cm="1">
        <f t="array" ref="G86">IFERROR(_xlfn.IFS(C86&gt;=Refi_Origination_Date, 0, SED_Amort = 0, -D86 * SED_I_Adj, 1, IPMT(SED_I_Adj,IF(B86 = 0, 1, B86),SED_Amort_Periods,SED_Orig_Loan_Amount)),0)</f>
        <v>0</v>
      </c>
      <c r="H86" s="78">
        <f t="shared" si="51"/>
        <v>0</v>
      </c>
      <c r="J86">
        <f t="shared" si="31"/>
        <v>7</v>
      </c>
      <c r="K86">
        <f t="shared" si="37"/>
        <v>81</v>
      </c>
      <c r="L86" s="49">
        <f t="shared" si="44"/>
        <v>2436</v>
      </c>
      <c r="M86" s="78">
        <f>IF(L86&gt;EDATE(DATE(YEAR(NEW_Origination_Date)+ NEW_Amort, MONTH(NEW_Origination_Date), DAY(NEW_Origination_Date)),NEW_Interest_Only),0,Q85)</f>
        <v>0</v>
      </c>
      <c r="N86" s="78">
        <f t="shared" si="38"/>
        <v>0</v>
      </c>
      <c r="O86" s="78">
        <f>IFERROR(IF(K86=0,0, PPMT(NEW_I_Adj,'Loan Amort Table'!K86,NEW_Amort_Periods,NEW_Orig_Loan_Amount)),0)</f>
        <v>0</v>
      </c>
      <c r="P86" s="78">
        <f>IFERROR(IF(NEW_Amort = 0, -M86* NEW_I_Adj,IPMT(NEW_I_Adj,IF(K86 = 0, 1, K86),NEW_Amort_Periods,NEW_Orig_Loan_Amount)),0)</f>
        <v>0</v>
      </c>
      <c r="Q86" s="78">
        <f t="shared" si="39"/>
        <v>0</v>
      </c>
      <c r="S86">
        <f t="shared" si="32"/>
        <v>7</v>
      </c>
      <c r="T86">
        <f t="shared" si="40"/>
        <v>81</v>
      </c>
      <c r="U86" s="49">
        <f t="shared" si="45"/>
        <v>2436</v>
      </c>
      <c r="V86" s="78">
        <f t="shared" si="41"/>
        <v>0</v>
      </c>
      <c r="W86" s="78">
        <f t="shared" ca="1" si="46"/>
        <v>0</v>
      </c>
      <c r="X86" s="78">
        <f>IFERROR(IF(OR(T86=0, U86&gt;=Refi_Origination_Date),0, PPMT(Mezz_I_Adj,'Loan Amort Table'!T86,Mezz_Amort_Periods,Mezz_Orig_Loan_Amount)),0)</f>
        <v>0</v>
      </c>
      <c r="Y86" s="78" cm="1">
        <f t="array" aca="1" ref="Y86" ca="1">IFERROR(_xlfn.IFS(U86&gt;=Refi_Origination_Date,0, Mezz_Amort = 0, -V86 * Mezz_I_Adj, 1, IPMT(Mezz_I_Adj,IF(T86 = 0, 1, T86),Mezz_Amort_Periods,Mezz_Orig_Loan_Amount)),0)</f>
        <v>0</v>
      </c>
      <c r="Z86" s="78">
        <f t="shared" si="47"/>
        <v>0</v>
      </c>
      <c r="AB86">
        <f t="shared" si="33"/>
        <v>7</v>
      </c>
      <c r="AC86">
        <f t="shared" si="42"/>
        <v>81</v>
      </c>
      <c r="AD86" s="49">
        <f t="shared" si="48"/>
        <v>2436</v>
      </c>
      <c r="AE86" s="78">
        <f t="shared" si="43"/>
        <v>0</v>
      </c>
      <c r="AF86" s="78">
        <f t="shared" ca="1" si="49"/>
        <v>0</v>
      </c>
      <c r="AG86" s="78">
        <f ca="1">IFERROR(IF(AC86=0,0, PPMT(Refi_I_Adj,'Loan Amort Table'!AC86,Refi_Amort_Periods,Refi_Orig_Loan_Amount)),0)</f>
        <v>0</v>
      </c>
      <c r="AH86" s="78">
        <f t="shared" ca="1" si="34"/>
        <v>0</v>
      </c>
      <c r="AI86" s="78">
        <f t="shared" ca="1" si="50"/>
        <v>0</v>
      </c>
    </row>
    <row r="87" spans="1:35" x14ac:dyDescent="0.25">
      <c r="A87">
        <f t="shared" si="30"/>
        <v>7</v>
      </c>
      <c r="B87">
        <f t="shared" si="35"/>
        <v>82</v>
      </c>
      <c r="C87" s="49">
        <f t="shared" si="29"/>
        <v>2466</v>
      </c>
      <c r="D87" s="78">
        <f>IF(C87&gt;EDATE(DATE(YEAR(SED_Origination_Date)+ SED_Amort, MONTH(SED_Origination_Date), DAY(SED_Origination_Date)),SED_Interest_Only),0,H86)</f>
        <v>0</v>
      </c>
      <c r="E87" s="78">
        <f t="shared" si="36"/>
        <v>0</v>
      </c>
      <c r="F87" s="78">
        <f>IFERROR(IF(OR(B87=0, C87&gt;=Refi_Origination_Date),0, PPMT(SED_I_Adj,'Loan Amort Table'!B87,SED_Amort_Periods,SED_Orig_Loan_Amount)),0)</f>
        <v>0</v>
      </c>
      <c r="G87" s="78" cm="1">
        <f t="array" ref="G87">IFERROR(_xlfn.IFS(C87&gt;=Refi_Origination_Date, 0, SED_Amort = 0, -D87 * SED_I_Adj, 1, IPMT(SED_I_Adj,IF(B87 = 0, 1, B87),SED_Amort_Periods,SED_Orig_Loan_Amount)),0)</f>
        <v>0</v>
      </c>
      <c r="H87" s="78">
        <f t="shared" si="51"/>
        <v>0</v>
      </c>
      <c r="J87">
        <f t="shared" si="31"/>
        <v>7</v>
      </c>
      <c r="K87">
        <f t="shared" si="37"/>
        <v>82</v>
      </c>
      <c r="L87" s="49">
        <f t="shared" si="44"/>
        <v>2466</v>
      </c>
      <c r="M87" s="78">
        <f>IF(L87&gt;EDATE(DATE(YEAR(NEW_Origination_Date)+ NEW_Amort, MONTH(NEW_Origination_Date), DAY(NEW_Origination_Date)),NEW_Interest_Only),0,Q86)</f>
        <v>0</v>
      </c>
      <c r="N87" s="78">
        <f t="shared" si="38"/>
        <v>0</v>
      </c>
      <c r="O87" s="78">
        <f>IFERROR(IF(K87=0,0, PPMT(NEW_I_Adj,'Loan Amort Table'!K87,NEW_Amort_Periods,NEW_Orig_Loan_Amount)),0)</f>
        <v>0</v>
      </c>
      <c r="P87" s="78">
        <f>IFERROR(IF(NEW_Amort = 0, -M87* NEW_I_Adj,IPMT(NEW_I_Adj,IF(K87 = 0, 1, K87),NEW_Amort_Periods,NEW_Orig_Loan_Amount)),0)</f>
        <v>0</v>
      </c>
      <c r="Q87" s="78">
        <f t="shared" si="39"/>
        <v>0</v>
      </c>
      <c r="S87">
        <f t="shared" si="32"/>
        <v>7</v>
      </c>
      <c r="T87">
        <f t="shared" si="40"/>
        <v>82</v>
      </c>
      <c r="U87" s="49">
        <f t="shared" si="45"/>
        <v>2466</v>
      </c>
      <c r="V87" s="78">
        <f t="shared" si="41"/>
        <v>0</v>
      </c>
      <c r="W87" s="78">
        <f t="shared" ca="1" si="46"/>
        <v>0</v>
      </c>
      <c r="X87" s="78">
        <f>IFERROR(IF(OR(T87=0, U87&gt;=Refi_Origination_Date),0, PPMT(Mezz_I_Adj,'Loan Amort Table'!T87,Mezz_Amort_Periods,Mezz_Orig_Loan_Amount)),0)</f>
        <v>0</v>
      </c>
      <c r="Y87" s="78" cm="1">
        <f t="array" aca="1" ref="Y87" ca="1">IFERROR(_xlfn.IFS(U87&gt;=Refi_Origination_Date,0, Mezz_Amort = 0, -V87 * Mezz_I_Adj, 1, IPMT(Mezz_I_Adj,IF(T87 = 0, 1, T87),Mezz_Amort_Periods,Mezz_Orig_Loan_Amount)),0)</f>
        <v>0</v>
      </c>
      <c r="Z87" s="78">
        <f t="shared" si="47"/>
        <v>0</v>
      </c>
      <c r="AB87">
        <f t="shared" si="33"/>
        <v>7</v>
      </c>
      <c r="AC87">
        <f t="shared" si="42"/>
        <v>82</v>
      </c>
      <c r="AD87" s="49">
        <f t="shared" si="48"/>
        <v>2466</v>
      </c>
      <c r="AE87" s="78">
        <f t="shared" si="43"/>
        <v>0</v>
      </c>
      <c r="AF87" s="78">
        <f t="shared" ca="1" si="49"/>
        <v>0</v>
      </c>
      <c r="AG87" s="78">
        <f ca="1">IFERROR(IF(AC87=0,0, PPMT(Refi_I_Adj,'Loan Amort Table'!AC87,Refi_Amort_Periods,Refi_Orig_Loan_Amount)),0)</f>
        <v>0</v>
      </c>
      <c r="AH87" s="78">
        <f t="shared" ca="1" si="34"/>
        <v>0</v>
      </c>
      <c r="AI87" s="78">
        <f t="shared" ca="1" si="50"/>
        <v>0</v>
      </c>
    </row>
    <row r="88" spans="1:35" x14ac:dyDescent="0.25">
      <c r="A88">
        <f t="shared" si="30"/>
        <v>7</v>
      </c>
      <c r="B88">
        <f t="shared" si="35"/>
        <v>83</v>
      </c>
      <c r="C88" s="49">
        <f t="shared" si="29"/>
        <v>2497</v>
      </c>
      <c r="D88" s="78">
        <f>IF(C88&gt;EDATE(DATE(YEAR(SED_Origination_Date)+ SED_Amort, MONTH(SED_Origination_Date), DAY(SED_Origination_Date)),SED_Interest_Only),0,H87)</f>
        <v>0</v>
      </c>
      <c r="E88" s="78">
        <f t="shared" si="36"/>
        <v>0</v>
      </c>
      <c r="F88" s="78">
        <f>IFERROR(IF(OR(B88=0, C88&gt;=Refi_Origination_Date),0, PPMT(SED_I_Adj,'Loan Amort Table'!B88,SED_Amort_Periods,SED_Orig_Loan_Amount)),0)</f>
        <v>0</v>
      </c>
      <c r="G88" s="78" cm="1">
        <f t="array" ref="G88">IFERROR(_xlfn.IFS(C88&gt;=Refi_Origination_Date, 0, SED_Amort = 0, -D88 * SED_I_Adj, 1, IPMT(SED_I_Adj,IF(B88 = 0, 1, B88),SED_Amort_Periods,SED_Orig_Loan_Amount)),0)</f>
        <v>0</v>
      </c>
      <c r="H88" s="78">
        <f t="shared" si="51"/>
        <v>0</v>
      </c>
      <c r="J88">
        <f t="shared" si="31"/>
        <v>7</v>
      </c>
      <c r="K88">
        <f t="shared" si="37"/>
        <v>83</v>
      </c>
      <c r="L88" s="49">
        <f t="shared" si="44"/>
        <v>2497</v>
      </c>
      <c r="M88" s="78">
        <f>IF(L88&gt;EDATE(DATE(YEAR(NEW_Origination_Date)+ NEW_Amort, MONTH(NEW_Origination_Date), DAY(NEW_Origination_Date)),NEW_Interest_Only),0,Q87)</f>
        <v>0</v>
      </c>
      <c r="N88" s="78">
        <f t="shared" si="38"/>
        <v>0</v>
      </c>
      <c r="O88" s="78">
        <f>IFERROR(IF(K88=0,0, PPMT(NEW_I_Adj,'Loan Amort Table'!K88,NEW_Amort_Periods,NEW_Orig_Loan_Amount)),0)</f>
        <v>0</v>
      </c>
      <c r="P88" s="78">
        <f>IFERROR(IF(NEW_Amort = 0, -M88* NEW_I_Adj,IPMT(NEW_I_Adj,IF(K88 = 0, 1, K88),NEW_Amort_Periods,NEW_Orig_Loan_Amount)),0)</f>
        <v>0</v>
      </c>
      <c r="Q88" s="78">
        <f t="shared" si="39"/>
        <v>0</v>
      </c>
      <c r="S88">
        <f t="shared" si="32"/>
        <v>7</v>
      </c>
      <c r="T88">
        <f t="shared" si="40"/>
        <v>83</v>
      </c>
      <c r="U88" s="49">
        <f t="shared" si="45"/>
        <v>2497</v>
      </c>
      <c r="V88" s="78">
        <f t="shared" si="41"/>
        <v>0</v>
      </c>
      <c r="W88" s="78">
        <f t="shared" ca="1" si="46"/>
        <v>0</v>
      </c>
      <c r="X88" s="78">
        <f>IFERROR(IF(OR(T88=0, U88&gt;=Refi_Origination_Date),0, PPMT(Mezz_I_Adj,'Loan Amort Table'!T88,Mezz_Amort_Periods,Mezz_Orig_Loan_Amount)),0)</f>
        <v>0</v>
      </c>
      <c r="Y88" s="78" cm="1">
        <f t="array" aca="1" ref="Y88" ca="1">IFERROR(_xlfn.IFS(U88&gt;=Refi_Origination_Date,0, Mezz_Amort = 0, -V88 * Mezz_I_Adj, 1, IPMT(Mezz_I_Adj,IF(T88 = 0, 1, T88),Mezz_Amort_Periods,Mezz_Orig_Loan_Amount)),0)</f>
        <v>0</v>
      </c>
      <c r="Z88" s="78">
        <f t="shared" si="47"/>
        <v>0</v>
      </c>
      <c r="AB88">
        <f t="shared" si="33"/>
        <v>7</v>
      </c>
      <c r="AC88">
        <f t="shared" si="42"/>
        <v>83</v>
      </c>
      <c r="AD88" s="49">
        <f t="shared" si="48"/>
        <v>2497</v>
      </c>
      <c r="AE88" s="78">
        <f t="shared" si="43"/>
        <v>0</v>
      </c>
      <c r="AF88" s="78">
        <f t="shared" ca="1" si="49"/>
        <v>0</v>
      </c>
      <c r="AG88" s="78">
        <f ca="1">IFERROR(IF(AC88=0,0, PPMT(Refi_I_Adj,'Loan Amort Table'!AC88,Refi_Amort_Periods,Refi_Orig_Loan_Amount)),0)</f>
        <v>0</v>
      </c>
      <c r="AH88" s="78">
        <f t="shared" ca="1" si="34"/>
        <v>0</v>
      </c>
      <c r="AI88" s="78">
        <f t="shared" ca="1" si="50"/>
        <v>0</v>
      </c>
    </row>
    <row r="89" spans="1:35" x14ac:dyDescent="0.25">
      <c r="A89">
        <f t="shared" si="30"/>
        <v>7</v>
      </c>
      <c r="B89">
        <f t="shared" si="35"/>
        <v>84</v>
      </c>
      <c r="C89" s="49">
        <f t="shared" si="29"/>
        <v>2527</v>
      </c>
      <c r="D89" s="78">
        <f>IF(C89&gt;EDATE(DATE(YEAR(SED_Origination_Date)+ SED_Amort, MONTH(SED_Origination_Date), DAY(SED_Origination_Date)),SED_Interest_Only),0,H88)</f>
        <v>0</v>
      </c>
      <c r="E89" s="78">
        <f t="shared" si="36"/>
        <v>0</v>
      </c>
      <c r="F89" s="78">
        <f>IFERROR(IF(OR(B89=0, C89&gt;=Refi_Origination_Date),0, PPMT(SED_I_Adj,'Loan Amort Table'!B89,SED_Amort_Periods,SED_Orig_Loan_Amount)),0)</f>
        <v>0</v>
      </c>
      <c r="G89" s="78" cm="1">
        <f t="array" ref="G89">IFERROR(_xlfn.IFS(C89&gt;=Refi_Origination_Date, 0, SED_Amort = 0, -D89 * SED_I_Adj, 1, IPMT(SED_I_Adj,IF(B89 = 0, 1, B89),SED_Amort_Periods,SED_Orig_Loan_Amount)),0)</f>
        <v>0</v>
      </c>
      <c r="H89" s="78">
        <f t="shared" si="51"/>
        <v>0</v>
      </c>
      <c r="J89">
        <f t="shared" si="31"/>
        <v>7</v>
      </c>
      <c r="K89">
        <f t="shared" si="37"/>
        <v>84</v>
      </c>
      <c r="L89" s="49">
        <f t="shared" si="44"/>
        <v>2527</v>
      </c>
      <c r="M89" s="78">
        <f>IF(L89&gt;EDATE(DATE(YEAR(NEW_Origination_Date)+ NEW_Amort, MONTH(NEW_Origination_Date), DAY(NEW_Origination_Date)),NEW_Interest_Only),0,Q88)</f>
        <v>0</v>
      </c>
      <c r="N89" s="78">
        <f t="shared" si="38"/>
        <v>0</v>
      </c>
      <c r="O89" s="78">
        <f>IFERROR(IF(K89=0,0, PPMT(NEW_I_Adj,'Loan Amort Table'!K89,NEW_Amort_Periods,NEW_Orig_Loan_Amount)),0)</f>
        <v>0</v>
      </c>
      <c r="P89" s="78">
        <f>IFERROR(IF(NEW_Amort = 0, -M89* NEW_I_Adj,IPMT(NEW_I_Adj,IF(K89 = 0, 1, K89),NEW_Amort_Periods,NEW_Orig_Loan_Amount)),0)</f>
        <v>0</v>
      </c>
      <c r="Q89" s="78">
        <f t="shared" si="39"/>
        <v>0</v>
      </c>
      <c r="S89">
        <f t="shared" si="32"/>
        <v>7</v>
      </c>
      <c r="T89">
        <f t="shared" si="40"/>
        <v>84</v>
      </c>
      <c r="U89" s="49">
        <f t="shared" si="45"/>
        <v>2527</v>
      </c>
      <c r="V89" s="78">
        <f t="shared" si="41"/>
        <v>0</v>
      </c>
      <c r="W89" s="78">
        <f t="shared" ca="1" si="46"/>
        <v>0</v>
      </c>
      <c r="X89" s="78">
        <f>IFERROR(IF(OR(T89=0, U89&gt;=Refi_Origination_Date),0, PPMT(Mezz_I_Adj,'Loan Amort Table'!T89,Mezz_Amort_Periods,Mezz_Orig_Loan_Amount)),0)</f>
        <v>0</v>
      </c>
      <c r="Y89" s="78" cm="1">
        <f t="array" aca="1" ref="Y89" ca="1">IFERROR(_xlfn.IFS(U89&gt;=Refi_Origination_Date,0, Mezz_Amort = 0, -V89 * Mezz_I_Adj, 1, IPMT(Mezz_I_Adj,IF(T89 = 0, 1, T89),Mezz_Amort_Periods,Mezz_Orig_Loan_Amount)),0)</f>
        <v>0</v>
      </c>
      <c r="Z89" s="78">
        <f t="shared" si="47"/>
        <v>0</v>
      </c>
      <c r="AB89">
        <f t="shared" si="33"/>
        <v>7</v>
      </c>
      <c r="AC89">
        <f t="shared" si="42"/>
        <v>84</v>
      </c>
      <c r="AD89" s="49">
        <f t="shared" si="48"/>
        <v>2527</v>
      </c>
      <c r="AE89" s="78">
        <f t="shared" si="43"/>
        <v>0</v>
      </c>
      <c r="AF89" s="78">
        <f t="shared" ca="1" si="49"/>
        <v>0</v>
      </c>
      <c r="AG89" s="78">
        <f ca="1">IFERROR(IF(AC89=0,0, PPMT(Refi_I_Adj,'Loan Amort Table'!AC89,Refi_Amort_Periods,Refi_Orig_Loan_Amount)),0)</f>
        <v>0</v>
      </c>
      <c r="AH89" s="78">
        <f t="shared" ca="1" si="34"/>
        <v>0</v>
      </c>
      <c r="AI89" s="78">
        <f t="shared" ca="1" si="50"/>
        <v>0</v>
      </c>
    </row>
    <row r="90" spans="1:35" x14ac:dyDescent="0.25">
      <c r="A90">
        <f t="shared" si="30"/>
        <v>8</v>
      </c>
      <c r="B90">
        <f t="shared" si="35"/>
        <v>85</v>
      </c>
      <c r="C90" s="49">
        <f t="shared" si="29"/>
        <v>2558</v>
      </c>
      <c r="D90" s="78">
        <f>IF(C90&gt;EDATE(DATE(YEAR(SED_Origination_Date)+ SED_Amort, MONTH(SED_Origination_Date), DAY(SED_Origination_Date)),SED_Interest_Only),0,H89)</f>
        <v>0</v>
      </c>
      <c r="E90" s="78">
        <f t="shared" si="36"/>
        <v>0</v>
      </c>
      <c r="F90" s="78">
        <f>IFERROR(IF(OR(B90=0, C90&gt;=Refi_Origination_Date),0, PPMT(SED_I_Adj,'Loan Amort Table'!B90,SED_Amort_Periods,SED_Orig_Loan_Amount)),0)</f>
        <v>0</v>
      </c>
      <c r="G90" s="78" cm="1">
        <f t="array" ref="G90">IFERROR(_xlfn.IFS(C90&gt;=Refi_Origination_Date, 0, SED_Amort = 0, -D90 * SED_I_Adj, 1, IPMT(SED_I_Adj,IF(B90 = 0, 1, B90),SED_Amort_Periods,SED_Orig_Loan_Amount)),0)</f>
        <v>0</v>
      </c>
      <c r="H90" s="78">
        <f t="shared" si="51"/>
        <v>0</v>
      </c>
      <c r="J90">
        <f t="shared" si="31"/>
        <v>8</v>
      </c>
      <c r="K90">
        <f t="shared" si="37"/>
        <v>85</v>
      </c>
      <c r="L90" s="49">
        <f t="shared" si="44"/>
        <v>2558</v>
      </c>
      <c r="M90" s="78">
        <f>IF(L90&gt;EDATE(DATE(YEAR(NEW_Origination_Date)+ NEW_Amort, MONTH(NEW_Origination_Date), DAY(NEW_Origination_Date)),NEW_Interest_Only),0,Q89)</f>
        <v>0</v>
      </c>
      <c r="N90" s="78">
        <f t="shared" si="38"/>
        <v>0</v>
      </c>
      <c r="O90" s="78">
        <f>IFERROR(IF(K90=0,0, PPMT(NEW_I_Adj,'Loan Amort Table'!K90,NEW_Amort_Periods,NEW_Orig_Loan_Amount)),0)</f>
        <v>0</v>
      </c>
      <c r="P90" s="78">
        <f>IFERROR(IF(NEW_Amort = 0, -M90* NEW_I_Adj,IPMT(NEW_I_Adj,IF(K90 = 0, 1, K90),NEW_Amort_Periods,NEW_Orig_Loan_Amount)),0)</f>
        <v>0</v>
      </c>
      <c r="Q90" s="78">
        <f t="shared" si="39"/>
        <v>0</v>
      </c>
      <c r="S90">
        <f t="shared" si="32"/>
        <v>8</v>
      </c>
      <c r="T90">
        <f t="shared" si="40"/>
        <v>85</v>
      </c>
      <c r="U90" s="49">
        <f t="shared" si="45"/>
        <v>2558</v>
      </c>
      <c r="V90" s="78">
        <f t="shared" si="41"/>
        <v>0</v>
      </c>
      <c r="W90" s="78">
        <f t="shared" ca="1" si="46"/>
        <v>0</v>
      </c>
      <c r="X90" s="78">
        <f>IFERROR(IF(OR(T90=0, U90&gt;=Refi_Origination_Date),0, PPMT(Mezz_I_Adj,'Loan Amort Table'!T90,Mezz_Amort_Periods,Mezz_Orig_Loan_Amount)),0)</f>
        <v>0</v>
      </c>
      <c r="Y90" s="78" cm="1">
        <f t="array" aca="1" ref="Y90" ca="1">IFERROR(_xlfn.IFS(U90&gt;=Refi_Origination_Date,0, Mezz_Amort = 0, -V90 * Mezz_I_Adj, 1, IPMT(Mezz_I_Adj,IF(T90 = 0, 1, T90),Mezz_Amort_Periods,Mezz_Orig_Loan_Amount)),0)</f>
        <v>0</v>
      </c>
      <c r="Z90" s="78">
        <f t="shared" si="47"/>
        <v>0</v>
      </c>
      <c r="AB90">
        <f t="shared" si="33"/>
        <v>8</v>
      </c>
      <c r="AC90">
        <f t="shared" si="42"/>
        <v>85</v>
      </c>
      <c r="AD90" s="49">
        <f t="shared" si="48"/>
        <v>2558</v>
      </c>
      <c r="AE90" s="78">
        <f t="shared" si="43"/>
        <v>0</v>
      </c>
      <c r="AF90" s="78">
        <f t="shared" ca="1" si="49"/>
        <v>0</v>
      </c>
      <c r="AG90" s="78">
        <f ca="1">IFERROR(IF(AC90=0,0, PPMT(Refi_I_Adj,'Loan Amort Table'!AC90,Refi_Amort_Periods,Refi_Orig_Loan_Amount)),0)</f>
        <v>0</v>
      </c>
      <c r="AH90" s="78">
        <f t="shared" ca="1" si="34"/>
        <v>0</v>
      </c>
      <c r="AI90" s="78">
        <f t="shared" ca="1" si="50"/>
        <v>0</v>
      </c>
    </row>
    <row r="91" spans="1:35" x14ac:dyDescent="0.25">
      <c r="A91">
        <f t="shared" si="30"/>
        <v>8</v>
      </c>
      <c r="B91">
        <f t="shared" si="35"/>
        <v>86</v>
      </c>
      <c r="C91" s="49">
        <f t="shared" si="29"/>
        <v>2589</v>
      </c>
      <c r="D91" s="78">
        <f>IF(C91&gt;EDATE(DATE(YEAR(SED_Origination_Date)+ SED_Amort, MONTH(SED_Origination_Date), DAY(SED_Origination_Date)),SED_Interest_Only),0,H90)</f>
        <v>0</v>
      </c>
      <c r="E91" s="78">
        <f t="shared" si="36"/>
        <v>0</v>
      </c>
      <c r="F91" s="78">
        <f>IFERROR(IF(OR(B91=0, C91&gt;=Refi_Origination_Date),0, PPMT(SED_I_Adj,'Loan Amort Table'!B91,SED_Amort_Periods,SED_Orig_Loan_Amount)),0)</f>
        <v>0</v>
      </c>
      <c r="G91" s="78" cm="1">
        <f t="array" ref="G91">IFERROR(_xlfn.IFS(C91&gt;=Refi_Origination_Date, 0, SED_Amort = 0, -D91 * SED_I_Adj, 1, IPMT(SED_I_Adj,IF(B91 = 0, 1, B91),SED_Amort_Periods,SED_Orig_Loan_Amount)),0)</f>
        <v>0</v>
      </c>
      <c r="H91" s="78">
        <f t="shared" si="51"/>
        <v>0</v>
      </c>
      <c r="J91">
        <f t="shared" si="31"/>
        <v>8</v>
      </c>
      <c r="K91">
        <f t="shared" si="37"/>
        <v>86</v>
      </c>
      <c r="L91" s="49">
        <f t="shared" si="44"/>
        <v>2589</v>
      </c>
      <c r="M91" s="78">
        <f>IF(L91&gt;EDATE(DATE(YEAR(NEW_Origination_Date)+ NEW_Amort, MONTH(NEW_Origination_Date), DAY(NEW_Origination_Date)),NEW_Interest_Only),0,Q90)</f>
        <v>0</v>
      </c>
      <c r="N91" s="78">
        <f t="shared" si="38"/>
        <v>0</v>
      </c>
      <c r="O91" s="78">
        <f>IFERROR(IF(K91=0,0, PPMT(NEW_I_Adj,'Loan Amort Table'!K91,NEW_Amort_Periods,NEW_Orig_Loan_Amount)),0)</f>
        <v>0</v>
      </c>
      <c r="P91" s="78">
        <f>IFERROR(IF(NEW_Amort = 0, -M91* NEW_I_Adj,IPMT(NEW_I_Adj,IF(K91 = 0, 1, K91),NEW_Amort_Periods,NEW_Orig_Loan_Amount)),0)</f>
        <v>0</v>
      </c>
      <c r="Q91" s="78">
        <f t="shared" si="39"/>
        <v>0</v>
      </c>
      <c r="S91">
        <f t="shared" si="32"/>
        <v>8</v>
      </c>
      <c r="T91">
        <f t="shared" si="40"/>
        <v>86</v>
      </c>
      <c r="U91" s="49">
        <f t="shared" si="45"/>
        <v>2589</v>
      </c>
      <c r="V91" s="78">
        <f t="shared" si="41"/>
        <v>0</v>
      </c>
      <c r="W91" s="78">
        <f t="shared" ca="1" si="46"/>
        <v>0</v>
      </c>
      <c r="X91" s="78">
        <f>IFERROR(IF(OR(T91=0, U91&gt;=Refi_Origination_Date),0, PPMT(Mezz_I_Adj,'Loan Amort Table'!T91,Mezz_Amort_Periods,Mezz_Orig_Loan_Amount)),0)</f>
        <v>0</v>
      </c>
      <c r="Y91" s="78" cm="1">
        <f t="array" aca="1" ref="Y91" ca="1">IFERROR(_xlfn.IFS(U91&gt;=Refi_Origination_Date,0, Mezz_Amort = 0, -V91 * Mezz_I_Adj, 1, IPMT(Mezz_I_Adj,IF(T91 = 0, 1, T91),Mezz_Amort_Periods,Mezz_Orig_Loan_Amount)),0)</f>
        <v>0</v>
      </c>
      <c r="Z91" s="78">
        <f t="shared" si="47"/>
        <v>0</v>
      </c>
      <c r="AB91">
        <f t="shared" si="33"/>
        <v>8</v>
      </c>
      <c r="AC91">
        <f t="shared" si="42"/>
        <v>86</v>
      </c>
      <c r="AD91" s="49">
        <f t="shared" si="48"/>
        <v>2589</v>
      </c>
      <c r="AE91" s="78">
        <f t="shared" si="43"/>
        <v>0</v>
      </c>
      <c r="AF91" s="78">
        <f t="shared" ca="1" si="49"/>
        <v>0</v>
      </c>
      <c r="AG91" s="78">
        <f ca="1">IFERROR(IF(AC91=0,0, PPMT(Refi_I_Adj,'Loan Amort Table'!AC91,Refi_Amort_Periods,Refi_Orig_Loan_Amount)),0)</f>
        <v>0</v>
      </c>
      <c r="AH91" s="78">
        <f t="shared" ca="1" si="34"/>
        <v>0</v>
      </c>
      <c r="AI91" s="78">
        <f t="shared" ca="1" si="50"/>
        <v>0</v>
      </c>
    </row>
    <row r="92" spans="1:35" x14ac:dyDescent="0.25">
      <c r="A92">
        <f t="shared" si="30"/>
        <v>8</v>
      </c>
      <c r="B92">
        <f t="shared" si="35"/>
        <v>87</v>
      </c>
      <c r="C92" s="49">
        <f t="shared" si="29"/>
        <v>2617</v>
      </c>
      <c r="D92" s="78">
        <f>IF(C92&gt;EDATE(DATE(YEAR(SED_Origination_Date)+ SED_Amort, MONTH(SED_Origination_Date), DAY(SED_Origination_Date)),SED_Interest_Only),0,H91)</f>
        <v>0</v>
      </c>
      <c r="E92" s="78">
        <f t="shared" si="36"/>
        <v>0</v>
      </c>
      <c r="F92" s="78">
        <f>IFERROR(IF(OR(B92=0, C92&gt;=Refi_Origination_Date),0, PPMT(SED_I_Adj,'Loan Amort Table'!B92,SED_Amort_Periods,SED_Orig_Loan_Amount)),0)</f>
        <v>0</v>
      </c>
      <c r="G92" s="78" cm="1">
        <f t="array" ref="G92">IFERROR(_xlfn.IFS(C92&gt;=Refi_Origination_Date, 0, SED_Amort = 0, -D92 * SED_I_Adj, 1, IPMT(SED_I_Adj,IF(B92 = 0, 1, B92),SED_Amort_Periods,SED_Orig_Loan_Amount)),0)</f>
        <v>0</v>
      </c>
      <c r="H92" s="78">
        <f t="shared" si="51"/>
        <v>0</v>
      </c>
      <c r="J92">
        <f t="shared" si="31"/>
        <v>8</v>
      </c>
      <c r="K92">
        <f t="shared" si="37"/>
        <v>87</v>
      </c>
      <c r="L92" s="49">
        <f t="shared" si="44"/>
        <v>2617</v>
      </c>
      <c r="M92" s="78">
        <f>IF(L92&gt;EDATE(DATE(YEAR(NEW_Origination_Date)+ NEW_Amort, MONTH(NEW_Origination_Date), DAY(NEW_Origination_Date)),NEW_Interest_Only),0,Q91)</f>
        <v>0</v>
      </c>
      <c r="N92" s="78">
        <f t="shared" si="38"/>
        <v>0</v>
      </c>
      <c r="O92" s="78">
        <f>IFERROR(IF(K92=0,0, PPMT(NEW_I_Adj,'Loan Amort Table'!K92,NEW_Amort_Periods,NEW_Orig_Loan_Amount)),0)</f>
        <v>0</v>
      </c>
      <c r="P92" s="78">
        <f>IFERROR(IF(NEW_Amort = 0, -M92* NEW_I_Adj,IPMT(NEW_I_Adj,IF(K92 = 0, 1, K92),NEW_Amort_Periods,NEW_Orig_Loan_Amount)),0)</f>
        <v>0</v>
      </c>
      <c r="Q92" s="78">
        <f t="shared" si="39"/>
        <v>0</v>
      </c>
      <c r="S92">
        <f t="shared" si="32"/>
        <v>8</v>
      </c>
      <c r="T92">
        <f t="shared" si="40"/>
        <v>87</v>
      </c>
      <c r="U92" s="49">
        <f t="shared" si="45"/>
        <v>2617</v>
      </c>
      <c r="V92" s="78">
        <f t="shared" si="41"/>
        <v>0</v>
      </c>
      <c r="W92" s="78">
        <f t="shared" ca="1" si="46"/>
        <v>0</v>
      </c>
      <c r="X92" s="78">
        <f>IFERROR(IF(OR(T92=0, U92&gt;=Refi_Origination_Date),0, PPMT(Mezz_I_Adj,'Loan Amort Table'!T92,Mezz_Amort_Periods,Mezz_Orig_Loan_Amount)),0)</f>
        <v>0</v>
      </c>
      <c r="Y92" s="78" cm="1">
        <f t="array" aca="1" ref="Y92" ca="1">IFERROR(_xlfn.IFS(U92&gt;=Refi_Origination_Date,0, Mezz_Amort = 0, -V92 * Mezz_I_Adj, 1, IPMT(Mezz_I_Adj,IF(T92 = 0, 1, T92),Mezz_Amort_Periods,Mezz_Orig_Loan_Amount)),0)</f>
        <v>0</v>
      </c>
      <c r="Z92" s="78">
        <f t="shared" si="47"/>
        <v>0</v>
      </c>
      <c r="AB92">
        <f t="shared" si="33"/>
        <v>8</v>
      </c>
      <c r="AC92">
        <f t="shared" si="42"/>
        <v>87</v>
      </c>
      <c r="AD92" s="49">
        <f t="shared" si="48"/>
        <v>2617</v>
      </c>
      <c r="AE92" s="78">
        <f t="shared" si="43"/>
        <v>0</v>
      </c>
      <c r="AF92" s="78">
        <f t="shared" ca="1" si="49"/>
        <v>0</v>
      </c>
      <c r="AG92" s="78">
        <f ca="1">IFERROR(IF(AC92=0,0, PPMT(Refi_I_Adj,'Loan Amort Table'!AC92,Refi_Amort_Periods,Refi_Orig_Loan_Amount)),0)</f>
        <v>0</v>
      </c>
      <c r="AH92" s="78">
        <f t="shared" ca="1" si="34"/>
        <v>0</v>
      </c>
      <c r="AI92" s="78">
        <f t="shared" ca="1" si="50"/>
        <v>0</v>
      </c>
    </row>
    <row r="93" spans="1:35" x14ac:dyDescent="0.25">
      <c r="A93">
        <f t="shared" si="30"/>
        <v>8</v>
      </c>
      <c r="B93">
        <f t="shared" si="35"/>
        <v>88</v>
      </c>
      <c r="C93" s="49">
        <f t="shared" si="29"/>
        <v>2648</v>
      </c>
      <c r="D93" s="78">
        <f>IF(C93&gt;EDATE(DATE(YEAR(SED_Origination_Date)+ SED_Amort, MONTH(SED_Origination_Date), DAY(SED_Origination_Date)),SED_Interest_Only),0,H92)</f>
        <v>0</v>
      </c>
      <c r="E93" s="78">
        <f t="shared" si="36"/>
        <v>0</v>
      </c>
      <c r="F93" s="78">
        <f>IFERROR(IF(OR(B93=0, C93&gt;=Refi_Origination_Date),0, PPMT(SED_I_Adj,'Loan Amort Table'!B93,SED_Amort_Periods,SED_Orig_Loan_Amount)),0)</f>
        <v>0</v>
      </c>
      <c r="G93" s="78" cm="1">
        <f t="array" ref="G93">IFERROR(_xlfn.IFS(C93&gt;=Refi_Origination_Date, 0, SED_Amort = 0, -D93 * SED_I_Adj, 1, IPMT(SED_I_Adj,IF(B93 = 0, 1, B93),SED_Amort_Periods,SED_Orig_Loan_Amount)),0)</f>
        <v>0</v>
      </c>
      <c r="H93" s="78">
        <f t="shared" si="51"/>
        <v>0</v>
      </c>
      <c r="J93">
        <f t="shared" si="31"/>
        <v>8</v>
      </c>
      <c r="K93">
        <f t="shared" si="37"/>
        <v>88</v>
      </c>
      <c r="L93" s="49">
        <f t="shared" si="44"/>
        <v>2648</v>
      </c>
      <c r="M93" s="78">
        <f>IF(L93&gt;EDATE(DATE(YEAR(NEW_Origination_Date)+ NEW_Amort, MONTH(NEW_Origination_Date), DAY(NEW_Origination_Date)),NEW_Interest_Only),0,Q92)</f>
        <v>0</v>
      </c>
      <c r="N93" s="78">
        <f t="shared" si="38"/>
        <v>0</v>
      </c>
      <c r="O93" s="78">
        <f>IFERROR(IF(K93=0,0, PPMT(NEW_I_Adj,'Loan Amort Table'!K93,NEW_Amort_Periods,NEW_Orig_Loan_Amount)),0)</f>
        <v>0</v>
      </c>
      <c r="P93" s="78">
        <f>IFERROR(IF(NEW_Amort = 0, -M93* NEW_I_Adj,IPMT(NEW_I_Adj,IF(K93 = 0, 1, K93),NEW_Amort_Periods,NEW_Orig_Loan_Amount)),0)</f>
        <v>0</v>
      </c>
      <c r="Q93" s="78">
        <f t="shared" si="39"/>
        <v>0</v>
      </c>
      <c r="S93">
        <f t="shared" si="32"/>
        <v>8</v>
      </c>
      <c r="T93">
        <f t="shared" si="40"/>
        <v>88</v>
      </c>
      <c r="U93" s="49">
        <f t="shared" si="45"/>
        <v>2648</v>
      </c>
      <c r="V93" s="78">
        <f t="shared" si="41"/>
        <v>0</v>
      </c>
      <c r="W93" s="78">
        <f t="shared" ca="1" si="46"/>
        <v>0</v>
      </c>
      <c r="X93" s="78">
        <f>IFERROR(IF(OR(T93=0, U93&gt;=Refi_Origination_Date),0, PPMT(Mezz_I_Adj,'Loan Amort Table'!T93,Mezz_Amort_Periods,Mezz_Orig_Loan_Amount)),0)</f>
        <v>0</v>
      </c>
      <c r="Y93" s="78" cm="1">
        <f t="array" aca="1" ref="Y93" ca="1">IFERROR(_xlfn.IFS(U93&gt;=Refi_Origination_Date,0, Mezz_Amort = 0, -V93 * Mezz_I_Adj, 1, IPMT(Mezz_I_Adj,IF(T93 = 0, 1, T93),Mezz_Amort_Periods,Mezz_Orig_Loan_Amount)),0)</f>
        <v>0</v>
      </c>
      <c r="Z93" s="78">
        <f t="shared" si="47"/>
        <v>0</v>
      </c>
      <c r="AB93">
        <f t="shared" si="33"/>
        <v>8</v>
      </c>
      <c r="AC93">
        <f t="shared" si="42"/>
        <v>88</v>
      </c>
      <c r="AD93" s="49">
        <f t="shared" si="48"/>
        <v>2648</v>
      </c>
      <c r="AE93" s="78">
        <f t="shared" si="43"/>
        <v>0</v>
      </c>
      <c r="AF93" s="78">
        <f t="shared" ca="1" si="49"/>
        <v>0</v>
      </c>
      <c r="AG93" s="78">
        <f ca="1">IFERROR(IF(AC93=0,0, PPMT(Refi_I_Adj,'Loan Amort Table'!AC93,Refi_Amort_Periods,Refi_Orig_Loan_Amount)),0)</f>
        <v>0</v>
      </c>
      <c r="AH93" s="78">
        <f t="shared" ca="1" si="34"/>
        <v>0</v>
      </c>
      <c r="AI93" s="78">
        <f t="shared" ca="1" si="50"/>
        <v>0</v>
      </c>
    </row>
    <row r="94" spans="1:35" x14ac:dyDescent="0.25">
      <c r="A94">
        <f t="shared" si="30"/>
        <v>8</v>
      </c>
      <c r="B94">
        <f t="shared" si="35"/>
        <v>89</v>
      </c>
      <c r="C94" s="49">
        <f t="shared" si="29"/>
        <v>2678</v>
      </c>
      <c r="D94" s="78">
        <f>IF(C94&gt;EDATE(DATE(YEAR(SED_Origination_Date)+ SED_Amort, MONTH(SED_Origination_Date), DAY(SED_Origination_Date)),SED_Interest_Only),0,H93)</f>
        <v>0</v>
      </c>
      <c r="E94" s="78">
        <f t="shared" si="36"/>
        <v>0</v>
      </c>
      <c r="F94" s="78">
        <f>IFERROR(IF(OR(B94=0, C94&gt;=Refi_Origination_Date),0, PPMT(SED_I_Adj,'Loan Amort Table'!B94,SED_Amort_Periods,SED_Orig_Loan_Amount)),0)</f>
        <v>0</v>
      </c>
      <c r="G94" s="78" cm="1">
        <f t="array" ref="G94">IFERROR(_xlfn.IFS(C94&gt;=Refi_Origination_Date, 0, SED_Amort = 0, -D94 * SED_I_Adj, 1, IPMT(SED_I_Adj,IF(B94 = 0, 1, B94),SED_Amort_Periods,SED_Orig_Loan_Amount)),0)</f>
        <v>0</v>
      </c>
      <c r="H94" s="78">
        <f t="shared" si="51"/>
        <v>0</v>
      </c>
      <c r="J94">
        <f t="shared" si="31"/>
        <v>8</v>
      </c>
      <c r="K94">
        <f t="shared" si="37"/>
        <v>89</v>
      </c>
      <c r="L94" s="49">
        <f t="shared" si="44"/>
        <v>2678</v>
      </c>
      <c r="M94" s="78">
        <f>IF(L94&gt;EDATE(DATE(YEAR(NEW_Origination_Date)+ NEW_Amort, MONTH(NEW_Origination_Date), DAY(NEW_Origination_Date)),NEW_Interest_Only),0,Q93)</f>
        <v>0</v>
      </c>
      <c r="N94" s="78">
        <f t="shared" si="38"/>
        <v>0</v>
      </c>
      <c r="O94" s="78">
        <f>IFERROR(IF(K94=0,0, PPMT(NEW_I_Adj,'Loan Amort Table'!K94,NEW_Amort_Periods,NEW_Orig_Loan_Amount)),0)</f>
        <v>0</v>
      </c>
      <c r="P94" s="78">
        <f>IFERROR(IF(NEW_Amort = 0, -M94* NEW_I_Adj,IPMT(NEW_I_Adj,IF(K94 = 0, 1, K94),NEW_Amort_Periods,NEW_Orig_Loan_Amount)),0)</f>
        <v>0</v>
      </c>
      <c r="Q94" s="78">
        <f t="shared" si="39"/>
        <v>0</v>
      </c>
      <c r="S94">
        <f t="shared" si="32"/>
        <v>8</v>
      </c>
      <c r="T94">
        <f t="shared" si="40"/>
        <v>89</v>
      </c>
      <c r="U94" s="49">
        <f t="shared" si="45"/>
        <v>2678</v>
      </c>
      <c r="V94" s="78">
        <f t="shared" si="41"/>
        <v>0</v>
      </c>
      <c r="W94" s="78">
        <f t="shared" ca="1" si="46"/>
        <v>0</v>
      </c>
      <c r="X94" s="78">
        <f>IFERROR(IF(OR(T94=0, U94&gt;=Refi_Origination_Date),0, PPMT(Mezz_I_Adj,'Loan Amort Table'!T94,Mezz_Amort_Periods,Mezz_Orig_Loan_Amount)),0)</f>
        <v>0</v>
      </c>
      <c r="Y94" s="78" cm="1">
        <f t="array" aca="1" ref="Y94" ca="1">IFERROR(_xlfn.IFS(U94&gt;=Refi_Origination_Date,0, Mezz_Amort = 0, -V94 * Mezz_I_Adj, 1, IPMT(Mezz_I_Adj,IF(T94 = 0, 1, T94),Mezz_Amort_Periods,Mezz_Orig_Loan_Amount)),0)</f>
        <v>0</v>
      </c>
      <c r="Z94" s="78">
        <f t="shared" si="47"/>
        <v>0</v>
      </c>
      <c r="AB94">
        <f t="shared" si="33"/>
        <v>8</v>
      </c>
      <c r="AC94">
        <f t="shared" si="42"/>
        <v>89</v>
      </c>
      <c r="AD94" s="49">
        <f t="shared" si="48"/>
        <v>2678</v>
      </c>
      <c r="AE94" s="78">
        <f t="shared" si="43"/>
        <v>0</v>
      </c>
      <c r="AF94" s="78">
        <f t="shared" ca="1" si="49"/>
        <v>0</v>
      </c>
      <c r="AG94" s="78">
        <f ca="1">IFERROR(IF(AC94=0,0, PPMT(Refi_I_Adj,'Loan Amort Table'!AC94,Refi_Amort_Periods,Refi_Orig_Loan_Amount)),0)</f>
        <v>0</v>
      </c>
      <c r="AH94" s="78">
        <f t="shared" ca="1" si="34"/>
        <v>0</v>
      </c>
      <c r="AI94" s="78">
        <f t="shared" ca="1" si="50"/>
        <v>0</v>
      </c>
    </row>
    <row r="95" spans="1:35" x14ac:dyDescent="0.25">
      <c r="A95">
        <f t="shared" si="30"/>
        <v>8</v>
      </c>
      <c r="B95">
        <f t="shared" si="35"/>
        <v>90</v>
      </c>
      <c r="C95" s="49">
        <f t="shared" si="29"/>
        <v>2709</v>
      </c>
      <c r="D95" s="78">
        <f>IF(C95&gt;EDATE(DATE(YEAR(SED_Origination_Date)+ SED_Amort, MONTH(SED_Origination_Date), DAY(SED_Origination_Date)),SED_Interest_Only),0,H94)</f>
        <v>0</v>
      </c>
      <c r="E95" s="78">
        <f t="shared" si="36"/>
        <v>0</v>
      </c>
      <c r="F95" s="78">
        <f>IFERROR(IF(OR(B95=0, C95&gt;=Refi_Origination_Date),0, PPMT(SED_I_Adj,'Loan Amort Table'!B95,SED_Amort_Periods,SED_Orig_Loan_Amount)),0)</f>
        <v>0</v>
      </c>
      <c r="G95" s="78" cm="1">
        <f t="array" ref="G95">IFERROR(_xlfn.IFS(C95&gt;=Refi_Origination_Date, 0, SED_Amort = 0, -D95 * SED_I_Adj, 1, IPMT(SED_I_Adj,IF(B95 = 0, 1, B95),SED_Amort_Periods,SED_Orig_Loan_Amount)),0)</f>
        <v>0</v>
      </c>
      <c r="H95" s="78">
        <f t="shared" si="51"/>
        <v>0</v>
      </c>
      <c r="J95">
        <f t="shared" si="31"/>
        <v>8</v>
      </c>
      <c r="K95">
        <f t="shared" si="37"/>
        <v>90</v>
      </c>
      <c r="L95" s="49">
        <f t="shared" si="44"/>
        <v>2709</v>
      </c>
      <c r="M95" s="78">
        <f>IF(L95&gt;EDATE(DATE(YEAR(NEW_Origination_Date)+ NEW_Amort, MONTH(NEW_Origination_Date), DAY(NEW_Origination_Date)),NEW_Interest_Only),0,Q94)</f>
        <v>0</v>
      </c>
      <c r="N95" s="78">
        <f t="shared" si="38"/>
        <v>0</v>
      </c>
      <c r="O95" s="78">
        <f>IFERROR(IF(K95=0,0, PPMT(NEW_I_Adj,'Loan Amort Table'!K95,NEW_Amort_Periods,NEW_Orig_Loan_Amount)),0)</f>
        <v>0</v>
      </c>
      <c r="P95" s="78">
        <f>IFERROR(IF(NEW_Amort = 0, -M95* NEW_I_Adj,IPMT(NEW_I_Adj,IF(K95 = 0, 1, K95),NEW_Amort_Periods,NEW_Orig_Loan_Amount)),0)</f>
        <v>0</v>
      </c>
      <c r="Q95" s="78">
        <f t="shared" si="39"/>
        <v>0</v>
      </c>
      <c r="S95">
        <f t="shared" si="32"/>
        <v>8</v>
      </c>
      <c r="T95">
        <f t="shared" si="40"/>
        <v>90</v>
      </c>
      <c r="U95" s="49">
        <f t="shared" si="45"/>
        <v>2709</v>
      </c>
      <c r="V95" s="78">
        <f t="shared" si="41"/>
        <v>0</v>
      </c>
      <c r="W95" s="78">
        <f t="shared" ca="1" si="46"/>
        <v>0</v>
      </c>
      <c r="X95" s="78">
        <f>IFERROR(IF(OR(T95=0, U95&gt;=Refi_Origination_Date),0, PPMT(Mezz_I_Adj,'Loan Amort Table'!T95,Mezz_Amort_Periods,Mezz_Orig_Loan_Amount)),0)</f>
        <v>0</v>
      </c>
      <c r="Y95" s="78" cm="1">
        <f t="array" aca="1" ref="Y95" ca="1">IFERROR(_xlfn.IFS(U95&gt;=Refi_Origination_Date,0, Mezz_Amort = 0, -V95 * Mezz_I_Adj, 1, IPMT(Mezz_I_Adj,IF(T95 = 0, 1, T95),Mezz_Amort_Periods,Mezz_Orig_Loan_Amount)),0)</f>
        <v>0</v>
      </c>
      <c r="Z95" s="78">
        <f t="shared" si="47"/>
        <v>0</v>
      </c>
      <c r="AB95">
        <f t="shared" si="33"/>
        <v>8</v>
      </c>
      <c r="AC95">
        <f t="shared" si="42"/>
        <v>90</v>
      </c>
      <c r="AD95" s="49">
        <f t="shared" si="48"/>
        <v>2709</v>
      </c>
      <c r="AE95" s="78">
        <f t="shared" si="43"/>
        <v>0</v>
      </c>
      <c r="AF95" s="78">
        <f t="shared" ca="1" si="49"/>
        <v>0</v>
      </c>
      <c r="AG95" s="78">
        <f ca="1">IFERROR(IF(AC95=0,0, PPMT(Refi_I_Adj,'Loan Amort Table'!AC95,Refi_Amort_Periods,Refi_Orig_Loan_Amount)),0)</f>
        <v>0</v>
      </c>
      <c r="AH95" s="78">
        <f t="shared" ca="1" si="34"/>
        <v>0</v>
      </c>
      <c r="AI95" s="78">
        <f t="shared" ca="1" si="50"/>
        <v>0</v>
      </c>
    </row>
    <row r="96" spans="1:35" x14ac:dyDescent="0.25">
      <c r="A96">
        <f t="shared" si="30"/>
        <v>8</v>
      </c>
      <c r="B96">
        <f t="shared" si="35"/>
        <v>91</v>
      </c>
      <c r="C96" s="49">
        <f t="shared" si="29"/>
        <v>2739</v>
      </c>
      <c r="D96" s="78">
        <f>IF(C96&gt;EDATE(DATE(YEAR(SED_Origination_Date)+ SED_Amort, MONTH(SED_Origination_Date), DAY(SED_Origination_Date)),SED_Interest_Only),0,H95)</f>
        <v>0</v>
      </c>
      <c r="E96" s="78">
        <f t="shared" si="36"/>
        <v>0</v>
      </c>
      <c r="F96" s="78">
        <f>IFERROR(IF(OR(B96=0, C96&gt;=Refi_Origination_Date),0, PPMT(SED_I_Adj,'Loan Amort Table'!B96,SED_Amort_Periods,SED_Orig_Loan_Amount)),0)</f>
        <v>0</v>
      </c>
      <c r="G96" s="78" cm="1">
        <f t="array" ref="G96">IFERROR(_xlfn.IFS(C96&gt;=Refi_Origination_Date, 0, SED_Amort = 0, -D96 * SED_I_Adj, 1, IPMT(SED_I_Adj,IF(B96 = 0, 1, B96),SED_Amort_Periods,SED_Orig_Loan_Amount)),0)</f>
        <v>0</v>
      </c>
      <c r="H96" s="78">
        <f t="shared" si="51"/>
        <v>0</v>
      </c>
      <c r="J96">
        <f t="shared" si="31"/>
        <v>8</v>
      </c>
      <c r="K96">
        <f t="shared" si="37"/>
        <v>91</v>
      </c>
      <c r="L96" s="49">
        <f t="shared" si="44"/>
        <v>2739</v>
      </c>
      <c r="M96" s="78">
        <f>IF(L96&gt;EDATE(DATE(YEAR(NEW_Origination_Date)+ NEW_Amort, MONTH(NEW_Origination_Date), DAY(NEW_Origination_Date)),NEW_Interest_Only),0,Q95)</f>
        <v>0</v>
      </c>
      <c r="N96" s="78">
        <f t="shared" si="38"/>
        <v>0</v>
      </c>
      <c r="O96" s="78">
        <f>IFERROR(IF(K96=0,0, PPMT(NEW_I_Adj,'Loan Amort Table'!K96,NEW_Amort_Periods,NEW_Orig_Loan_Amount)),0)</f>
        <v>0</v>
      </c>
      <c r="P96" s="78">
        <f>IFERROR(IF(NEW_Amort = 0, -M96* NEW_I_Adj,IPMT(NEW_I_Adj,IF(K96 = 0, 1, K96),NEW_Amort_Periods,NEW_Orig_Loan_Amount)),0)</f>
        <v>0</v>
      </c>
      <c r="Q96" s="78">
        <f t="shared" si="39"/>
        <v>0</v>
      </c>
      <c r="S96">
        <f t="shared" si="32"/>
        <v>8</v>
      </c>
      <c r="T96">
        <f t="shared" si="40"/>
        <v>91</v>
      </c>
      <c r="U96" s="49">
        <f t="shared" si="45"/>
        <v>2739</v>
      </c>
      <c r="V96" s="78">
        <f t="shared" si="41"/>
        <v>0</v>
      </c>
      <c r="W96" s="78">
        <f t="shared" ca="1" si="46"/>
        <v>0</v>
      </c>
      <c r="X96" s="78">
        <f>IFERROR(IF(OR(T96=0, U96&gt;=Refi_Origination_Date),0, PPMT(Mezz_I_Adj,'Loan Amort Table'!T96,Mezz_Amort_Periods,Mezz_Orig_Loan_Amount)),0)</f>
        <v>0</v>
      </c>
      <c r="Y96" s="78" cm="1">
        <f t="array" aca="1" ref="Y96" ca="1">IFERROR(_xlfn.IFS(U96&gt;=Refi_Origination_Date,0, Mezz_Amort = 0, -V96 * Mezz_I_Adj, 1, IPMT(Mezz_I_Adj,IF(T96 = 0, 1, T96),Mezz_Amort_Periods,Mezz_Orig_Loan_Amount)),0)</f>
        <v>0</v>
      </c>
      <c r="Z96" s="78">
        <f t="shared" si="47"/>
        <v>0</v>
      </c>
      <c r="AB96">
        <f t="shared" si="33"/>
        <v>8</v>
      </c>
      <c r="AC96">
        <f t="shared" si="42"/>
        <v>91</v>
      </c>
      <c r="AD96" s="49">
        <f t="shared" si="48"/>
        <v>2739</v>
      </c>
      <c r="AE96" s="78">
        <f t="shared" si="43"/>
        <v>0</v>
      </c>
      <c r="AF96" s="78">
        <f t="shared" ca="1" si="49"/>
        <v>0</v>
      </c>
      <c r="AG96" s="78">
        <f ca="1">IFERROR(IF(AC96=0,0, PPMT(Refi_I_Adj,'Loan Amort Table'!AC96,Refi_Amort_Periods,Refi_Orig_Loan_Amount)),0)</f>
        <v>0</v>
      </c>
      <c r="AH96" s="78">
        <f t="shared" ca="1" si="34"/>
        <v>0</v>
      </c>
      <c r="AI96" s="78">
        <f t="shared" ca="1" si="50"/>
        <v>0</v>
      </c>
    </row>
    <row r="97" spans="1:35" x14ac:dyDescent="0.25">
      <c r="A97">
        <f t="shared" si="30"/>
        <v>8</v>
      </c>
      <c r="B97">
        <f t="shared" si="35"/>
        <v>92</v>
      </c>
      <c r="C97" s="49">
        <f t="shared" si="29"/>
        <v>2770</v>
      </c>
      <c r="D97" s="78">
        <f>IF(C97&gt;EDATE(DATE(YEAR(SED_Origination_Date)+ SED_Amort, MONTH(SED_Origination_Date), DAY(SED_Origination_Date)),SED_Interest_Only),0,H96)</f>
        <v>0</v>
      </c>
      <c r="E97" s="78">
        <f t="shared" si="36"/>
        <v>0</v>
      </c>
      <c r="F97" s="78">
        <f>IFERROR(IF(OR(B97=0, C97&gt;=Refi_Origination_Date),0, PPMT(SED_I_Adj,'Loan Amort Table'!B97,SED_Amort_Periods,SED_Orig_Loan_Amount)),0)</f>
        <v>0</v>
      </c>
      <c r="G97" s="78" cm="1">
        <f t="array" ref="G97">IFERROR(_xlfn.IFS(C97&gt;=Refi_Origination_Date, 0, SED_Amort = 0, -D97 * SED_I_Adj, 1, IPMT(SED_I_Adj,IF(B97 = 0, 1, B97),SED_Amort_Periods,SED_Orig_Loan_Amount)),0)</f>
        <v>0</v>
      </c>
      <c r="H97" s="78">
        <f t="shared" si="51"/>
        <v>0</v>
      </c>
      <c r="J97">
        <f t="shared" si="31"/>
        <v>8</v>
      </c>
      <c r="K97">
        <f t="shared" si="37"/>
        <v>92</v>
      </c>
      <c r="L97" s="49">
        <f t="shared" si="44"/>
        <v>2770</v>
      </c>
      <c r="M97" s="78">
        <f>IF(L97&gt;EDATE(DATE(YEAR(NEW_Origination_Date)+ NEW_Amort, MONTH(NEW_Origination_Date), DAY(NEW_Origination_Date)),NEW_Interest_Only),0,Q96)</f>
        <v>0</v>
      </c>
      <c r="N97" s="78">
        <f t="shared" si="38"/>
        <v>0</v>
      </c>
      <c r="O97" s="78">
        <f>IFERROR(IF(K97=0,0, PPMT(NEW_I_Adj,'Loan Amort Table'!K97,NEW_Amort_Periods,NEW_Orig_Loan_Amount)),0)</f>
        <v>0</v>
      </c>
      <c r="P97" s="78">
        <f>IFERROR(IF(NEW_Amort = 0, -M97* NEW_I_Adj,IPMT(NEW_I_Adj,IF(K97 = 0, 1, K97),NEW_Amort_Periods,NEW_Orig_Loan_Amount)),0)</f>
        <v>0</v>
      </c>
      <c r="Q97" s="78">
        <f t="shared" si="39"/>
        <v>0</v>
      </c>
      <c r="S97">
        <f t="shared" si="32"/>
        <v>8</v>
      </c>
      <c r="T97">
        <f t="shared" si="40"/>
        <v>92</v>
      </c>
      <c r="U97" s="49">
        <f t="shared" si="45"/>
        <v>2770</v>
      </c>
      <c r="V97" s="78">
        <f t="shared" si="41"/>
        <v>0</v>
      </c>
      <c r="W97" s="78">
        <f t="shared" ca="1" si="46"/>
        <v>0</v>
      </c>
      <c r="X97" s="78">
        <f>IFERROR(IF(OR(T97=0, U97&gt;=Refi_Origination_Date),0, PPMT(Mezz_I_Adj,'Loan Amort Table'!T97,Mezz_Amort_Periods,Mezz_Orig_Loan_Amount)),0)</f>
        <v>0</v>
      </c>
      <c r="Y97" s="78" cm="1">
        <f t="array" aca="1" ref="Y97" ca="1">IFERROR(_xlfn.IFS(U97&gt;=Refi_Origination_Date,0, Mezz_Amort = 0, -V97 * Mezz_I_Adj, 1, IPMT(Mezz_I_Adj,IF(T97 = 0, 1, T97),Mezz_Amort_Periods,Mezz_Orig_Loan_Amount)),0)</f>
        <v>0</v>
      </c>
      <c r="Z97" s="78">
        <f t="shared" si="47"/>
        <v>0</v>
      </c>
      <c r="AB97">
        <f t="shared" si="33"/>
        <v>8</v>
      </c>
      <c r="AC97">
        <f t="shared" si="42"/>
        <v>92</v>
      </c>
      <c r="AD97" s="49">
        <f t="shared" si="48"/>
        <v>2770</v>
      </c>
      <c r="AE97" s="78">
        <f t="shared" si="43"/>
        <v>0</v>
      </c>
      <c r="AF97" s="78">
        <f t="shared" ca="1" si="49"/>
        <v>0</v>
      </c>
      <c r="AG97" s="78">
        <f ca="1">IFERROR(IF(AC97=0,0, PPMT(Refi_I_Adj,'Loan Amort Table'!AC97,Refi_Amort_Periods,Refi_Orig_Loan_Amount)),0)</f>
        <v>0</v>
      </c>
      <c r="AH97" s="78">
        <f t="shared" ca="1" si="34"/>
        <v>0</v>
      </c>
      <c r="AI97" s="78">
        <f t="shared" ca="1" si="50"/>
        <v>0</v>
      </c>
    </row>
    <row r="98" spans="1:35" x14ac:dyDescent="0.25">
      <c r="A98">
        <f t="shared" si="30"/>
        <v>8</v>
      </c>
      <c r="B98">
        <f t="shared" si="35"/>
        <v>93</v>
      </c>
      <c r="C98" s="49">
        <f t="shared" si="29"/>
        <v>2801</v>
      </c>
      <c r="D98" s="78">
        <f>IF(C98&gt;EDATE(DATE(YEAR(SED_Origination_Date)+ SED_Amort, MONTH(SED_Origination_Date), DAY(SED_Origination_Date)),SED_Interest_Only),0,H97)</f>
        <v>0</v>
      </c>
      <c r="E98" s="78">
        <f t="shared" si="36"/>
        <v>0</v>
      </c>
      <c r="F98" s="78">
        <f>IFERROR(IF(OR(B98=0, C98&gt;=Refi_Origination_Date),0, PPMT(SED_I_Adj,'Loan Amort Table'!B98,SED_Amort_Periods,SED_Orig_Loan_Amount)),0)</f>
        <v>0</v>
      </c>
      <c r="G98" s="78" cm="1">
        <f t="array" ref="G98">IFERROR(_xlfn.IFS(C98&gt;=Refi_Origination_Date, 0, SED_Amort = 0, -D98 * SED_I_Adj, 1, IPMT(SED_I_Adj,IF(B98 = 0, 1, B98),SED_Amort_Periods,SED_Orig_Loan_Amount)),0)</f>
        <v>0</v>
      </c>
      <c r="H98" s="78">
        <f t="shared" si="51"/>
        <v>0</v>
      </c>
      <c r="J98">
        <f t="shared" si="31"/>
        <v>8</v>
      </c>
      <c r="K98">
        <f t="shared" si="37"/>
        <v>93</v>
      </c>
      <c r="L98" s="49">
        <f t="shared" si="44"/>
        <v>2801</v>
      </c>
      <c r="M98" s="78">
        <f>IF(L98&gt;EDATE(DATE(YEAR(NEW_Origination_Date)+ NEW_Amort, MONTH(NEW_Origination_Date), DAY(NEW_Origination_Date)),NEW_Interest_Only),0,Q97)</f>
        <v>0</v>
      </c>
      <c r="N98" s="78">
        <f t="shared" si="38"/>
        <v>0</v>
      </c>
      <c r="O98" s="78">
        <f>IFERROR(IF(K98=0,0, PPMT(NEW_I_Adj,'Loan Amort Table'!K98,NEW_Amort_Periods,NEW_Orig_Loan_Amount)),0)</f>
        <v>0</v>
      </c>
      <c r="P98" s="78">
        <f>IFERROR(IF(NEW_Amort = 0, -M98* NEW_I_Adj,IPMT(NEW_I_Adj,IF(K98 = 0, 1, K98),NEW_Amort_Periods,NEW_Orig_Loan_Amount)),0)</f>
        <v>0</v>
      </c>
      <c r="Q98" s="78">
        <f t="shared" si="39"/>
        <v>0</v>
      </c>
      <c r="S98">
        <f t="shared" si="32"/>
        <v>8</v>
      </c>
      <c r="T98">
        <f t="shared" si="40"/>
        <v>93</v>
      </c>
      <c r="U98" s="49">
        <f t="shared" si="45"/>
        <v>2801</v>
      </c>
      <c r="V98" s="78">
        <f t="shared" si="41"/>
        <v>0</v>
      </c>
      <c r="W98" s="78">
        <f t="shared" ca="1" si="46"/>
        <v>0</v>
      </c>
      <c r="X98" s="78">
        <f>IFERROR(IF(OR(T98=0, U98&gt;=Refi_Origination_Date),0, PPMT(Mezz_I_Adj,'Loan Amort Table'!T98,Mezz_Amort_Periods,Mezz_Orig_Loan_Amount)),0)</f>
        <v>0</v>
      </c>
      <c r="Y98" s="78" cm="1">
        <f t="array" aca="1" ref="Y98" ca="1">IFERROR(_xlfn.IFS(U98&gt;=Refi_Origination_Date,0, Mezz_Amort = 0, -V98 * Mezz_I_Adj, 1, IPMT(Mezz_I_Adj,IF(T98 = 0, 1, T98),Mezz_Amort_Periods,Mezz_Orig_Loan_Amount)),0)</f>
        <v>0</v>
      </c>
      <c r="Z98" s="78">
        <f t="shared" si="47"/>
        <v>0</v>
      </c>
      <c r="AB98">
        <f t="shared" si="33"/>
        <v>8</v>
      </c>
      <c r="AC98">
        <f t="shared" si="42"/>
        <v>93</v>
      </c>
      <c r="AD98" s="49">
        <f t="shared" si="48"/>
        <v>2801</v>
      </c>
      <c r="AE98" s="78">
        <f t="shared" si="43"/>
        <v>0</v>
      </c>
      <c r="AF98" s="78">
        <f t="shared" ca="1" si="49"/>
        <v>0</v>
      </c>
      <c r="AG98" s="78">
        <f ca="1">IFERROR(IF(AC98=0,0, PPMT(Refi_I_Adj,'Loan Amort Table'!AC98,Refi_Amort_Periods,Refi_Orig_Loan_Amount)),0)</f>
        <v>0</v>
      </c>
      <c r="AH98" s="78">
        <f t="shared" ca="1" si="34"/>
        <v>0</v>
      </c>
      <c r="AI98" s="78">
        <f t="shared" ca="1" si="50"/>
        <v>0</v>
      </c>
    </row>
    <row r="99" spans="1:35" x14ac:dyDescent="0.25">
      <c r="A99">
        <f t="shared" si="30"/>
        <v>8</v>
      </c>
      <c r="B99">
        <f t="shared" si="35"/>
        <v>94</v>
      </c>
      <c r="C99" s="49">
        <f t="shared" si="29"/>
        <v>2831</v>
      </c>
      <c r="D99" s="78">
        <f>IF(C99&gt;EDATE(DATE(YEAR(SED_Origination_Date)+ SED_Amort, MONTH(SED_Origination_Date), DAY(SED_Origination_Date)),SED_Interest_Only),0,H98)</f>
        <v>0</v>
      </c>
      <c r="E99" s="78">
        <f t="shared" si="36"/>
        <v>0</v>
      </c>
      <c r="F99" s="78">
        <f>IFERROR(IF(OR(B99=0, C99&gt;=Refi_Origination_Date),0, PPMT(SED_I_Adj,'Loan Amort Table'!B99,SED_Amort_Periods,SED_Orig_Loan_Amount)),0)</f>
        <v>0</v>
      </c>
      <c r="G99" s="78" cm="1">
        <f t="array" ref="G99">IFERROR(_xlfn.IFS(C99&gt;=Refi_Origination_Date, 0, SED_Amort = 0, -D99 * SED_I_Adj, 1, IPMT(SED_I_Adj,IF(B99 = 0, 1, B99),SED_Amort_Periods,SED_Orig_Loan_Amount)),0)</f>
        <v>0</v>
      </c>
      <c r="H99" s="78">
        <f t="shared" si="51"/>
        <v>0</v>
      </c>
      <c r="J99">
        <f t="shared" si="31"/>
        <v>8</v>
      </c>
      <c r="K99">
        <f t="shared" si="37"/>
        <v>94</v>
      </c>
      <c r="L99" s="49">
        <f t="shared" si="44"/>
        <v>2831</v>
      </c>
      <c r="M99" s="78">
        <f>IF(L99&gt;EDATE(DATE(YEAR(NEW_Origination_Date)+ NEW_Amort, MONTH(NEW_Origination_Date), DAY(NEW_Origination_Date)),NEW_Interest_Only),0,Q98)</f>
        <v>0</v>
      </c>
      <c r="N99" s="78">
        <f t="shared" si="38"/>
        <v>0</v>
      </c>
      <c r="O99" s="78">
        <f>IFERROR(IF(K99=0,0, PPMT(NEW_I_Adj,'Loan Amort Table'!K99,NEW_Amort_Periods,NEW_Orig_Loan_Amount)),0)</f>
        <v>0</v>
      </c>
      <c r="P99" s="78">
        <f>IFERROR(IF(NEW_Amort = 0, -M99* NEW_I_Adj,IPMT(NEW_I_Adj,IF(K99 = 0, 1, K99),NEW_Amort_Periods,NEW_Orig_Loan_Amount)),0)</f>
        <v>0</v>
      </c>
      <c r="Q99" s="78">
        <f t="shared" si="39"/>
        <v>0</v>
      </c>
      <c r="S99">
        <f t="shared" si="32"/>
        <v>8</v>
      </c>
      <c r="T99">
        <f t="shared" si="40"/>
        <v>94</v>
      </c>
      <c r="U99" s="49">
        <f t="shared" si="45"/>
        <v>2831</v>
      </c>
      <c r="V99" s="78">
        <f t="shared" si="41"/>
        <v>0</v>
      </c>
      <c r="W99" s="78">
        <f t="shared" ca="1" si="46"/>
        <v>0</v>
      </c>
      <c r="X99" s="78">
        <f>IFERROR(IF(OR(T99=0, U99&gt;=Refi_Origination_Date),0, PPMT(Mezz_I_Adj,'Loan Amort Table'!T99,Mezz_Amort_Periods,Mezz_Orig_Loan_Amount)),0)</f>
        <v>0</v>
      </c>
      <c r="Y99" s="78" cm="1">
        <f t="array" aca="1" ref="Y99" ca="1">IFERROR(_xlfn.IFS(U99&gt;=Refi_Origination_Date,0, Mezz_Amort = 0, -V99 * Mezz_I_Adj, 1, IPMT(Mezz_I_Adj,IF(T99 = 0, 1, T99),Mezz_Amort_Periods,Mezz_Orig_Loan_Amount)),0)</f>
        <v>0</v>
      </c>
      <c r="Z99" s="78">
        <f t="shared" si="47"/>
        <v>0</v>
      </c>
      <c r="AB99">
        <f t="shared" si="33"/>
        <v>8</v>
      </c>
      <c r="AC99">
        <f t="shared" si="42"/>
        <v>94</v>
      </c>
      <c r="AD99" s="49">
        <f t="shared" si="48"/>
        <v>2831</v>
      </c>
      <c r="AE99" s="78">
        <f t="shared" si="43"/>
        <v>0</v>
      </c>
      <c r="AF99" s="78">
        <f t="shared" ca="1" si="49"/>
        <v>0</v>
      </c>
      <c r="AG99" s="78">
        <f ca="1">IFERROR(IF(AC99=0,0, PPMT(Refi_I_Adj,'Loan Amort Table'!AC99,Refi_Amort_Periods,Refi_Orig_Loan_Amount)),0)</f>
        <v>0</v>
      </c>
      <c r="AH99" s="78">
        <f t="shared" ca="1" si="34"/>
        <v>0</v>
      </c>
      <c r="AI99" s="78">
        <f t="shared" ca="1" si="50"/>
        <v>0</v>
      </c>
    </row>
    <row r="100" spans="1:35" x14ac:dyDescent="0.25">
      <c r="A100">
        <f t="shared" si="30"/>
        <v>8</v>
      </c>
      <c r="B100">
        <f t="shared" si="35"/>
        <v>95</v>
      </c>
      <c r="C100" s="49">
        <f t="shared" si="29"/>
        <v>2862</v>
      </c>
      <c r="D100" s="78">
        <f>IF(C100&gt;EDATE(DATE(YEAR(SED_Origination_Date)+ SED_Amort, MONTH(SED_Origination_Date), DAY(SED_Origination_Date)),SED_Interest_Only),0,H99)</f>
        <v>0</v>
      </c>
      <c r="E100" s="78">
        <f t="shared" si="36"/>
        <v>0</v>
      </c>
      <c r="F100" s="78">
        <f>IFERROR(IF(OR(B100=0, C100&gt;=Refi_Origination_Date),0, PPMT(SED_I_Adj,'Loan Amort Table'!B100,SED_Amort_Periods,SED_Orig_Loan_Amount)),0)</f>
        <v>0</v>
      </c>
      <c r="G100" s="78" cm="1">
        <f t="array" ref="G100">IFERROR(_xlfn.IFS(C100&gt;=Refi_Origination_Date, 0, SED_Amort = 0, -D100 * SED_I_Adj, 1, IPMT(SED_I_Adj,IF(B100 = 0, 1, B100),SED_Amort_Periods,SED_Orig_Loan_Amount)),0)</f>
        <v>0</v>
      </c>
      <c r="H100" s="78">
        <f t="shared" si="51"/>
        <v>0</v>
      </c>
      <c r="J100">
        <f t="shared" si="31"/>
        <v>8</v>
      </c>
      <c r="K100">
        <f t="shared" si="37"/>
        <v>95</v>
      </c>
      <c r="L100" s="49">
        <f t="shared" si="44"/>
        <v>2862</v>
      </c>
      <c r="M100" s="78">
        <f>IF(L100&gt;EDATE(DATE(YEAR(NEW_Origination_Date)+ NEW_Amort, MONTH(NEW_Origination_Date), DAY(NEW_Origination_Date)),NEW_Interest_Only),0,Q99)</f>
        <v>0</v>
      </c>
      <c r="N100" s="78">
        <f t="shared" si="38"/>
        <v>0</v>
      </c>
      <c r="O100" s="78">
        <f>IFERROR(IF(K100=0,0, PPMT(NEW_I_Adj,'Loan Amort Table'!K100,NEW_Amort_Periods,NEW_Orig_Loan_Amount)),0)</f>
        <v>0</v>
      </c>
      <c r="P100" s="78">
        <f>IFERROR(IF(NEW_Amort = 0, -M100* NEW_I_Adj,IPMT(NEW_I_Adj,IF(K100 = 0, 1, K100),NEW_Amort_Periods,NEW_Orig_Loan_Amount)),0)</f>
        <v>0</v>
      </c>
      <c r="Q100" s="78">
        <f t="shared" si="39"/>
        <v>0</v>
      </c>
      <c r="S100">
        <f t="shared" si="32"/>
        <v>8</v>
      </c>
      <c r="T100">
        <f t="shared" si="40"/>
        <v>95</v>
      </c>
      <c r="U100" s="49">
        <f t="shared" si="45"/>
        <v>2862</v>
      </c>
      <c r="V100" s="78">
        <f t="shared" si="41"/>
        <v>0</v>
      </c>
      <c r="W100" s="78">
        <f t="shared" ca="1" si="46"/>
        <v>0</v>
      </c>
      <c r="X100" s="78">
        <f>IFERROR(IF(OR(T100=0, U100&gt;=Refi_Origination_Date),0, PPMT(Mezz_I_Adj,'Loan Amort Table'!T100,Mezz_Amort_Periods,Mezz_Orig_Loan_Amount)),0)</f>
        <v>0</v>
      </c>
      <c r="Y100" s="78" cm="1">
        <f t="array" aca="1" ref="Y100" ca="1">IFERROR(_xlfn.IFS(U100&gt;=Refi_Origination_Date,0, Mezz_Amort = 0, -V100 * Mezz_I_Adj, 1, IPMT(Mezz_I_Adj,IF(T100 = 0, 1, T100),Mezz_Amort_Periods,Mezz_Orig_Loan_Amount)),0)</f>
        <v>0</v>
      </c>
      <c r="Z100" s="78">
        <f t="shared" si="47"/>
        <v>0</v>
      </c>
      <c r="AB100">
        <f t="shared" si="33"/>
        <v>8</v>
      </c>
      <c r="AC100">
        <f t="shared" si="42"/>
        <v>95</v>
      </c>
      <c r="AD100" s="49">
        <f t="shared" si="48"/>
        <v>2862</v>
      </c>
      <c r="AE100" s="78">
        <f t="shared" si="43"/>
        <v>0</v>
      </c>
      <c r="AF100" s="78">
        <f t="shared" ca="1" si="49"/>
        <v>0</v>
      </c>
      <c r="AG100" s="78">
        <f ca="1">IFERROR(IF(AC100=0,0, PPMT(Refi_I_Adj,'Loan Amort Table'!AC100,Refi_Amort_Periods,Refi_Orig_Loan_Amount)),0)</f>
        <v>0</v>
      </c>
      <c r="AH100" s="78">
        <f t="shared" ca="1" si="34"/>
        <v>0</v>
      </c>
      <c r="AI100" s="78">
        <f t="shared" ca="1" si="50"/>
        <v>0</v>
      </c>
    </row>
    <row r="101" spans="1:35" x14ac:dyDescent="0.25">
      <c r="A101">
        <f t="shared" si="30"/>
        <v>8</v>
      </c>
      <c r="B101">
        <f t="shared" si="35"/>
        <v>96</v>
      </c>
      <c r="C101" s="49">
        <f t="shared" si="29"/>
        <v>2892</v>
      </c>
      <c r="D101" s="78">
        <f>IF(C101&gt;EDATE(DATE(YEAR(SED_Origination_Date)+ SED_Amort, MONTH(SED_Origination_Date), DAY(SED_Origination_Date)),SED_Interest_Only),0,H100)</f>
        <v>0</v>
      </c>
      <c r="E101" s="78">
        <f t="shared" si="36"/>
        <v>0</v>
      </c>
      <c r="F101" s="78">
        <f>IFERROR(IF(OR(B101=0, C101&gt;=Refi_Origination_Date),0, PPMT(SED_I_Adj,'Loan Amort Table'!B101,SED_Amort_Periods,SED_Orig_Loan_Amount)),0)</f>
        <v>0</v>
      </c>
      <c r="G101" s="78" cm="1">
        <f t="array" ref="G101">IFERROR(_xlfn.IFS(C101&gt;=Refi_Origination_Date, 0, SED_Amort = 0, -D101 * SED_I_Adj, 1, IPMT(SED_I_Adj,IF(B101 = 0, 1, B101),SED_Amort_Periods,SED_Orig_Loan_Amount)),0)</f>
        <v>0</v>
      </c>
      <c r="H101" s="78">
        <f t="shared" si="51"/>
        <v>0</v>
      </c>
      <c r="J101">
        <f t="shared" si="31"/>
        <v>8</v>
      </c>
      <c r="K101">
        <f t="shared" si="37"/>
        <v>96</v>
      </c>
      <c r="L101" s="49">
        <f t="shared" si="44"/>
        <v>2892</v>
      </c>
      <c r="M101" s="78">
        <f>IF(L101&gt;EDATE(DATE(YEAR(NEW_Origination_Date)+ NEW_Amort, MONTH(NEW_Origination_Date), DAY(NEW_Origination_Date)),NEW_Interest_Only),0,Q100)</f>
        <v>0</v>
      </c>
      <c r="N101" s="78">
        <f t="shared" si="38"/>
        <v>0</v>
      </c>
      <c r="O101" s="78">
        <f>IFERROR(IF(K101=0,0, PPMT(NEW_I_Adj,'Loan Amort Table'!K101,NEW_Amort_Periods,NEW_Orig_Loan_Amount)),0)</f>
        <v>0</v>
      </c>
      <c r="P101" s="78">
        <f>IFERROR(IF(NEW_Amort = 0, -M101* NEW_I_Adj,IPMT(NEW_I_Adj,IF(K101 = 0, 1, K101),NEW_Amort_Periods,NEW_Orig_Loan_Amount)),0)</f>
        <v>0</v>
      </c>
      <c r="Q101" s="78">
        <f t="shared" si="39"/>
        <v>0</v>
      </c>
      <c r="S101">
        <f t="shared" si="32"/>
        <v>8</v>
      </c>
      <c r="T101">
        <f t="shared" si="40"/>
        <v>96</v>
      </c>
      <c r="U101" s="49">
        <f t="shared" si="45"/>
        <v>2892</v>
      </c>
      <c r="V101" s="78">
        <f t="shared" si="41"/>
        <v>0</v>
      </c>
      <c r="W101" s="78">
        <f t="shared" ca="1" si="46"/>
        <v>0</v>
      </c>
      <c r="X101" s="78">
        <f>IFERROR(IF(OR(T101=0, U101&gt;=Refi_Origination_Date),0, PPMT(Mezz_I_Adj,'Loan Amort Table'!T101,Mezz_Amort_Periods,Mezz_Orig_Loan_Amount)),0)</f>
        <v>0</v>
      </c>
      <c r="Y101" s="78" cm="1">
        <f t="array" aca="1" ref="Y101" ca="1">IFERROR(_xlfn.IFS(U101&gt;=Refi_Origination_Date,0, Mezz_Amort = 0, -V101 * Mezz_I_Adj, 1, IPMT(Mezz_I_Adj,IF(T101 = 0, 1, T101),Mezz_Amort_Periods,Mezz_Orig_Loan_Amount)),0)</f>
        <v>0</v>
      </c>
      <c r="Z101" s="78">
        <f t="shared" si="47"/>
        <v>0</v>
      </c>
      <c r="AB101">
        <f t="shared" si="33"/>
        <v>8</v>
      </c>
      <c r="AC101">
        <f t="shared" si="42"/>
        <v>96</v>
      </c>
      <c r="AD101" s="49">
        <f t="shared" si="48"/>
        <v>2892</v>
      </c>
      <c r="AE101" s="78">
        <f t="shared" si="43"/>
        <v>0</v>
      </c>
      <c r="AF101" s="78">
        <f t="shared" ca="1" si="49"/>
        <v>0</v>
      </c>
      <c r="AG101" s="78">
        <f ca="1">IFERROR(IF(AC101=0,0, PPMT(Refi_I_Adj,'Loan Amort Table'!AC101,Refi_Amort_Periods,Refi_Orig_Loan_Amount)),0)</f>
        <v>0</v>
      </c>
      <c r="AH101" s="78">
        <f t="shared" ca="1" si="34"/>
        <v>0</v>
      </c>
      <c r="AI101" s="78">
        <f t="shared" ca="1" si="50"/>
        <v>0</v>
      </c>
    </row>
    <row r="102" spans="1:35" x14ac:dyDescent="0.25">
      <c r="A102">
        <f t="shared" si="30"/>
        <v>9</v>
      </c>
      <c r="B102">
        <f t="shared" si="35"/>
        <v>97</v>
      </c>
      <c r="C102" s="49">
        <f t="shared" si="29"/>
        <v>2923</v>
      </c>
      <c r="D102" s="78">
        <f>IF(C102&gt;EDATE(DATE(YEAR(SED_Origination_Date)+ SED_Amort, MONTH(SED_Origination_Date), DAY(SED_Origination_Date)),SED_Interest_Only),0,H101)</f>
        <v>0</v>
      </c>
      <c r="E102" s="78">
        <f t="shared" si="36"/>
        <v>0</v>
      </c>
      <c r="F102" s="78">
        <f>IFERROR(IF(OR(B102=0, C102&gt;=Refi_Origination_Date),0, PPMT(SED_I_Adj,'Loan Amort Table'!B102,SED_Amort_Periods,SED_Orig_Loan_Amount)),0)</f>
        <v>0</v>
      </c>
      <c r="G102" s="78" cm="1">
        <f t="array" ref="G102">IFERROR(_xlfn.IFS(C102&gt;=Refi_Origination_Date, 0, SED_Amort = 0, -D102 * SED_I_Adj, 1, IPMT(SED_I_Adj,IF(B102 = 0, 1, B102),SED_Amort_Periods,SED_Orig_Loan_Amount)),0)</f>
        <v>0</v>
      </c>
      <c r="H102" s="78">
        <f t="shared" si="51"/>
        <v>0</v>
      </c>
      <c r="J102">
        <f t="shared" si="31"/>
        <v>9</v>
      </c>
      <c r="K102">
        <f t="shared" si="37"/>
        <v>97</v>
      </c>
      <c r="L102" s="49">
        <f t="shared" si="44"/>
        <v>2923</v>
      </c>
      <c r="M102" s="78">
        <f>IF(L102&gt;EDATE(DATE(YEAR(NEW_Origination_Date)+ NEW_Amort, MONTH(NEW_Origination_Date), DAY(NEW_Origination_Date)),NEW_Interest_Only),0,Q101)</f>
        <v>0</v>
      </c>
      <c r="N102" s="78">
        <f t="shared" si="38"/>
        <v>0</v>
      </c>
      <c r="O102" s="78">
        <f>IFERROR(IF(K102=0,0, PPMT(NEW_I_Adj,'Loan Amort Table'!K102,NEW_Amort_Periods,NEW_Orig_Loan_Amount)),0)</f>
        <v>0</v>
      </c>
      <c r="P102" s="78">
        <f>IFERROR(IF(NEW_Amort = 0, -M102* NEW_I_Adj,IPMT(NEW_I_Adj,IF(K102 = 0, 1, K102),NEW_Amort_Periods,NEW_Orig_Loan_Amount)),0)</f>
        <v>0</v>
      </c>
      <c r="Q102" s="78">
        <f t="shared" si="39"/>
        <v>0</v>
      </c>
      <c r="S102">
        <f t="shared" si="32"/>
        <v>9</v>
      </c>
      <c r="T102">
        <f t="shared" si="40"/>
        <v>97</v>
      </c>
      <c r="U102" s="49">
        <f t="shared" si="45"/>
        <v>2923</v>
      </c>
      <c r="V102" s="78">
        <f t="shared" si="41"/>
        <v>0</v>
      </c>
      <c r="W102" s="78">
        <f t="shared" ca="1" si="46"/>
        <v>0</v>
      </c>
      <c r="X102" s="78">
        <f>IFERROR(IF(OR(T102=0, U102&gt;=Refi_Origination_Date),0, PPMT(Mezz_I_Adj,'Loan Amort Table'!T102,Mezz_Amort_Periods,Mezz_Orig_Loan_Amount)),0)</f>
        <v>0</v>
      </c>
      <c r="Y102" s="78" cm="1">
        <f t="array" aca="1" ref="Y102" ca="1">IFERROR(_xlfn.IFS(U102&gt;=Refi_Origination_Date,0, Mezz_Amort = 0, -V102 * Mezz_I_Adj, 1, IPMT(Mezz_I_Adj,IF(T102 = 0, 1, T102),Mezz_Amort_Periods,Mezz_Orig_Loan_Amount)),0)</f>
        <v>0</v>
      </c>
      <c r="Z102" s="78">
        <f t="shared" si="47"/>
        <v>0</v>
      </c>
      <c r="AB102">
        <f t="shared" si="33"/>
        <v>9</v>
      </c>
      <c r="AC102">
        <f t="shared" si="42"/>
        <v>97</v>
      </c>
      <c r="AD102" s="49">
        <f t="shared" si="48"/>
        <v>2923</v>
      </c>
      <c r="AE102" s="78">
        <f t="shared" si="43"/>
        <v>0</v>
      </c>
      <c r="AF102" s="78">
        <f t="shared" ca="1" si="49"/>
        <v>0</v>
      </c>
      <c r="AG102" s="78">
        <f ca="1">IFERROR(IF(AC102=0,0, PPMT(Refi_I_Adj,'Loan Amort Table'!AC102,Refi_Amort_Periods,Refi_Orig_Loan_Amount)),0)</f>
        <v>0</v>
      </c>
      <c r="AH102" s="78">
        <f t="shared" ca="1" si="34"/>
        <v>0</v>
      </c>
      <c r="AI102" s="78">
        <f t="shared" ca="1" si="50"/>
        <v>0</v>
      </c>
    </row>
    <row r="103" spans="1:35" x14ac:dyDescent="0.25">
      <c r="A103">
        <f t="shared" si="30"/>
        <v>9</v>
      </c>
      <c r="B103">
        <f t="shared" si="35"/>
        <v>98</v>
      </c>
      <c r="C103" s="49">
        <f t="shared" si="29"/>
        <v>2954</v>
      </c>
      <c r="D103" s="78">
        <f>IF(C103&gt;EDATE(DATE(YEAR(SED_Origination_Date)+ SED_Amort, MONTH(SED_Origination_Date), DAY(SED_Origination_Date)),SED_Interest_Only),0,H102)</f>
        <v>0</v>
      </c>
      <c r="E103" s="78">
        <f t="shared" si="36"/>
        <v>0</v>
      </c>
      <c r="F103" s="78">
        <f>IFERROR(IF(OR(B103=0, C103&gt;=Refi_Origination_Date),0, PPMT(SED_I_Adj,'Loan Amort Table'!B103,SED_Amort_Periods,SED_Orig_Loan_Amount)),0)</f>
        <v>0</v>
      </c>
      <c r="G103" s="78" cm="1">
        <f t="array" ref="G103">IFERROR(_xlfn.IFS(C103&gt;=Refi_Origination_Date, 0, SED_Amort = 0, -D103 * SED_I_Adj, 1, IPMT(SED_I_Adj,IF(B103 = 0, 1, B103),SED_Amort_Periods,SED_Orig_Loan_Amount)),0)</f>
        <v>0</v>
      </c>
      <c r="H103" s="78">
        <f t="shared" si="51"/>
        <v>0</v>
      </c>
      <c r="J103">
        <f t="shared" si="31"/>
        <v>9</v>
      </c>
      <c r="K103">
        <f t="shared" si="37"/>
        <v>98</v>
      </c>
      <c r="L103" s="49">
        <f t="shared" si="44"/>
        <v>2954</v>
      </c>
      <c r="M103" s="78">
        <f>IF(L103&gt;EDATE(DATE(YEAR(NEW_Origination_Date)+ NEW_Amort, MONTH(NEW_Origination_Date), DAY(NEW_Origination_Date)),NEW_Interest_Only),0,Q102)</f>
        <v>0</v>
      </c>
      <c r="N103" s="78">
        <f t="shared" si="38"/>
        <v>0</v>
      </c>
      <c r="O103" s="78">
        <f>IFERROR(IF(K103=0,0, PPMT(NEW_I_Adj,'Loan Amort Table'!K103,NEW_Amort_Periods,NEW_Orig_Loan_Amount)),0)</f>
        <v>0</v>
      </c>
      <c r="P103" s="78">
        <f>IFERROR(IF(NEW_Amort = 0, -M103* NEW_I_Adj,IPMT(NEW_I_Adj,IF(K103 = 0, 1, K103),NEW_Amort_Periods,NEW_Orig_Loan_Amount)),0)</f>
        <v>0</v>
      </c>
      <c r="Q103" s="78">
        <f t="shared" si="39"/>
        <v>0</v>
      </c>
      <c r="S103">
        <f t="shared" si="32"/>
        <v>9</v>
      </c>
      <c r="T103">
        <f t="shared" si="40"/>
        <v>98</v>
      </c>
      <c r="U103" s="49">
        <f t="shared" si="45"/>
        <v>2954</v>
      </c>
      <c r="V103" s="78">
        <f t="shared" si="41"/>
        <v>0</v>
      </c>
      <c r="W103" s="78">
        <f t="shared" ca="1" si="46"/>
        <v>0</v>
      </c>
      <c r="X103" s="78">
        <f>IFERROR(IF(OR(T103=0, U103&gt;=Refi_Origination_Date),0, PPMT(Mezz_I_Adj,'Loan Amort Table'!T103,Mezz_Amort_Periods,Mezz_Orig_Loan_Amount)),0)</f>
        <v>0</v>
      </c>
      <c r="Y103" s="78" cm="1">
        <f t="array" aca="1" ref="Y103" ca="1">IFERROR(_xlfn.IFS(U103&gt;=Refi_Origination_Date,0, Mezz_Amort = 0, -V103 * Mezz_I_Adj, 1, IPMT(Mezz_I_Adj,IF(T103 = 0, 1, T103),Mezz_Amort_Periods,Mezz_Orig_Loan_Amount)),0)</f>
        <v>0</v>
      </c>
      <c r="Z103" s="78">
        <f t="shared" si="47"/>
        <v>0</v>
      </c>
      <c r="AB103">
        <f t="shared" si="33"/>
        <v>9</v>
      </c>
      <c r="AC103">
        <f t="shared" si="42"/>
        <v>98</v>
      </c>
      <c r="AD103" s="49">
        <f t="shared" si="48"/>
        <v>2954</v>
      </c>
      <c r="AE103" s="78">
        <f t="shared" si="43"/>
        <v>0</v>
      </c>
      <c r="AF103" s="78">
        <f t="shared" ca="1" si="49"/>
        <v>0</v>
      </c>
      <c r="AG103" s="78">
        <f ca="1">IFERROR(IF(AC103=0,0, PPMT(Refi_I_Adj,'Loan Amort Table'!AC103,Refi_Amort_Periods,Refi_Orig_Loan_Amount)),0)</f>
        <v>0</v>
      </c>
      <c r="AH103" s="78">
        <f t="shared" ca="1" si="34"/>
        <v>0</v>
      </c>
      <c r="AI103" s="78">
        <f t="shared" ca="1" si="50"/>
        <v>0</v>
      </c>
    </row>
    <row r="104" spans="1:35" x14ac:dyDescent="0.25">
      <c r="A104">
        <f t="shared" si="30"/>
        <v>9</v>
      </c>
      <c r="B104">
        <f t="shared" si="35"/>
        <v>99</v>
      </c>
      <c r="C104" s="49">
        <f t="shared" si="29"/>
        <v>2983</v>
      </c>
      <c r="D104" s="78">
        <f>IF(C104&gt;EDATE(DATE(YEAR(SED_Origination_Date)+ SED_Amort, MONTH(SED_Origination_Date), DAY(SED_Origination_Date)),SED_Interest_Only),0,H103)</f>
        <v>0</v>
      </c>
      <c r="E104" s="78">
        <f t="shared" si="36"/>
        <v>0</v>
      </c>
      <c r="F104" s="78">
        <f>IFERROR(IF(OR(B104=0, C104&gt;=Refi_Origination_Date),0, PPMT(SED_I_Adj,'Loan Amort Table'!B104,SED_Amort_Periods,SED_Orig_Loan_Amount)),0)</f>
        <v>0</v>
      </c>
      <c r="G104" s="78" cm="1">
        <f t="array" ref="G104">IFERROR(_xlfn.IFS(C104&gt;=Refi_Origination_Date, 0, SED_Amort = 0, -D104 * SED_I_Adj, 1, IPMT(SED_I_Adj,IF(B104 = 0, 1, B104),SED_Amort_Periods,SED_Orig_Loan_Amount)),0)</f>
        <v>0</v>
      </c>
      <c r="H104" s="78">
        <f t="shared" si="51"/>
        <v>0</v>
      </c>
      <c r="J104">
        <f t="shared" si="31"/>
        <v>9</v>
      </c>
      <c r="K104">
        <f t="shared" si="37"/>
        <v>99</v>
      </c>
      <c r="L104" s="49">
        <f t="shared" si="44"/>
        <v>2983</v>
      </c>
      <c r="M104" s="78">
        <f>IF(L104&gt;EDATE(DATE(YEAR(NEW_Origination_Date)+ NEW_Amort, MONTH(NEW_Origination_Date), DAY(NEW_Origination_Date)),NEW_Interest_Only),0,Q103)</f>
        <v>0</v>
      </c>
      <c r="N104" s="78">
        <f t="shared" si="38"/>
        <v>0</v>
      </c>
      <c r="O104" s="78">
        <f>IFERROR(IF(K104=0,0, PPMT(NEW_I_Adj,'Loan Amort Table'!K104,NEW_Amort_Periods,NEW_Orig_Loan_Amount)),0)</f>
        <v>0</v>
      </c>
      <c r="P104" s="78">
        <f>IFERROR(IF(NEW_Amort = 0, -M104* NEW_I_Adj,IPMT(NEW_I_Adj,IF(K104 = 0, 1, K104),NEW_Amort_Periods,NEW_Orig_Loan_Amount)),0)</f>
        <v>0</v>
      </c>
      <c r="Q104" s="78">
        <f t="shared" si="39"/>
        <v>0</v>
      </c>
      <c r="S104">
        <f t="shared" si="32"/>
        <v>9</v>
      </c>
      <c r="T104">
        <f t="shared" si="40"/>
        <v>99</v>
      </c>
      <c r="U104" s="49">
        <f t="shared" si="45"/>
        <v>2983</v>
      </c>
      <c r="V104" s="78">
        <f t="shared" si="41"/>
        <v>0</v>
      </c>
      <c r="W104" s="78">
        <f t="shared" ca="1" si="46"/>
        <v>0</v>
      </c>
      <c r="X104" s="78">
        <f>IFERROR(IF(OR(T104=0, U104&gt;=Refi_Origination_Date),0, PPMT(Mezz_I_Adj,'Loan Amort Table'!T104,Mezz_Amort_Periods,Mezz_Orig_Loan_Amount)),0)</f>
        <v>0</v>
      </c>
      <c r="Y104" s="78" cm="1">
        <f t="array" aca="1" ref="Y104" ca="1">IFERROR(_xlfn.IFS(U104&gt;=Refi_Origination_Date,0, Mezz_Amort = 0, -V104 * Mezz_I_Adj, 1, IPMT(Mezz_I_Adj,IF(T104 = 0, 1, T104),Mezz_Amort_Periods,Mezz_Orig_Loan_Amount)),0)</f>
        <v>0</v>
      </c>
      <c r="Z104" s="78">
        <f t="shared" si="47"/>
        <v>0</v>
      </c>
      <c r="AB104">
        <f t="shared" si="33"/>
        <v>9</v>
      </c>
      <c r="AC104">
        <f t="shared" si="42"/>
        <v>99</v>
      </c>
      <c r="AD104" s="49">
        <f t="shared" si="48"/>
        <v>2983</v>
      </c>
      <c r="AE104" s="78">
        <f t="shared" si="43"/>
        <v>0</v>
      </c>
      <c r="AF104" s="78">
        <f t="shared" ca="1" si="49"/>
        <v>0</v>
      </c>
      <c r="AG104" s="78">
        <f ca="1">IFERROR(IF(AC104=0,0, PPMT(Refi_I_Adj,'Loan Amort Table'!AC104,Refi_Amort_Periods,Refi_Orig_Loan_Amount)),0)</f>
        <v>0</v>
      </c>
      <c r="AH104" s="78">
        <f t="shared" ca="1" si="34"/>
        <v>0</v>
      </c>
      <c r="AI104" s="78">
        <f t="shared" ca="1" si="50"/>
        <v>0</v>
      </c>
    </row>
    <row r="105" spans="1:35" x14ac:dyDescent="0.25">
      <c r="A105">
        <f t="shared" si="30"/>
        <v>9</v>
      </c>
      <c r="B105">
        <f t="shared" si="35"/>
        <v>100</v>
      </c>
      <c r="C105" s="49">
        <f t="shared" si="29"/>
        <v>3014</v>
      </c>
      <c r="D105" s="78">
        <f>IF(C105&gt;EDATE(DATE(YEAR(SED_Origination_Date)+ SED_Amort, MONTH(SED_Origination_Date), DAY(SED_Origination_Date)),SED_Interest_Only),0,H104)</f>
        <v>0</v>
      </c>
      <c r="E105" s="78">
        <f t="shared" si="36"/>
        <v>0</v>
      </c>
      <c r="F105" s="78">
        <f>IFERROR(IF(OR(B105=0, C105&gt;=Refi_Origination_Date),0, PPMT(SED_I_Adj,'Loan Amort Table'!B105,SED_Amort_Periods,SED_Orig_Loan_Amount)),0)</f>
        <v>0</v>
      </c>
      <c r="G105" s="78" cm="1">
        <f t="array" ref="G105">IFERROR(_xlfn.IFS(C105&gt;=Refi_Origination_Date, 0, SED_Amort = 0, -D105 * SED_I_Adj, 1, IPMT(SED_I_Adj,IF(B105 = 0, 1, B105),SED_Amort_Periods,SED_Orig_Loan_Amount)),0)</f>
        <v>0</v>
      </c>
      <c r="H105" s="78">
        <f t="shared" si="51"/>
        <v>0</v>
      </c>
      <c r="J105">
        <f t="shared" si="31"/>
        <v>9</v>
      </c>
      <c r="K105">
        <f t="shared" si="37"/>
        <v>100</v>
      </c>
      <c r="L105" s="49">
        <f t="shared" si="44"/>
        <v>3014</v>
      </c>
      <c r="M105" s="78">
        <f>IF(L105&gt;EDATE(DATE(YEAR(NEW_Origination_Date)+ NEW_Amort, MONTH(NEW_Origination_Date), DAY(NEW_Origination_Date)),NEW_Interest_Only),0,Q104)</f>
        <v>0</v>
      </c>
      <c r="N105" s="78">
        <f t="shared" si="38"/>
        <v>0</v>
      </c>
      <c r="O105" s="78">
        <f>IFERROR(IF(K105=0,0, PPMT(NEW_I_Adj,'Loan Amort Table'!K105,NEW_Amort_Periods,NEW_Orig_Loan_Amount)),0)</f>
        <v>0</v>
      </c>
      <c r="P105" s="78">
        <f>IFERROR(IF(NEW_Amort = 0, -M105* NEW_I_Adj,IPMT(NEW_I_Adj,IF(K105 = 0, 1, K105),NEW_Amort_Periods,NEW_Orig_Loan_Amount)),0)</f>
        <v>0</v>
      </c>
      <c r="Q105" s="78">
        <f t="shared" si="39"/>
        <v>0</v>
      </c>
      <c r="S105">
        <f t="shared" si="32"/>
        <v>9</v>
      </c>
      <c r="T105">
        <f t="shared" si="40"/>
        <v>100</v>
      </c>
      <c r="U105" s="49">
        <f t="shared" si="45"/>
        <v>3014</v>
      </c>
      <c r="V105" s="78">
        <f t="shared" si="41"/>
        <v>0</v>
      </c>
      <c r="W105" s="78">
        <f t="shared" ca="1" si="46"/>
        <v>0</v>
      </c>
      <c r="X105" s="78">
        <f>IFERROR(IF(OR(T105=0, U105&gt;=Refi_Origination_Date),0, PPMT(Mezz_I_Adj,'Loan Amort Table'!T105,Mezz_Amort_Periods,Mezz_Orig_Loan_Amount)),0)</f>
        <v>0</v>
      </c>
      <c r="Y105" s="78" cm="1">
        <f t="array" aca="1" ref="Y105" ca="1">IFERROR(_xlfn.IFS(U105&gt;=Refi_Origination_Date,0, Mezz_Amort = 0, -V105 * Mezz_I_Adj, 1, IPMT(Mezz_I_Adj,IF(T105 = 0, 1, T105),Mezz_Amort_Periods,Mezz_Orig_Loan_Amount)),0)</f>
        <v>0</v>
      </c>
      <c r="Z105" s="78">
        <f t="shared" si="47"/>
        <v>0</v>
      </c>
      <c r="AB105">
        <f t="shared" si="33"/>
        <v>9</v>
      </c>
      <c r="AC105">
        <f t="shared" si="42"/>
        <v>100</v>
      </c>
      <c r="AD105" s="49">
        <f t="shared" si="48"/>
        <v>3014</v>
      </c>
      <c r="AE105" s="78">
        <f t="shared" si="43"/>
        <v>0</v>
      </c>
      <c r="AF105" s="78">
        <f t="shared" ca="1" si="49"/>
        <v>0</v>
      </c>
      <c r="AG105" s="78">
        <f ca="1">IFERROR(IF(AC105=0,0, PPMT(Refi_I_Adj,'Loan Amort Table'!AC105,Refi_Amort_Periods,Refi_Orig_Loan_Amount)),0)</f>
        <v>0</v>
      </c>
      <c r="AH105" s="78">
        <f t="shared" ca="1" si="34"/>
        <v>0</v>
      </c>
      <c r="AI105" s="78">
        <f t="shared" ca="1" si="50"/>
        <v>0</v>
      </c>
    </row>
    <row r="106" spans="1:35" x14ac:dyDescent="0.25">
      <c r="A106">
        <f t="shared" si="30"/>
        <v>9</v>
      </c>
      <c r="B106">
        <f t="shared" si="35"/>
        <v>101</v>
      </c>
      <c r="C106" s="49">
        <f t="shared" si="29"/>
        <v>3044</v>
      </c>
      <c r="D106" s="78">
        <f>IF(C106&gt;EDATE(DATE(YEAR(SED_Origination_Date)+ SED_Amort, MONTH(SED_Origination_Date), DAY(SED_Origination_Date)),SED_Interest_Only),0,H105)</f>
        <v>0</v>
      </c>
      <c r="E106" s="78">
        <f t="shared" si="36"/>
        <v>0</v>
      </c>
      <c r="F106" s="78">
        <f>IFERROR(IF(OR(B106=0, C106&gt;=Refi_Origination_Date),0, PPMT(SED_I_Adj,'Loan Amort Table'!B106,SED_Amort_Periods,SED_Orig_Loan_Amount)),0)</f>
        <v>0</v>
      </c>
      <c r="G106" s="78" cm="1">
        <f t="array" ref="G106">IFERROR(_xlfn.IFS(C106&gt;=Refi_Origination_Date, 0, SED_Amort = 0, -D106 * SED_I_Adj, 1, IPMT(SED_I_Adj,IF(B106 = 0, 1, B106),SED_Amort_Periods,SED_Orig_Loan_Amount)),0)</f>
        <v>0</v>
      </c>
      <c r="H106" s="78">
        <f t="shared" si="51"/>
        <v>0</v>
      </c>
      <c r="J106">
        <f t="shared" si="31"/>
        <v>9</v>
      </c>
      <c r="K106">
        <f t="shared" si="37"/>
        <v>101</v>
      </c>
      <c r="L106" s="49">
        <f t="shared" si="44"/>
        <v>3044</v>
      </c>
      <c r="M106" s="78">
        <f>IF(L106&gt;EDATE(DATE(YEAR(NEW_Origination_Date)+ NEW_Amort, MONTH(NEW_Origination_Date), DAY(NEW_Origination_Date)),NEW_Interest_Only),0,Q105)</f>
        <v>0</v>
      </c>
      <c r="N106" s="78">
        <f t="shared" si="38"/>
        <v>0</v>
      </c>
      <c r="O106" s="78">
        <f>IFERROR(IF(K106=0,0, PPMT(NEW_I_Adj,'Loan Amort Table'!K106,NEW_Amort_Periods,NEW_Orig_Loan_Amount)),0)</f>
        <v>0</v>
      </c>
      <c r="P106" s="78">
        <f>IFERROR(IF(NEW_Amort = 0, -M106* NEW_I_Adj,IPMT(NEW_I_Adj,IF(K106 = 0, 1, K106),NEW_Amort_Periods,NEW_Orig_Loan_Amount)),0)</f>
        <v>0</v>
      </c>
      <c r="Q106" s="78">
        <f t="shared" si="39"/>
        <v>0</v>
      </c>
      <c r="S106">
        <f t="shared" si="32"/>
        <v>9</v>
      </c>
      <c r="T106">
        <f t="shared" si="40"/>
        <v>101</v>
      </c>
      <c r="U106" s="49">
        <f t="shared" si="45"/>
        <v>3044</v>
      </c>
      <c r="V106" s="78">
        <f t="shared" si="41"/>
        <v>0</v>
      </c>
      <c r="W106" s="78">
        <f t="shared" ca="1" si="46"/>
        <v>0</v>
      </c>
      <c r="X106" s="78">
        <f>IFERROR(IF(OR(T106=0, U106&gt;=Refi_Origination_Date),0, PPMT(Mezz_I_Adj,'Loan Amort Table'!T106,Mezz_Amort_Periods,Mezz_Orig_Loan_Amount)),0)</f>
        <v>0</v>
      </c>
      <c r="Y106" s="78" cm="1">
        <f t="array" aca="1" ref="Y106" ca="1">IFERROR(_xlfn.IFS(U106&gt;=Refi_Origination_Date,0, Mezz_Amort = 0, -V106 * Mezz_I_Adj, 1, IPMT(Mezz_I_Adj,IF(T106 = 0, 1, T106),Mezz_Amort_Periods,Mezz_Orig_Loan_Amount)),0)</f>
        <v>0</v>
      </c>
      <c r="Z106" s="78">
        <f t="shared" si="47"/>
        <v>0</v>
      </c>
      <c r="AB106">
        <f t="shared" si="33"/>
        <v>9</v>
      </c>
      <c r="AC106">
        <f t="shared" si="42"/>
        <v>101</v>
      </c>
      <c r="AD106" s="49">
        <f t="shared" si="48"/>
        <v>3044</v>
      </c>
      <c r="AE106" s="78">
        <f t="shared" si="43"/>
        <v>0</v>
      </c>
      <c r="AF106" s="78">
        <f t="shared" ca="1" si="49"/>
        <v>0</v>
      </c>
      <c r="AG106" s="78">
        <f ca="1">IFERROR(IF(AC106=0,0, PPMT(Refi_I_Adj,'Loan Amort Table'!AC106,Refi_Amort_Periods,Refi_Orig_Loan_Amount)),0)</f>
        <v>0</v>
      </c>
      <c r="AH106" s="78">
        <f t="shared" ca="1" si="34"/>
        <v>0</v>
      </c>
      <c r="AI106" s="78">
        <f t="shared" ca="1" si="50"/>
        <v>0</v>
      </c>
    </row>
    <row r="107" spans="1:35" x14ac:dyDescent="0.25">
      <c r="A107">
        <f t="shared" si="30"/>
        <v>9</v>
      </c>
      <c r="B107">
        <f t="shared" si="35"/>
        <v>102</v>
      </c>
      <c r="C107" s="49">
        <f t="shared" si="29"/>
        <v>3075</v>
      </c>
      <c r="D107" s="78">
        <f>IF(C107&gt;EDATE(DATE(YEAR(SED_Origination_Date)+ SED_Amort, MONTH(SED_Origination_Date), DAY(SED_Origination_Date)),SED_Interest_Only),0,H106)</f>
        <v>0</v>
      </c>
      <c r="E107" s="78">
        <f t="shared" si="36"/>
        <v>0</v>
      </c>
      <c r="F107" s="78">
        <f>IFERROR(IF(OR(B107=0, C107&gt;=Refi_Origination_Date),0, PPMT(SED_I_Adj,'Loan Amort Table'!B107,SED_Amort_Periods,SED_Orig_Loan_Amount)),0)</f>
        <v>0</v>
      </c>
      <c r="G107" s="78" cm="1">
        <f t="array" ref="G107">IFERROR(_xlfn.IFS(C107&gt;=Refi_Origination_Date, 0, SED_Amort = 0, -D107 * SED_I_Adj, 1, IPMT(SED_I_Adj,IF(B107 = 0, 1, B107),SED_Amort_Periods,SED_Orig_Loan_Amount)),0)</f>
        <v>0</v>
      </c>
      <c r="H107" s="78">
        <f t="shared" si="51"/>
        <v>0</v>
      </c>
      <c r="J107">
        <f t="shared" si="31"/>
        <v>9</v>
      </c>
      <c r="K107">
        <f t="shared" si="37"/>
        <v>102</v>
      </c>
      <c r="L107" s="49">
        <f t="shared" si="44"/>
        <v>3075</v>
      </c>
      <c r="M107" s="78">
        <f>IF(L107&gt;EDATE(DATE(YEAR(NEW_Origination_Date)+ NEW_Amort, MONTH(NEW_Origination_Date), DAY(NEW_Origination_Date)),NEW_Interest_Only),0,Q106)</f>
        <v>0</v>
      </c>
      <c r="N107" s="78">
        <f t="shared" si="38"/>
        <v>0</v>
      </c>
      <c r="O107" s="78">
        <f>IFERROR(IF(K107=0,0, PPMT(NEW_I_Adj,'Loan Amort Table'!K107,NEW_Amort_Periods,NEW_Orig_Loan_Amount)),0)</f>
        <v>0</v>
      </c>
      <c r="P107" s="78">
        <f>IFERROR(IF(NEW_Amort = 0, -M107* NEW_I_Adj,IPMT(NEW_I_Adj,IF(K107 = 0, 1, K107),NEW_Amort_Periods,NEW_Orig_Loan_Amount)),0)</f>
        <v>0</v>
      </c>
      <c r="Q107" s="78">
        <f t="shared" si="39"/>
        <v>0</v>
      </c>
      <c r="S107">
        <f t="shared" si="32"/>
        <v>9</v>
      </c>
      <c r="T107">
        <f t="shared" si="40"/>
        <v>102</v>
      </c>
      <c r="U107" s="49">
        <f t="shared" si="45"/>
        <v>3075</v>
      </c>
      <c r="V107" s="78">
        <f t="shared" si="41"/>
        <v>0</v>
      </c>
      <c r="W107" s="78">
        <f t="shared" ca="1" si="46"/>
        <v>0</v>
      </c>
      <c r="X107" s="78">
        <f>IFERROR(IF(OR(T107=0, U107&gt;=Refi_Origination_Date),0, PPMT(Mezz_I_Adj,'Loan Amort Table'!T107,Mezz_Amort_Periods,Mezz_Orig_Loan_Amount)),0)</f>
        <v>0</v>
      </c>
      <c r="Y107" s="78" cm="1">
        <f t="array" aca="1" ref="Y107" ca="1">IFERROR(_xlfn.IFS(U107&gt;=Refi_Origination_Date,0, Mezz_Amort = 0, -V107 * Mezz_I_Adj, 1, IPMT(Mezz_I_Adj,IF(T107 = 0, 1, T107),Mezz_Amort_Periods,Mezz_Orig_Loan_Amount)),0)</f>
        <v>0</v>
      </c>
      <c r="Z107" s="78">
        <f t="shared" si="47"/>
        <v>0</v>
      </c>
      <c r="AB107">
        <f t="shared" si="33"/>
        <v>9</v>
      </c>
      <c r="AC107">
        <f t="shared" si="42"/>
        <v>102</v>
      </c>
      <c r="AD107" s="49">
        <f t="shared" si="48"/>
        <v>3075</v>
      </c>
      <c r="AE107" s="78">
        <f t="shared" si="43"/>
        <v>0</v>
      </c>
      <c r="AF107" s="78">
        <f t="shared" ca="1" si="49"/>
        <v>0</v>
      </c>
      <c r="AG107" s="78">
        <f ca="1">IFERROR(IF(AC107=0,0, PPMT(Refi_I_Adj,'Loan Amort Table'!AC107,Refi_Amort_Periods,Refi_Orig_Loan_Amount)),0)</f>
        <v>0</v>
      </c>
      <c r="AH107" s="78">
        <f t="shared" ca="1" si="34"/>
        <v>0</v>
      </c>
      <c r="AI107" s="78">
        <f t="shared" ca="1" si="50"/>
        <v>0</v>
      </c>
    </row>
    <row r="108" spans="1:35" x14ac:dyDescent="0.25">
      <c r="A108">
        <f t="shared" si="30"/>
        <v>9</v>
      </c>
      <c r="B108">
        <f t="shared" si="35"/>
        <v>103</v>
      </c>
      <c r="C108" s="49">
        <f t="shared" si="29"/>
        <v>3105</v>
      </c>
      <c r="D108" s="78">
        <f>IF(C108&gt;EDATE(DATE(YEAR(SED_Origination_Date)+ SED_Amort, MONTH(SED_Origination_Date), DAY(SED_Origination_Date)),SED_Interest_Only),0,H107)</f>
        <v>0</v>
      </c>
      <c r="E108" s="78">
        <f t="shared" si="36"/>
        <v>0</v>
      </c>
      <c r="F108" s="78">
        <f>IFERROR(IF(OR(B108=0, C108&gt;=Refi_Origination_Date),0, PPMT(SED_I_Adj,'Loan Amort Table'!B108,SED_Amort_Periods,SED_Orig_Loan_Amount)),0)</f>
        <v>0</v>
      </c>
      <c r="G108" s="78" cm="1">
        <f t="array" ref="G108">IFERROR(_xlfn.IFS(C108&gt;=Refi_Origination_Date, 0, SED_Amort = 0, -D108 * SED_I_Adj, 1, IPMT(SED_I_Adj,IF(B108 = 0, 1, B108),SED_Amort_Periods,SED_Orig_Loan_Amount)),0)</f>
        <v>0</v>
      </c>
      <c r="H108" s="78">
        <f t="shared" si="51"/>
        <v>0</v>
      </c>
      <c r="J108">
        <f t="shared" si="31"/>
        <v>9</v>
      </c>
      <c r="K108">
        <f t="shared" si="37"/>
        <v>103</v>
      </c>
      <c r="L108" s="49">
        <f t="shared" si="44"/>
        <v>3105</v>
      </c>
      <c r="M108" s="78">
        <f>IF(L108&gt;EDATE(DATE(YEAR(NEW_Origination_Date)+ NEW_Amort, MONTH(NEW_Origination_Date), DAY(NEW_Origination_Date)),NEW_Interest_Only),0,Q107)</f>
        <v>0</v>
      </c>
      <c r="N108" s="78">
        <f t="shared" si="38"/>
        <v>0</v>
      </c>
      <c r="O108" s="78">
        <f>IFERROR(IF(K108=0,0, PPMT(NEW_I_Adj,'Loan Amort Table'!K108,NEW_Amort_Periods,NEW_Orig_Loan_Amount)),0)</f>
        <v>0</v>
      </c>
      <c r="P108" s="78">
        <f>IFERROR(IF(NEW_Amort = 0, -M108* NEW_I_Adj,IPMT(NEW_I_Adj,IF(K108 = 0, 1, K108),NEW_Amort_Periods,NEW_Orig_Loan_Amount)),0)</f>
        <v>0</v>
      </c>
      <c r="Q108" s="78">
        <f t="shared" si="39"/>
        <v>0</v>
      </c>
      <c r="S108">
        <f t="shared" si="32"/>
        <v>9</v>
      </c>
      <c r="T108">
        <f t="shared" si="40"/>
        <v>103</v>
      </c>
      <c r="U108" s="49">
        <f t="shared" si="45"/>
        <v>3105</v>
      </c>
      <c r="V108" s="78">
        <f t="shared" si="41"/>
        <v>0</v>
      </c>
      <c r="W108" s="78">
        <f t="shared" ca="1" si="46"/>
        <v>0</v>
      </c>
      <c r="X108" s="78">
        <f>IFERROR(IF(OR(T108=0, U108&gt;=Refi_Origination_Date),0, PPMT(Mezz_I_Adj,'Loan Amort Table'!T108,Mezz_Amort_Periods,Mezz_Orig_Loan_Amount)),0)</f>
        <v>0</v>
      </c>
      <c r="Y108" s="78" cm="1">
        <f t="array" aca="1" ref="Y108" ca="1">IFERROR(_xlfn.IFS(U108&gt;=Refi_Origination_Date,0, Mezz_Amort = 0, -V108 * Mezz_I_Adj, 1, IPMT(Mezz_I_Adj,IF(T108 = 0, 1, T108),Mezz_Amort_Periods,Mezz_Orig_Loan_Amount)),0)</f>
        <v>0</v>
      </c>
      <c r="Z108" s="78">
        <f t="shared" si="47"/>
        <v>0</v>
      </c>
      <c r="AB108">
        <f t="shared" si="33"/>
        <v>9</v>
      </c>
      <c r="AC108">
        <f t="shared" si="42"/>
        <v>103</v>
      </c>
      <c r="AD108" s="49">
        <f t="shared" si="48"/>
        <v>3105</v>
      </c>
      <c r="AE108" s="78">
        <f t="shared" si="43"/>
        <v>0</v>
      </c>
      <c r="AF108" s="78">
        <f t="shared" ca="1" si="49"/>
        <v>0</v>
      </c>
      <c r="AG108" s="78">
        <f ca="1">IFERROR(IF(AC108=0,0, PPMT(Refi_I_Adj,'Loan Amort Table'!AC108,Refi_Amort_Periods,Refi_Orig_Loan_Amount)),0)</f>
        <v>0</v>
      </c>
      <c r="AH108" s="78">
        <f t="shared" ca="1" si="34"/>
        <v>0</v>
      </c>
      <c r="AI108" s="78">
        <f t="shared" ca="1" si="50"/>
        <v>0</v>
      </c>
    </row>
    <row r="109" spans="1:35" x14ac:dyDescent="0.25">
      <c r="A109">
        <f t="shared" si="30"/>
        <v>9</v>
      </c>
      <c r="B109">
        <f t="shared" si="35"/>
        <v>104</v>
      </c>
      <c r="C109" s="49">
        <f t="shared" si="29"/>
        <v>3136</v>
      </c>
      <c r="D109" s="78">
        <f>IF(C109&gt;EDATE(DATE(YEAR(SED_Origination_Date)+ SED_Amort, MONTH(SED_Origination_Date), DAY(SED_Origination_Date)),SED_Interest_Only),0,H108)</f>
        <v>0</v>
      </c>
      <c r="E109" s="78">
        <f t="shared" si="36"/>
        <v>0</v>
      </c>
      <c r="F109" s="78">
        <f>IFERROR(IF(OR(B109=0, C109&gt;=Refi_Origination_Date),0, PPMT(SED_I_Adj,'Loan Amort Table'!B109,SED_Amort_Periods,SED_Orig_Loan_Amount)),0)</f>
        <v>0</v>
      </c>
      <c r="G109" s="78" cm="1">
        <f t="array" ref="G109">IFERROR(_xlfn.IFS(C109&gt;=Refi_Origination_Date, 0, SED_Amort = 0, -D109 * SED_I_Adj, 1, IPMT(SED_I_Adj,IF(B109 = 0, 1, B109),SED_Amort_Periods,SED_Orig_Loan_Amount)),0)</f>
        <v>0</v>
      </c>
      <c r="H109" s="78">
        <f t="shared" si="51"/>
        <v>0</v>
      </c>
      <c r="J109">
        <f t="shared" si="31"/>
        <v>9</v>
      </c>
      <c r="K109">
        <f t="shared" si="37"/>
        <v>104</v>
      </c>
      <c r="L109" s="49">
        <f t="shared" si="44"/>
        <v>3136</v>
      </c>
      <c r="M109" s="78">
        <f>IF(L109&gt;EDATE(DATE(YEAR(NEW_Origination_Date)+ NEW_Amort, MONTH(NEW_Origination_Date), DAY(NEW_Origination_Date)),NEW_Interest_Only),0,Q108)</f>
        <v>0</v>
      </c>
      <c r="N109" s="78">
        <f t="shared" si="38"/>
        <v>0</v>
      </c>
      <c r="O109" s="78">
        <f>IFERROR(IF(K109=0,0, PPMT(NEW_I_Adj,'Loan Amort Table'!K109,NEW_Amort_Periods,NEW_Orig_Loan_Amount)),0)</f>
        <v>0</v>
      </c>
      <c r="P109" s="78">
        <f>IFERROR(IF(NEW_Amort = 0, -M109* NEW_I_Adj,IPMT(NEW_I_Adj,IF(K109 = 0, 1, K109),NEW_Amort_Periods,NEW_Orig_Loan_Amount)),0)</f>
        <v>0</v>
      </c>
      <c r="Q109" s="78">
        <f t="shared" si="39"/>
        <v>0</v>
      </c>
      <c r="S109">
        <f t="shared" si="32"/>
        <v>9</v>
      </c>
      <c r="T109">
        <f t="shared" si="40"/>
        <v>104</v>
      </c>
      <c r="U109" s="49">
        <f t="shared" si="45"/>
        <v>3136</v>
      </c>
      <c r="V109" s="78">
        <f t="shared" si="41"/>
        <v>0</v>
      </c>
      <c r="W109" s="78">
        <f t="shared" ca="1" si="46"/>
        <v>0</v>
      </c>
      <c r="X109" s="78">
        <f>IFERROR(IF(OR(T109=0, U109&gt;=Refi_Origination_Date),0, PPMT(Mezz_I_Adj,'Loan Amort Table'!T109,Mezz_Amort_Periods,Mezz_Orig_Loan_Amount)),0)</f>
        <v>0</v>
      </c>
      <c r="Y109" s="78" cm="1">
        <f t="array" aca="1" ref="Y109" ca="1">IFERROR(_xlfn.IFS(U109&gt;=Refi_Origination_Date,0, Mezz_Amort = 0, -V109 * Mezz_I_Adj, 1, IPMT(Mezz_I_Adj,IF(T109 = 0, 1, T109),Mezz_Amort_Periods,Mezz_Orig_Loan_Amount)),0)</f>
        <v>0</v>
      </c>
      <c r="Z109" s="78">
        <f t="shared" si="47"/>
        <v>0</v>
      </c>
      <c r="AB109">
        <f t="shared" si="33"/>
        <v>9</v>
      </c>
      <c r="AC109">
        <f t="shared" si="42"/>
        <v>104</v>
      </c>
      <c r="AD109" s="49">
        <f t="shared" si="48"/>
        <v>3136</v>
      </c>
      <c r="AE109" s="78">
        <f t="shared" si="43"/>
        <v>0</v>
      </c>
      <c r="AF109" s="78">
        <f t="shared" ca="1" si="49"/>
        <v>0</v>
      </c>
      <c r="AG109" s="78">
        <f ca="1">IFERROR(IF(AC109=0,0, PPMT(Refi_I_Adj,'Loan Amort Table'!AC109,Refi_Amort_Periods,Refi_Orig_Loan_Amount)),0)</f>
        <v>0</v>
      </c>
      <c r="AH109" s="78">
        <f t="shared" ca="1" si="34"/>
        <v>0</v>
      </c>
      <c r="AI109" s="78">
        <f t="shared" ca="1" si="50"/>
        <v>0</v>
      </c>
    </row>
    <row r="110" spans="1:35" x14ac:dyDescent="0.25">
      <c r="A110">
        <f t="shared" si="30"/>
        <v>9</v>
      </c>
      <c r="B110">
        <f t="shared" si="35"/>
        <v>105</v>
      </c>
      <c r="C110" s="49">
        <f t="shared" si="29"/>
        <v>3167</v>
      </c>
      <c r="D110" s="78">
        <f>IF(C110&gt;EDATE(DATE(YEAR(SED_Origination_Date)+ SED_Amort, MONTH(SED_Origination_Date), DAY(SED_Origination_Date)),SED_Interest_Only),0,H109)</f>
        <v>0</v>
      </c>
      <c r="E110" s="78">
        <f t="shared" si="36"/>
        <v>0</v>
      </c>
      <c r="F110" s="78">
        <f>IFERROR(IF(OR(B110=0, C110&gt;=Refi_Origination_Date),0, PPMT(SED_I_Adj,'Loan Amort Table'!B110,SED_Amort_Periods,SED_Orig_Loan_Amount)),0)</f>
        <v>0</v>
      </c>
      <c r="G110" s="78" cm="1">
        <f t="array" ref="G110">IFERROR(_xlfn.IFS(C110&gt;=Refi_Origination_Date, 0, SED_Amort = 0, -D110 * SED_I_Adj, 1, IPMT(SED_I_Adj,IF(B110 = 0, 1, B110),SED_Amort_Periods,SED_Orig_Loan_Amount)),0)</f>
        <v>0</v>
      </c>
      <c r="H110" s="78">
        <f t="shared" si="51"/>
        <v>0</v>
      </c>
      <c r="J110">
        <f t="shared" si="31"/>
        <v>9</v>
      </c>
      <c r="K110">
        <f t="shared" si="37"/>
        <v>105</v>
      </c>
      <c r="L110" s="49">
        <f t="shared" si="44"/>
        <v>3167</v>
      </c>
      <c r="M110" s="78">
        <f>IF(L110&gt;EDATE(DATE(YEAR(NEW_Origination_Date)+ NEW_Amort, MONTH(NEW_Origination_Date), DAY(NEW_Origination_Date)),NEW_Interest_Only),0,Q109)</f>
        <v>0</v>
      </c>
      <c r="N110" s="78">
        <f t="shared" si="38"/>
        <v>0</v>
      </c>
      <c r="O110" s="78">
        <f>IFERROR(IF(K110=0,0, PPMT(NEW_I_Adj,'Loan Amort Table'!K110,NEW_Amort_Periods,NEW_Orig_Loan_Amount)),0)</f>
        <v>0</v>
      </c>
      <c r="P110" s="78">
        <f>IFERROR(IF(NEW_Amort = 0, -M110* NEW_I_Adj,IPMT(NEW_I_Adj,IF(K110 = 0, 1, K110),NEW_Amort_Periods,NEW_Orig_Loan_Amount)),0)</f>
        <v>0</v>
      </c>
      <c r="Q110" s="78">
        <f t="shared" si="39"/>
        <v>0</v>
      </c>
      <c r="S110">
        <f t="shared" si="32"/>
        <v>9</v>
      </c>
      <c r="T110">
        <f t="shared" si="40"/>
        <v>105</v>
      </c>
      <c r="U110" s="49">
        <f t="shared" si="45"/>
        <v>3167</v>
      </c>
      <c r="V110" s="78">
        <f t="shared" si="41"/>
        <v>0</v>
      </c>
      <c r="W110" s="78">
        <f t="shared" ca="1" si="46"/>
        <v>0</v>
      </c>
      <c r="X110" s="78">
        <f>IFERROR(IF(OR(T110=0, U110&gt;=Refi_Origination_Date),0, PPMT(Mezz_I_Adj,'Loan Amort Table'!T110,Mezz_Amort_Periods,Mezz_Orig_Loan_Amount)),0)</f>
        <v>0</v>
      </c>
      <c r="Y110" s="78" cm="1">
        <f t="array" aca="1" ref="Y110" ca="1">IFERROR(_xlfn.IFS(U110&gt;=Refi_Origination_Date,0, Mezz_Amort = 0, -V110 * Mezz_I_Adj, 1, IPMT(Mezz_I_Adj,IF(T110 = 0, 1, T110),Mezz_Amort_Periods,Mezz_Orig_Loan_Amount)),0)</f>
        <v>0</v>
      </c>
      <c r="Z110" s="78">
        <f t="shared" si="47"/>
        <v>0</v>
      </c>
      <c r="AB110">
        <f t="shared" si="33"/>
        <v>9</v>
      </c>
      <c r="AC110">
        <f t="shared" si="42"/>
        <v>105</v>
      </c>
      <c r="AD110" s="49">
        <f t="shared" si="48"/>
        <v>3167</v>
      </c>
      <c r="AE110" s="78">
        <f t="shared" si="43"/>
        <v>0</v>
      </c>
      <c r="AF110" s="78">
        <f t="shared" ca="1" si="49"/>
        <v>0</v>
      </c>
      <c r="AG110" s="78">
        <f ca="1">IFERROR(IF(AC110=0,0, PPMT(Refi_I_Adj,'Loan Amort Table'!AC110,Refi_Amort_Periods,Refi_Orig_Loan_Amount)),0)</f>
        <v>0</v>
      </c>
      <c r="AH110" s="78">
        <f t="shared" ca="1" si="34"/>
        <v>0</v>
      </c>
      <c r="AI110" s="78">
        <f t="shared" ca="1" si="50"/>
        <v>0</v>
      </c>
    </row>
    <row r="111" spans="1:35" x14ac:dyDescent="0.25">
      <c r="A111">
        <f t="shared" si="30"/>
        <v>9</v>
      </c>
      <c r="B111">
        <f t="shared" si="35"/>
        <v>106</v>
      </c>
      <c r="C111" s="49">
        <f t="shared" si="29"/>
        <v>3197</v>
      </c>
      <c r="D111" s="78">
        <f>IF(C111&gt;EDATE(DATE(YEAR(SED_Origination_Date)+ SED_Amort, MONTH(SED_Origination_Date), DAY(SED_Origination_Date)),SED_Interest_Only),0,H110)</f>
        <v>0</v>
      </c>
      <c r="E111" s="78">
        <f t="shared" si="36"/>
        <v>0</v>
      </c>
      <c r="F111" s="78">
        <f>IFERROR(IF(OR(B111=0, C111&gt;=Refi_Origination_Date),0, PPMT(SED_I_Adj,'Loan Amort Table'!B111,SED_Amort_Periods,SED_Orig_Loan_Amount)),0)</f>
        <v>0</v>
      </c>
      <c r="G111" s="78" cm="1">
        <f t="array" ref="G111">IFERROR(_xlfn.IFS(C111&gt;=Refi_Origination_Date, 0, SED_Amort = 0, -D111 * SED_I_Adj, 1, IPMT(SED_I_Adj,IF(B111 = 0, 1, B111),SED_Amort_Periods,SED_Orig_Loan_Amount)),0)</f>
        <v>0</v>
      </c>
      <c r="H111" s="78">
        <f t="shared" si="51"/>
        <v>0</v>
      </c>
      <c r="J111">
        <f t="shared" si="31"/>
        <v>9</v>
      </c>
      <c r="K111">
        <f t="shared" si="37"/>
        <v>106</v>
      </c>
      <c r="L111" s="49">
        <f t="shared" si="44"/>
        <v>3197</v>
      </c>
      <c r="M111" s="78">
        <f>IF(L111&gt;EDATE(DATE(YEAR(NEW_Origination_Date)+ NEW_Amort, MONTH(NEW_Origination_Date), DAY(NEW_Origination_Date)),NEW_Interest_Only),0,Q110)</f>
        <v>0</v>
      </c>
      <c r="N111" s="78">
        <f t="shared" si="38"/>
        <v>0</v>
      </c>
      <c r="O111" s="78">
        <f>IFERROR(IF(K111=0,0, PPMT(NEW_I_Adj,'Loan Amort Table'!K111,NEW_Amort_Periods,NEW_Orig_Loan_Amount)),0)</f>
        <v>0</v>
      </c>
      <c r="P111" s="78">
        <f>IFERROR(IF(NEW_Amort = 0, -M111* NEW_I_Adj,IPMT(NEW_I_Adj,IF(K111 = 0, 1, K111),NEW_Amort_Periods,NEW_Orig_Loan_Amount)),0)</f>
        <v>0</v>
      </c>
      <c r="Q111" s="78">
        <f t="shared" si="39"/>
        <v>0</v>
      </c>
      <c r="S111">
        <f t="shared" si="32"/>
        <v>9</v>
      </c>
      <c r="T111">
        <f t="shared" si="40"/>
        <v>106</v>
      </c>
      <c r="U111" s="49">
        <f t="shared" si="45"/>
        <v>3197</v>
      </c>
      <c r="V111" s="78">
        <f t="shared" si="41"/>
        <v>0</v>
      </c>
      <c r="W111" s="78">
        <f t="shared" ca="1" si="46"/>
        <v>0</v>
      </c>
      <c r="X111" s="78">
        <f>IFERROR(IF(OR(T111=0, U111&gt;=Refi_Origination_Date),0, PPMT(Mezz_I_Adj,'Loan Amort Table'!T111,Mezz_Amort_Periods,Mezz_Orig_Loan_Amount)),0)</f>
        <v>0</v>
      </c>
      <c r="Y111" s="78" cm="1">
        <f t="array" aca="1" ref="Y111" ca="1">IFERROR(_xlfn.IFS(U111&gt;=Refi_Origination_Date,0, Mezz_Amort = 0, -V111 * Mezz_I_Adj, 1, IPMT(Mezz_I_Adj,IF(T111 = 0, 1, T111),Mezz_Amort_Periods,Mezz_Orig_Loan_Amount)),0)</f>
        <v>0</v>
      </c>
      <c r="Z111" s="78">
        <f t="shared" si="47"/>
        <v>0</v>
      </c>
      <c r="AB111">
        <f t="shared" si="33"/>
        <v>9</v>
      </c>
      <c r="AC111">
        <f t="shared" si="42"/>
        <v>106</v>
      </c>
      <c r="AD111" s="49">
        <f t="shared" si="48"/>
        <v>3197</v>
      </c>
      <c r="AE111" s="78">
        <f t="shared" si="43"/>
        <v>0</v>
      </c>
      <c r="AF111" s="78">
        <f t="shared" ca="1" si="49"/>
        <v>0</v>
      </c>
      <c r="AG111" s="78">
        <f ca="1">IFERROR(IF(AC111=0,0, PPMT(Refi_I_Adj,'Loan Amort Table'!AC111,Refi_Amort_Periods,Refi_Orig_Loan_Amount)),0)</f>
        <v>0</v>
      </c>
      <c r="AH111" s="78">
        <f t="shared" ca="1" si="34"/>
        <v>0</v>
      </c>
      <c r="AI111" s="78">
        <f t="shared" ca="1" si="50"/>
        <v>0</v>
      </c>
    </row>
    <row r="112" spans="1:35" x14ac:dyDescent="0.25">
      <c r="A112">
        <f t="shared" si="30"/>
        <v>9</v>
      </c>
      <c r="B112">
        <f t="shared" si="35"/>
        <v>107</v>
      </c>
      <c r="C112" s="49">
        <f t="shared" si="29"/>
        <v>3228</v>
      </c>
      <c r="D112" s="78">
        <f>IF(C112&gt;EDATE(DATE(YEAR(SED_Origination_Date)+ SED_Amort, MONTH(SED_Origination_Date), DAY(SED_Origination_Date)),SED_Interest_Only),0,H111)</f>
        <v>0</v>
      </c>
      <c r="E112" s="78">
        <f t="shared" si="36"/>
        <v>0</v>
      </c>
      <c r="F112" s="78">
        <f>IFERROR(IF(OR(B112=0, C112&gt;=Refi_Origination_Date),0, PPMT(SED_I_Adj,'Loan Amort Table'!B112,SED_Amort_Periods,SED_Orig_Loan_Amount)),0)</f>
        <v>0</v>
      </c>
      <c r="G112" s="78" cm="1">
        <f t="array" ref="G112">IFERROR(_xlfn.IFS(C112&gt;=Refi_Origination_Date, 0, SED_Amort = 0, -D112 * SED_I_Adj, 1, IPMT(SED_I_Adj,IF(B112 = 0, 1, B112),SED_Amort_Periods,SED_Orig_Loan_Amount)),0)</f>
        <v>0</v>
      </c>
      <c r="H112" s="78">
        <f t="shared" si="51"/>
        <v>0</v>
      </c>
      <c r="J112">
        <f t="shared" si="31"/>
        <v>9</v>
      </c>
      <c r="K112">
        <f t="shared" si="37"/>
        <v>107</v>
      </c>
      <c r="L112" s="49">
        <f t="shared" si="44"/>
        <v>3228</v>
      </c>
      <c r="M112" s="78">
        <f>IF(L112&gt;EDATE(DATE(YEAR(NEW_Origination_Date)+ NEW_Amort, MONTH(NEW_Origination_Date), DAY(NEW_Origination_Date)),NEW_Interest_Only),0,Q111)</f>
        <v>0</v>
      </c>
      <c r="N112" s="78">
        <f t="shared" si="38"/>
        <v>0</v>
      </c>
      <c r="O112" s="78">
        <f>IFERROR(IF(K112=0,0, PPMT(NEW_I_Adj,'Loan Amort Table'!K112,NEW_Amort_Periods,NEW_Orig_Loan_Amount)),0)</f>
        <v>0</v>
      </c>
      <c r="P112" s="78">
        <f>IFERROR(IF(NEW_Amort = 0, -M112* NEW_I_Adj,IPMT(NEW_I_Adj,IF(K112 = 0, 1, K112),NEW_Amort_Periods,NEW_Orig_Loan_Amount)),0)</f>
        <v>0</v>
      </c>
      <c r="Q112" s="78">
        <f t="shared" si="39"/>
        <v>0</v>
      </c>
      <c r="S112">
        <f t="shared" si="32"/>
        <v>9</v>
      </c>
      <c r="T112">
        <f t="shared" si="40"/>
        <v>107</v>
      </c>
      <c r="U112" s="49">
        <f t="shared" si="45"/>
        <v>3228</v>
      </c>
      <c r="V112" s="78">
        <f t="shared" si="41"/>
        <v>0</v>
      </c>
      <c r="W112" s="78">
        <f t="shared" ca="1" si="46"/>
        <v>0</v>
      </c>
      <c r="X112" s="78">
        <f>IFERROR(IF(OR(T112=0, U112&gt;=Refi_Origination_Date),0, PPMT(Mezz_I_Adj,'Loan Amort Table'!T112,Mezz_Amort_Periods,Mezz_Orig_Loan_Amount)),0)</f>
        <v>0</v>
      </c>
      <c r="Y112" s="78" cm="1">
        <f t="array" aca="1" ref="Y112" ca="1">IFERROR(_xlfn.IFS(U112&gt;=Refi_Origination_Date,0, Mezz_Amort = 0, -V112 * Mezz_I_Adj, 1, IPMT(Mezz_I_Adj,IF(T112 = 0, 1, T112),Mezz_Amort_Periods,Mezz_Orig_Loan_Amount)),0)</f>
        <v>0</v>
      </c>
      <c r="Z112" s="78">
        <f t="shared" si="47"/>
        <v>0</v>
      </c>
      <c r="AB112">
        <f t="shared" si="33"/>
        <v>9</v>
      </c>
      <c r="AC112">
        <f t="shared" si="42"/>
        <v>107</v>
      </c>
      <c r="AD112" s="49">
        <f t="shared" si="48"/>
        <v>3228</v>
      </c>
      <c r="AE112" s="78">
        <f t="shared" si="43"/>
        <v>0</v>
      </c>
      <c r="AF112" s="78">
        <f t="shared" ca="1" si="49"/>
        <v>0</v>
      </c>
      <c r="AG112" s="78">
        <f ca="1">IFERROR(IF(AC112=0,0, PPMT(Refi_I_Adj,'Loan Amort Table'!AC112,Refi_Amort_Periods,Refi_Orig_Loan_Amount)),0)</f>
        <v>0</v>
      </c>
      <c r="AH112" s="78">
        <f t="shared" ca="1" si="34"/>
        <v>0</v>
      </c>
      <c r="AI112" s="78">
        <f t="shared" ca="1" si="50"/>
        <v>0</v>
      </c>
    </row>
    <row r="113" spans="1:35" x14ac:dyDescent="0.25">
      <c r="A113">
        <f t="shared" si="30"/>
        <v>9</v>
      </c>
      <c r="B113">
        <f t="shared" si="35"/>
        <v>108</v>
      </c>
      <c r="C113" s="49">
        <f t="shared" si="29"/>
        <v>3258</v>
      </c>
      <c r="D113" s="78">
        <f>IF(C113&gt;EDATE(DATE(YEAR(SED_Origination_Date)+ SED_Amort, MONTH(SED_Origination_Date), DAY(SED_Origination_Date)),SED_Interest_Only),0,H112)</f>
        <v>0</v>
      </c>
      <c r="E113" s="78">
        <f t="shared" si="36"/>
        <v>0</v>
      </c>
      <c r="F113" s="78">
        <f>IFERROR(IF(OR(B113=0, C113&gt;=Refi_Origination_Date),0, PPMT(SED_I_Adj,'Loan Amort Table'!B113,SED_Amort_Periods,SED_Orig_Loan_Amount)),0)</f>
        <v>0</v>
      </c>
      <c r="G113" s="78" cm="1">
        <f t="array" ref="G113">IFERROR(_xlfn.IFS(C113&gt;=Refi_Origination_Date, 0, SED_Amort = 0, -D113 * SED_I_Adj, 1, IPMT(SED_I_Adj,IF(B113 = 0, 1, B113),SED_Amort_Periods,SED_Orig_Loan_Amount)),0)</f>
        <v>0</v>
      </c>
      <c r="H113" s="78">
        <f t="shared" si="51"/>
        <v>0</v>
      </c>
      <c r="J113">
        <f t="shared" si="31"/>
        <v>9</v>
      </c>
      <c r="K113">
        <f t="shared" si="37"/>
        <v>108</v>
      </c>
      <c r="L113" s="49">
        <f t="shared" si="44"/>
        <v>3258</v>
      </c>
      <c r="M113" s="78">
        <f>IF(L113&gt;EDATE(DATE(YEAR(NEW_Origination_Date)+ NEW_Amort, MONTH(NEW_Origination_Date), DAY(NEW_Origination_Date)),NEW_Interest_Only),0,Q112)</f>
        <v>0</v>
      </c>
      <c r="N113" s="78">
        <f t="shared" si="38"/>
        <v>0</v>
      </c>
      <c r="O113" s="78">
        <f>IFERROR(IF(K113=0,0, PPMT(NEW_I_Adj,'Loan Amort Table'!K113,NEW_Amort_Periods,NEW_Orig_Loan_Amount)),0)</f>
        <v>0</v>
      </c>
      <c r="P113" s="78">
        <f>IFERROR(IF(NEW_Amort = 0, -M113* NEW_I_Adj,IPMT(NEW_I_Adj,IF(K113 = 0, 1, K113),NEW_Amort_Periods,NEW_Orig_Loan_Amount)),0)</f>
        <v>0</v>
      </c>
      <c r="Q113" s="78">
        <f t="shared" si="39"/>
        <v>0</v>
      </c>
      <c r="S113">
        <f t="shared" si="32"/>
        <v>9</v>
      </c>
      <c r="T113">
        <f t="shared" si="40"/>
        <v>108</v>
      </c>
      <c r="U113" s="49">
        <f t="shared" si="45"/>
        <v>3258</v>
      </c>
      <c r="V113" s="78">
        <f t="shared" si="41"/>
        <v>0</v>
      </c>
      <c r="W113" s="78">
        <f t="shared" ca="1" si="46"/>
        <v>0</v>
      </c>
      <c r="X113" s="78">
        <f>IFERROR(IF(OR(T113=0, U113&gt;=Refi_Origination_Date),0, PPMT(Mezz_I_Adj,'Loan Amort Table'!T113,Mezz_Amort_Periods,Mezz_Orig_Loan_Amount)),0)</f>
        <v>0</v>
      </c>
      <c r="Y113" s="78" cm="1">
        <f t="array" aca="1" ref="Y113" ca="1">IFERROR(_xlfn.IFS(U113&gt;=Refi_Origination_Date,0, Mezz_Amort = 0, -V113 * Mezz_I_Adj, 1, IPMT(Mezz_I_Adj,IF(T113 = 0, 1, T113),Mezz_Amort_Periods,Mezz_Orig_Loan_Amount)),0)</f>
        <v>0</v>
      </c>
      <c r="Z113" s="78">
        <f t="shared" si="47"/>
        <v>0</v>
      </c>
      <c r="AB113">
        <f t="shared" si="33"/>
        <v>9</v>
      </c>
      <c r="AC113">
        <f t="shared" si="42"/>
        <v>108</v>
      </c>
      <c r="AD113" s="49">
        <f t="shared" si="48"/>
        <v>3258</v>
      </c>
      <c r="AE113" s="78">
        <f t="shared" si="43"/>
        <v>0</v>
      </c>
      <c r="AF113" s="78">
        <f t="shared" ca="1" si="49"/>
        <v>0</v>
      </c>
      <c r="AG113" s="78">
        <f ca="1">IFERROR(IF(AC113=0,0, PPMT(Refi_I_Adj,'Loan Amort Table'!AC113,Refi_Amort_Periods,Refi_Orig_Loan_Amount)),0)</f>
        <v>0</v>
      </c>
      <c r="AH113" s="78">
        <f t="shared" ca="1" si="34"/>
        <v>0</v>
      </c>
      <c r="AI113" s="78">
        <f t="shared" ca="1" si="50"/>
        <v>0</v>
      </c>
    </row>
    <row r="114" spans="1:35" x14ac:dyDescent="0.25">
      <c r="A114">
        <f t="shared" si="30"/>
        <v>10</v>
      </c>
      <c r="B114">
        <f t="shared" si="35"/>
        <v>109</v>
      </c>
      <c r="C114" s="49">
        <f t="shared" si="29"/>
        <v>3289</v>
      </c>
      <c r="D114" s="78">
        <f>IF(C114&gt;EDATE(DATE(YEAR(SED_Origination_Date)+ SED_Amort, MONTH(SED_Origination_Date), DAY(SED_Origination_Date)),SED_Interest_Only),0,H113)</f>
        <v>0</v>
      </c>
      <c r="E114" s="78">
        <f t="shared" si="36"/>
        <v>0</v>
      </c>
      <c r="F114" s="78">
        <f>IFERROR(IF(OR(B114=0, C114&gt;=Refi_Origination_Date),0, PPMT(SED_I_Adj,'Loan Amort Table'!B114,SED_Amort_Periods,SED_Orig_Loan_Amount)),0)</f>
        <v>0</v>
      </c>
      <c r="G114" s="78" cm="1">
        <f t="array" ref="G114">IFERROR(_xlfn.IFS(C114&gt;=Refi_Origination_Date, 0, SED_Amort = 0, -D114 * SED_I_Adj, 1, IPMT(SED_I_Adj,IF(B114 = 0, 1, B114),SED_Amort_Periods,SED_Orig_Loan_Amount)),0)</f>
        <v>0</v>
      </c>
      <c r="H114" s="78">
        <f t="shared" si="51"/>
        <v>0</v>
      </c>
      <c r="J114">
        <f t="shared" si="31"/>
        <v>10</v>
      </c>
      <c r="K114">
        <f t="shared" si="37"/>
        <v>109</v>
      </c>
      <c r="L114" s="49">
        <f t="shared" si="44"/>
        <v>3289</v>
      </c>
      <c r="M114" s="78">
        <f>IF(L114&gt;EDATE(DATE(YEAR(NEW_Origination_Date)+ NEW_Amort, MONTH(NEW_Origination_Date), DAY(NEW_Origination_Date)),NEW_Interest_Only),0,Q113)</f>
        <v>0</v>
      </c>
      <c r="N114" s="78">
        <f t="shared" si="38"/>
        <v>0</v>
      </c>
      <c r="O114" s="78">
        <f>IFERROR(IF(K114=0,0, PPMT(NEW_I_Adj,'Loan Amort Table'!K114,NEW_Amort_Periods,NEW_Orig_Loan_Amount)),0)</f>
        <v>0</v>
      </c>
      <c r="P114" s="78">
        <f>IFERROR(IF(NEW_Amort = 0, -M114* NEW_I_Adj,IPMT(NEW_I_Adj,IF(K114 = 0, 1, K114),NEW_Amort_Periods,NEW_Orig_Loan_Amount)),0)</f>
        <v>0</v>
      </c>
      <c r="Q114" s="78">
        <f t="shared" si="39"/>
        <v>0</v>
      </c>
      <c r="S114">
        <f t="shared" si="32"/>
        <v>10</v>
      </c>
      <c r="T114">
        <f t="shared" si="40"/>
        <v>109</v>
      </c>
      <c r="U114" s="49">
        <f t="shared" si="45"/>
        <v>3289</v>
      </c>
      <c r="V114" s="78">
        <f t="shared" si="41"/>
        <v>0</v>
      </c>
      <c r="W114" s="78">
        <f t="shared" ca="1" si="46"/>
        <v>0</v>
      </c>
      <c r="X114" s="78">
        <f>IFERROR(IF(OR(T114=0, U114&gt;=Refi_Origination_Date),0, PPMT(Mezz_I_Adj,'Loan Amort Table'!T114,Mezz_Amort_Periods,Mezz_Orig_Loan_Amount)),0)</f>
        <v>0</v>
      </c>
      <c r="Y114" s="78" cm="1">
        <f t="array" aca="1" ref="Y114" ca="1">IFERROR(_xlfn.IFS(U114&gt;=Refi_Origination_Date,0, Mezz_Amort = 0, -V114 * Mezz_I_Adj, 1, IPMT(Mezz_I_Adj,IF(T114 = 0, 1, T114),Mezz_Amort_Periods,Mezz_Orig_Loan_Amount)),0)</f>
        <v>0</v>
      </c>
      <c r="Z114" s="78">
        <f t="shared" si="47"/>
        <v>0</v>
      </c>
      <c r="AB114">
        <f t="shared" si="33"/>
        <v>10</v>
      </c>
      <c r="AC114">
        <f t="shared" si="42"/>
        <v>109</v>
      </c>
      <c r="AD114" s="49">
        <f t="shared" si="48"/>
        <v>3289</v>
      </c>
      <c r="AE114" s="78">
        <f t="shared" si="43"/>
        <v>0</v>
      </c>
      <c r="AF114" s="78">
        <f t="shared" ca="1" si="49"/>
        <v>0</v>
      </c>
      <c r="AG114" s="78">
        <f ca="1">IFERROR(IF(AC114=0,0, PPMT(Refi_I_Adj,'Loan Amort Table'!AC114,Refi_Amort_Periods,Refi_Orig_Loan_Amount)),0)</f>
        <v>0</v>
      </c>
      <c r="AH114" s="78">
        <f t="shared" ca="1" si="34"/>
        <v>0</v>
      </c>
      <c r="AI114" s="78">
        <f t="shared" ca="1" si="50"/>
        <v>0</v>
      </c>
    </row>
    <row r="115" spans="1:35" x14ac:dyDescent="0.25">
      <c r="A115">
        <f t="shared" si="30"/>
        <v>10</v>
      </c>
      <c r="B115">
        <f t="shared" si="35"/>
        <v>110</v>
      </c>
      <c r="C115" s="49">
        <f t="shared" si="29"/>
        <v>3320</v>
      </c>
      <c r="D115" s="78">
        <f>IF(C115&gt;EDATE(DATE(YEAR(SED_Origination_Date)+ SED_Amort, MONTH(SED_Origination_Date), DAY(SED_Origination_Date)),SED_Interest_Only),0,H114)</f>
        <v>0</v>
      </c>
      <c r="E115" s="78">
        <f t="shared" si="36"/>
        <v>0</v>
      </c>
      <c r="F115" s="78">
        <f>IFERROR(IF(OR(B115=0, C115&gt;=Refi_Origination_Date),0, PPMT(SED_I_Adj,'Loan Amort Table'!B115,SED_Amort_Periods,SED_Orig_Loan_Amount)),0)</f>
        <v>0</v>
      </c>
      <c r="G115" s="78" cm="1">
        <f t="array" ref="G115">IFERROR(_xlfn.IFS(C115&gt;=Refi_Origination_Date, 0, SED_Amort = 0, -D115 * SED_I_Adj, 1, IPMT(SED_I_Adj,IF(B115 = 0, 1, B115),SED_Amort_Periods,SED_Orig_Loan_Amount)),0)</f>
        <v>0</v>
      </c>
      <c r="H115" s="78">
        <f t="shared" si="51"/>
        <v>0</v>
      </c>
      <c r="J115">
        <f t="shared" si="31"/>
        <v>10</v>
      </c>
      <c r="K115">
        <f t="shared" si="37"/>
        <v>110</v>
      </c>
      <c r="L115" s="49">
        <f t="shared" si="44"/>
        <v>3320</v>
      </c>
      <c r="M115" s="78">
        <f>IF(L115&gt;EDATE(DATE(YEAR(NEW_Origination_Date)+ NEW_Amort, MONTH(NEW_Origination_Date), DAY(NEW_Origination_Date)),NEW_Interest_Only),0,Q114)</f>
        <v>0</v>
      </c>
      <c r="N115" s="78">
        <f t="shared" si="38"/>
        <v>0</v>
      </c>
      <c r="O115" s="78">
        <f>IFERROR(IF(K115=0,0, PPMT(NEW_I_Adj,'Loan Amort Table'!K115,NEW_Amort_Periods,NEW_Orig_Loan_Amount)),0)</f>
        <v>0</v>
      </c>
      <c r="P115" s="78">
        <f>IFERROR(IF(NEW_Amort = 0, -M115* NEW_I_Adj,IPMT(NEW_I_Adj,IF(K115 = 0, 1, K115),NEW_Amort_Periods,NEW_Orig_Loan_Amount)),0)</f>
        <v>0</v>
      </c>
      <c r="Q115" s="78">
        <f t="shared" si="39"/>
        <v>0</v>
      </c>
      <c r="S115">
        <f t="shared" si="32"/>
        <v>10</v>
      </c>
      <c r="T115">
        <f t="shared" si="40"/>
        <v>110</v>
      </c>
      <c r="U115" s="49">
        <f t="shared" si="45"/>
        <v>3320</v>
      </c>
      <c r="V115" s="78">
        <f t="shared" si="41"/>
        <v>0</v>
      </c>
      <c r="W115" s="78">
        <f t="shared" ca="1" si="46"/>
        <v>0</v>
      </c>
      <c r="X115" s="78">
        <f>IFERROR(IF(OR(T115=0, U115&gt;=Refi_Origination_Date),0, PPMT(Mezz_I_Adj,'Loan Amort Table'!T115,Mezz_Amort_Periods,Mezz_Orig_Loan_Amount)),0)</f>
        <v>0</v>
      </c>
      <c r="Y115" s="78" cm="1">
        <f t="array" aca="1" ref="Y115" ca="1">IFERROR(_xlfn.IFS(U115&gt;=Refi_Origination_Date,0, Mezz_Amort = 0, -V115 * Mezz_I_Adj, 1, IPMT(Mezz_I_Adj,IF(T115 = 0, 1, T115),Mezz_Amort_Periods,Mezz_Orig_Loan_Amount)),0)</f>
        <v>0</v>
      </c>
      <c r="Z115" s="78">
        <f t="shared" si="47"/>
        <v>0</v>
      </c>
      <c r="AB115">
        <f t="shared" si="33"/>
        <v>10</v>
      </c>
      <c r="AC115">
        <f t="shared" si="42"/>
        <v>110</v>
      </c>
      <c r="AD115" s="49">
        <f t="shared" si="48"/>
        <v>3320</v>
      </c>
      <c r="AE115" s="78">
        <f t="shared" si="43"/>
        <v>0</v>
      </c>
      <c r="AF115" s="78">
        <f t="shared" ca="1" si="49"/>
        <v>0</v>
      </c>
      <c r="AG115" s="78">
        <f ca="1">IFERROR(IF(AC115=0,0, PPMT(Refi_I_Adj,'Loan Amort Table'!AC115,Refi_Amort_Periods,Refi_Orig_Loan_Amount)),0)</f>
        <v>0</v>
      </c>
      <c r="AH115" s="78">
        <f t="shared" ca="1" si="34"/>
        <v>0</v>
      </c>
      <c r="AI115" s="78">
        <f t="shared" ca="1" si="50"/>
        <v>0</v>
      </c>
    </row>
    <row r="116" spans="1:35" x14ac:dyDescent="0.25">
      <c r="A116">
        <f t="shared" si="30"/>
        <v>10</v>
      </c>
      <c r="B116">
        <f t="shared" si="35"/>
        <v>111</v>
      </c>
      <c r="C116" s="49">
        <f t="shared" si="29"/>
        <v>3348</v>
      </c>
      <c r="D116" s="78">
        <f>IF(C116&gt;EDATE(DATE(YEAR(SED_Origination_Date)+ SED_Amort, MONTH(SED_Origination_Date), DAY(SED_Origination_Date)),SED_Interest_Only),0,H115)</f>
        <v>0</v>
      </c>
      <c r="E116" s="78">
        <f t="shared" si="36"/>
        <v>0</v>
      </c>
      <c r="F116" s="78">
        <f>IFERROR(IF(OR(B116=0, C116&gt;=Refi_Origination_Date),0, PPMT(SED_I_Adj,'Loan Amort Table'!B116,SED_Amort_Periods,SED_Orig_Loan_Amount)),0)</f>
        <v>0</v>
      </c>
      <c r="G116" s="78" cm="1">
        <f t="array" ref="G116">IFERROR(_xlfn.IFS(C116&gt;=Refi_Origination_Date, 0, SED_Amort = 0, -D116 * SED_I_Adj, 1, IPMT(SED_I_Adj,IF(B116 = 0, 1, B116),SED_Amort_Periods,SED_Orig_Loan_Amount)),0)</f>
        <v>0</v>
      </c>
      <c r="H116" s="78">
        <f t="shared" si="51"/>
        <v>0</v>
      </c>
      <c r="J116">
        <f t="shared" si="31"/>
        <v>10</v>
      </c>
      <c r="K116">
        <f t="shared" si="37"/>
        <v>111</v>
      </c>
      <c r="L116" s="49">
        <f t="shared" si="44"/>
        <v>3348</v>
      </c>
      <c r="M116" s="78">
        <f>IF(L116&gt;EDATE(DATE(YEAR(NEW_Origination_Date)+ NEW_Amort, MONTH(NEW_Origination_Date), DAY(NEW_Origination_Date)),NEW_Interest_Only),0,Q115)</f>
        <v>0</v>
      </c>
      <c r="N116" s="78">
        <f t="shared" si="38"/>
        <v>0</v>
      </c>
      <c r="O116" s="78">
        <f>IFERROR(IF(K116=0,0, PPMT(NEW_I_Adj,'Loan Amort Table'!K116,NEW_Amort_Periods,NEW_Orig_Loan_Amount)),0)</f>
        <v>0</v>
      </c>
      <c r="P116" s="78">
        <f>IFERROR(IF(NEW_Amort = 0, -M116* NEW_I_Adj,IPMT(NEW_I_Adj,IF(K116 = 0, 1, K116),NEW_Amort_Periods,NEW_Orig_Loan_Amount)),0)</f>
        <v>0</v>
      </c>
      <c r="Q116" s="78">
        <f t="shared" si="39"/>
        <v>0</v>
      </c>
      <c r="S116">
        <f t="shared" si="32"/>
        <v>10</v>
      </c>
      <c r="T116">
        <f t="shared" si="40"/>
        <v>111</v>
      </c>
      <c r="U116" s="49">
        <f t="shared" si="45"/>
        <v>3348</v>
      </c>
      <c r="V116" s="78">
        <f t="shared" si="41"/>
        <v>0</v>
      </c>
      <c r="W116" s="78">
        <f t="shared" ca="1" si="46"/>
        <v>0</v>
      </c>
      <c r="X116" s="78">
        <f>IFERROR(IF(OR(T116=0, U116&gt;=Refi_Origination_Date),0, PPMT(Mezz_I_Adj,'Loan Amort Table'!T116,Mezz_Amort_Periods,Mezz_Orig_Loan_Amount)),0)</f>
        <v>0</v>
      </c>
      <c r="Y116" s="78" cm="1">
        <f t="array" aca="1" ref="Y116" ca="1">IFERROR(_xlfn.IFS(U116&gt;=Refi_Origination_Date,0, Mezz_Amort = 0, -V116 * Mezz_I_Adj, 1, IPMT(Mezz_I_Adj,IF(T116 = 0, 1, T116),Mezz_Amort_Periods,Mezz_Orig_Loan_Amount)),0)</f>
        <v>0</v>
      </c>
      <c r="Z116" s="78">
        <f t="shared" si="47"/>
        <v>0</v>
      </c>
      <c r="AB116">
        <f t="shared" si="33"/>
        <v>10</v>
      </c>
      <c r="AC116">
        <f t="shared" si="42"/>
        <v>111</v>
      </c>
      <c r="AD116" s="49">
        <f t="shared" si="48"/>
        <v>3348</v>
      </c>
      <c r="AE116" s="78">
        <f t="shared" si="43"/>
        <v>0</v>
      </c>
      <c r="AF116" s="78">
        <f t="shared" ca="1" si="49"/>
        <v>0</v>
      </c>
      <c r="AG116" s="78">
        <f ca="1">IFERROR(IF(AC116=0,0, PPMT(Refi_I_Adj,'Loan Amort Table'!AC116,Refi_Amort_Periods,Refi_Orig_Loan_Amount)),0)</f>
        <v>0</v>
      </c>
      <c r="AH116" s="78">
        <f t="shared" ca="1" si="34"/>
        <v>0</v>
      </c>
      <c r="AI116" s="78">
        <f t="shared" ca="1" si="50"/>
        <v>0</v>
      </c>
    </row>
    <row r="117" spans="1:35" x14ac:dyDescent="0.25">
      <c r="A117">
        <f t="shared" si="30"/>
        <v>10</v>
      </c>
      <c r="B117">
        <f t="shared" si="35"/>
        <v>112</v>
      </c>
      <c r="C117" s="49">
        <f t="shared" si="29"/>
        <v>3379</v>
      </c>
      <c r="D117" s="78">
        <f>IF(C117&gt;EDATE(DATE(YEAR(SED_Origination_Date)+ SED_Amort, MONTH(SED_Origination_Date), DAY(SED_Origination_Date)),SED_Interest_Only),0,H116)</f>
        <v>0</v>
      </c>
      <c r="E117" s="78">
        <f t="shared" si="36"/>
        <v>0</v>
      </c>
      <c r="F117" s="78">
        <f>IFERROR(IF(OR(B117=0, C117&gt;=Refi_Origination_Date),0, PPMT(SED_I_Adj,'Loan Amort Table'!B117,SED_Amort_Periods,SED_Orig_Loan_Amount)),0)</f>
        <v>0</v>
      </c>
      <c r="G117" s="78" cm="1">
        <f t="array" ref="G117">IFERROR(_xlfn.IFS(C117&gt;=Refi_Origination_Date, 0, SED_Amort = 0, -D117 * SED_I_Adj, 1, IPMT(SED_I_Adj,IF(B117 = 0, 1, B117),SED_Amort_Periods,SED_Orig_Loan_Amount)),0)</f>
        <v>0</v>
      </c>
      <c r="H117" s="78">
        <f t="shared" si="51"/>
        <v>0</v>
      </c>
      <c r="J117">
        <f t="shared" si="31"/>
        <v>10</v>
      </c>
      <c r="K117">
        <f t="shared" si="37"/>
        <v>112</v>
      </c>
      <c r="L117" s="49">
        <f t="shared" si="44"/>
        <v>3379</v>
      </c>
      <c r="M117" s="78">
        <f>IF(L117&gt;EDATE(DATE(YEAR(NEW_Origination_Date)+ NEW_Amort, MONTH(NEW_Origination_Date), DAY(NEW_Origination_Date)),NEW_Interest_Only),0,Q116)</f>
        <v>0</v>
      </c>
      <c r="N117" s="78">
        <f t="shared" si="38"/>
        <v>0</v>
      </c>
      <c r="O117" s="78">
        <f>IFERROR(IF(K117=0,0, PPMT(NEW_I_Adj,'Loan Amort Table'!K117,NEW_Amort_Periods,NEW_Orig_Loan_Amount)),0)</f>
        <v>0</v>
      </c>
      <c r="P117" s="78">
        <f>IFERROR(IF(NEW_Amort = 0, -M117* NEW_I_Adj,IPMT(NEW_I_Adj,IF(K117 = 0, 1, K117),NEW_Amort_Periods,NEW_Orig_Loan_Amount)),0)</f>
        <v>0</v>
      </c>
      <c r="Q117" s="78">
        <f t="shared" si="39"/>
        <v>0</v>
      </c>
      <c r="S117">
        <f t="shared" si="32"/>
        <v>10</v>
      </c>
      <c r="T117">
        <f t="shared" si="40"/>
        <v>112</v>
      </c>
      <c r="U117" s="49">
        <f t="shared" si="45"/>
        <v>3379</v>
      </c>
      <c r="V117" s="78">
        <f t="shared" si="41"/>
        <v>0</v>
      </c>
      <c r="W117" s="78">
        <f t="shared" ca="1" si="46"/>
        <v>0</v>
      </c>
      <c r="X117" s="78">
        <f>IFERROR(IF(OR(T117=0, U117&gt;=Refi_Origination_Date),0, PPMT(Mezz_I_Adj,'Loan Amort Table'!T117,Mezz_Amort_Periods,Mezz_Orig_Loan_Amount)),0)</f>
        <v>0</v>
      </c>
      <c r="Y117" s="78" cm="1">
        <f t="array" aca="1" ref="Y117" ca="1">IFERROR(_xlfn.IFS(U117&gt;=Refi_Origination_Date,0, Mezz_Amort = 0, -V117 * Mezz_I_Adj, 1, IPMT(Mezz_I_Adj,IF(T117 = 0, 1, T117),Mezz_Amort_Periods,Mezz_Orig_Loan_Amount)),0)</f>
        <v>0</v>
      </c>
      <c r="Z117" s="78">
        <f t="shared" si="47"/>
        <v>0</v>
      </c>
      <c r="AB117">
        <f t="shared" si="33"/>
        <v>10</v>
      </c>
      <c r="AC117">
        <f t="shared" si="42"/>
        <v>112</v>
      </c>
      <c r="AD117" s="49">
        <f t="shared" si="48"/>
        <v>3379</v>
      </c>
      <c r="AE117" s="78">
        <f t="shared" si="43"/>
        <v>0</v>
      </c>
      <c r="AF117" s="78">
        <f t="shared" ca="1" si="49"/>
        <v>0</v>
      </c>
      <c r="AG117" s="78">
        <f ca="1">IFERROR(IF(AC117=0,0, PPMT(Refi_I_Adj,'Loan Amort Table'!AC117,Refi_Amort_Periods,Refi_Orig_Loan_Amount)),0)</f>
        <v>0</v>
      </c>
      <c r="AH117" s="78">
        <f t="shared" ca="1" si="34"/>
        <v>0</v>
      </c>
      <c r="AI117" s="78">
        <f t="shared" ca="1" si="50"/>
        <v>0</v>
      </c>
    </row>
    <row r="118" spans="1:35" x14ac:dyDescent="0.25">
      <c r="A118">
        <f t="shared" si="30"/>
        <v>10</v>
      </c>
      <c r="B118">
        <f t="shared" si="35"/>
        <v>113</v>
      </c>
      <c r="C118" s="49">
        <f t="shared" si="29"/>
        <v>3409</v>
      </c>
      <c r="D118" s="78">
        <f>IF(C118&gt;EDATE(DATE(YEAR(SED_Origination_Date)+ SED_Amort, MONTH(SED_Origination_Date), DAY(SED_Origination_Date)),SED_Interest_Only),0,H117)</f>
        <v>0</v>
      </c>
      <c r="E118" s="78">
        <f t="shared" si="36"/>
        <v>0</v>
      </c>
      <c r="F118" s="78">
        <f>IFERROR(IF(OR(B118=0, C118&gt;=Refi_Origination_Date),0, PPMT(SED_I_Adj,'Loan Amort Table'!B118,SED_Amort_Periods,SED_Orig_Loan_Amount)),0)</f>
        <v>0</v>
      </c>
      <c r="G118" s="78" cm="1">
        <f t="array" ref="G118">IFERROR(_xlfn.IFS(C118&gt;=Refi_Origination_Date, 0, SED_Amort = 0, -D118 * SED_I_Adj, 1, IPMT(SED_I_Adj,IF(B118 = 0, 1, B118),SED_Amort_Periods,SED_Orig_Loan_Amount)),0)</f>
        <v>0</v>
      </c>
      <c r="H118" s="78">
        <f t="shared" si="51"/>
        <v>0</v>
      </c>
      <c r="J118">
        <f t="shared" si="31"/>
        <v>10</v>
      </c>
      <c r="K118">
        <f t="shared" si="37"/>
        <v>113</v>
      </c>
      <c r="L118" s="49">
        <f t="shared" si="44"/>
        <v>3409</v>
      </c>
      <c r="M118" s="78">
        <f>IF(L118&gt;EDATE(DATE(YEAR(NEW_Origination_Date)+ NEW_Amort, MONTH(NEW_Origination_Date), DAY(NEW_Origination_Date)),NEW_Interest_Only),0,Q117)</f>
        <v>0</v>
      </c>
      <c r="N118" s="78">
        <f t="shared" si="38"/>
        <v>0</v>
      </c>
      <c r="O118" s="78">
        <f>IFERROR(IF(K118=0,0, PPMT(NEW_I_Adj,'Loan Amort Table'!K118,NEW_Amort_Periods,NEW_Orig_Loan_Amount)),0)</f>
        <v>0</v>
      </c>
      <c r="P118" s="78">
        <f>IFERROR(IF(NEW_Amort = 0, -M118* NEW_I_Adj,IPMT(NEW_I_Adj,IF(K118 = 0, 1, K118),NEW_Amort_Periods,NEW_Orig_Loan_Amount)),0)</f>
        <v>0</v>
      </c>
      <c r="Q118" s="78">
        <f t="shared" si="39"/>
        <v>0</v>
      </c>
      <c r="S118">
        <f t="shared" si="32"/>
        <v>10</v>
      </c>
      <c r="T118">
        <f t="shared" si="40"/>
        <v>113</v>
      </c>
      <c r="U118" s="49">
        <f t="shared" si="45"/>
        <v>3409</v>
      </c>
      <c r="V118" s="78">
        <f t="shared" si="41"/>
        <v>0</v>
      </c>
      <c r="W118" s="78">
        <f t="shared" ca="1" si="46"/>
        <v>0</v>
      </c>
      <c r="X118" s="78">
        <f>IFERROR(IF(OR(T118=0, U118&gt;=Refi_Origination_Date),0, PPMT(Mezz_I_Adj,'Loan Amort Table'!T118,Mezz_Amort_Periods,Mezz_Orig_Loan_Amount)),0)</f>
        <v>0</v>
      </c>
      <c r="Y118" s="78" cm="1">
        <f t="array" aca="1" ref="Y118" ca="1">IFERROR(_xlfn.IFS(U118&gt;=Refi_Origination_Date,0, Mezz_Amort = 0, -V118 * Mezz_I_Adj, 1, IPMT(Mezz_I_Adj,IF(T118 = 0, 1, T118),Mezz_Amort_Periods,Mezz_Orig_Loan_Amount)),0)</f>
        <v>0</v>
      </c>
      <c r="Z118" s="78">
        <f t="shared" si="47"/>
        <v>0</v>
      </c>
      <c r="AB118">
        <f t="shared" si="33"/>
        <v>10</v>
      </c>
      <c r="AC118">
        <f t="shared" si="42"/>
        <v>113</v>
      </c>
      <c r="AD118" s="49">
        <f t="shared" si="48"/>
        <v>3409</v>
      </c>
      <c r="AE118" s="78">
        <f t="shared" si="43"/>
        <v>0</v>
      </c>
      <c r="AF118" s="78">
        <f t="shared" ca="1" si="49"/>
        <v>0</v>
      </c>
      <c r="AG118" s="78">
        <f ca="1">IFERROR(IF(AC118=0,0, PPMT(Refi_I_Adj,'Loan Amort Table'!AC118,Refi_Amort_Periods,Refi_Orig_Loan_Amount)),0)</f>
        <v>0</v>
      </c>
      <c r="AH118" s="78">
        <f t="shared" ca="1" si="34"/>
        <v>0</v>
      </c>
      <c r="AI118" s="78">
        <f t="shared" ca="1" si="50"/>
        <v>0</v>
      </c>
    </row>
    <row r="119" spans="1:35" x14ac:dyDescent="0.25">
      <c r="A119">
        <f t="shared" si="30"/>
        <v>10</v>
      </c>
      <c r="B119">
        <f t="shared" si="35"/>
        <v>114</v>
      </c>
      <c r="C119" s="49">
        <f t="shared" si="29"/>
        <v>3440</v>
      </c>
      <c r="D119" s="78">
        <f>IF(C119&gt;EDATE(DATE(YEAR(SED_Origination_Date)+ SED_Amort, MONTH(SED_Origination_Date), DAY(SED_Origination_Date)),SED_Interest_Only),0,H118)</f>
        <v>0</v>
      </c>
      <c r="E119" s="78">
        <f t="shared" si="36"/>
        <v>0</v>
      </c>
      <c r="F119" s="78">
        <f>IFERROR(IF(OR(B119=0, C119&gt;=Refi_Origination_Date),0, PPMT(SED_I_Adj,'Loan Amort Table'!B119,SED_Amort_Periods,SED_Orig_Loan_Amount)),0)</f>
        <v>0</v>
      </c>
      <c r="G119" s="78" cm="1">
        <f t="array" ref="G119">IFERROR(_xlfn.IFS(C119&gt;=Refi_Origination_Date, 0, SED_Amort = 0, -D119 * SED_I_Adj, 1, IPMT(SED_I_Adj,IF(B119 = 0, 1, B119),SED_Amort_Periods,SED_Orig_Loan_Amount)),0)</f>
        <v>0</v>
      </c>
      <c r="H119" s="78">
        <f t="shared" si="51"/>
        <v>0</v>
      </c>
      <c r="J119">
        <f t="shared" si="31"/>
        <v>10</v>
      </c>
      <c r="K119">
        <f t="shared" si="37"/>
        <v>114</v>
      </c>
      <c r="L119" s="49">
        <f t="shared" si="44"/>
        <v>3440</v>
      </c>
      <c r="M119" s="78">
        <f>IF(L119&gt;EDATE(DATE(YEAR(NEW_Origination_Date)+ NEW_Amort, MONTH(NEW_Origination_Date), DAY(NEW_Origination_Date)),NEW_Interest_Only),0,Q118)</f>
        <v>0</v>
      </c>
      <c r="N119" s="78">
        <f t="shared" si="38"/>
        <v>0</v>
      </c>
      <c r="O119" s="78">
        <f>IFERROR(IF(K119=0,0, PPMT(NEW_I_Adj,'Loan Amort Table'!K119,NEW_Amort_Periods,NEW_Orig_Loan_Amount)),0)</f>
        <v>0</v>
      </c>
      <c r="P119" s="78">
        <f>IFERROR(IF(NEW_Amort = 0, -M119* NEW_I_Adj,IPMT(NEW_I_Adj,IF(K119 = 0, 1, K119),NEW_Amort_Periods,NEW_Orig_Loan_Amount)),0)</f>
        <v>0</v>
      </c>
      <c r="Q119" s="78">
        <f t="shared" si="39"/>
        <v>0</v>
      </c>
      <c r="S119">
        <f t="shared" si="32"/>
        <v>10</v>
      </c>
      <c r="T119">
        <f t="shared" si="40"/>
        <v>114</v>
      </c>
      <c r="U119" s="49">
        <f t="shared" si="45"/>
        <v>3440</v>
      </c>
      <c r="V119" s="78">
        <f t="shared" si="41"/>
        <v>0</v>
      </c>
      <c r="W119" s="78">
        <f t="shared" ca="1" si="46"/>
        <v>0</v>
      </c>
      <c r="X119" s="78">
        <f>IFERROR(IF(OR(T119=0, U119&gt;=Refi_Origination_Date),0, PPMT(Mezz_I_Adj,'Loan Amort Table'!T119,Mezz_Amort_Periods,Mezz_Orig_Loan_Amount)),0)</f>
        <v>0</v>
      </c>
      <c r="Y119" s="78" cm="1">
        <f t="array" aca="1" ref="Y119" ca="1">IFERROR(_xlfn.IFS(U119&gt;=Refi_Origination_Date,0, Mezz_Amort = 0, -V119 * Mezz_I_Adj, 1, IPMT(Mezz_I_Adj,IF(T119 = 0, 1, T119),Mezz_Amort_Periods,Mezz_Orig_Loan_Amount)),0)</f>
        <v>0</v>
      </c>
      <c r="Z119" s="78">
        <f t="shared" si="47"/>
        <v>0</v>
      </c>
      <c r="AB119">
        <f t="shared" si="33"/>
        <v>10</v>
      </c>
      <c r="AC119">
        <f t="shared" si="42"/>
        <v>114</v>
      </c>
      <c r="AD119" s="49">
        <f t="shared" si="48"/>
        <v>3440</v>
      </c>
      <c r="AE119" s="78">
        <f t="shared" si="43"/>
        <v>0</v>
      </c>
      <c r="AF119" s="78">
        <f t="shared" ca="1" si="49"/>
        <v>0</v>
      </c>
      <c r="AG119" s="78">
        <f ca="1">IFERROR(IF(AC119=0,0, PPMT(Refi_I_Adj,'Loan Amort Table'!AC119,Refi_Amort_Periods,Refi_Orig_Loan_Amount)),0)</f>
        <v>0</v>
      </c>
      <c r="AH119" s="78">
        <f t="shared" ca="1" si="34"/>
        <v>0</v>
      </c>
      <c r="AI119" s="78">
        <f t="shared" ca="1" si="50"/>
        <v>0</v>
      </c>
    </row>
    <row r="120" spans="1:35" x14ac:dyDescent="0.25">
      <c r="A120">
        <f t="shared" si="30"/>
        <v>10</v>
      </c>
      <c r="B120">
        <f t="shared" si="35"/>
        <v>115</v>
      </c>
      <c r="C120" s="49">
        <f t="shared" ref="C120:C183" si="52">EDATE(C119,1)</f>
        <v>3470</v>
      </c>
      <c r="D120" s="78">
        <f>IF(C120&gt;EDATE(DATE(YEAR(SED_Origination_Date)+ SED_Amort, MONTH(SED_Origination_Date), DAY(SED_Origination_Date)),SED_Interest_Only),0,H119)</f>
        <v>0</v>
      </c>
      <c r="E120" s="78">
        <f t="shared" si="36"/>
        <v>0</v>
      </c>
      <c r="F120" s="78">
        <f>IFERROR(IF(OR(B120=0, C120&gt;=Refi_Origination_Date),0, PPMT(SED_I_Adj,'Loan Amort Table'!B120,SED_Amort_Periods,SED_Orig_Loan_Amount)),0)</f>
        <v>0</v>
      </c>
      <c r="G120" s="78" cm="1">
        <f t="array" ref="G120">IFERROR(_xlfn.IFS(C120&gt;=Refi_Origination_Date, 0, SED_Amort = 0, -D120 * SED_I_Adj, 1, IPMT(SED_I_Adj,IF(B120 = 0, 1, B120),SED_Amort_Periods,SED_Orig_Loan_Amount)),0)</f>
        <v>0</v>
      </c>
      <c r="H120" s="78">
        <f t="shared" si="51"/>
        <v>0</v>
      </c>
      <c r="J120">
        <f t="shared" si="31"/>
        <v>10</v>
      </c>
      <c r="K120">
        <f t="shared" si="37"/>
        <v>115</v>
      </c>
      <c r="L120" s="49">
        <f t="shared" si="44"/>
        <v>3470</v>
      </c>
      <c r="M120" s="78">
        <f>IF(L120&gt;EDATE(DATE(YEAR(NEW_Origination_Date)+ NEW_Amort, MONTH(NEW_Origination_Date), DAY(NEW_Origination_Date)),NEW_Interest_Only),0,Q119)</f>
        <v>0</v>
      </c>
      <c r="N120" s="78">
        <f t="shared" si="38"/>
        <v>0</v>
      </c>
      <c r="O120" s="78">
        <f>IFERROR(IF(K120=0,0, PPMT(NEW_I_Adj,'Loan Amort Table'!K120,NEW_Amort_Periods,NEW_Orig_Loan_Amount)),0)</f>
        <v>0</v>
      </c>
      <c r="P120" s="78">
        <f>IFERROR(IF(NEW_Amort = 0, -M120* NEW_I_Adj,IPMT(NEW_I_Adj,IF(K120 = 0, 1, K120),NEW_Amort_Periods,NEW_Orig_Loan_Amount)),0)</f>
        <v>0</v>
      </c>
      <c r="Q120" s="78">
        <f t="shared" si="39"/>
        <v>0</v>
      </c>
      <c r="S120">
        <f t="shared" si="32"/>
        <v>10</v>
      </c>
      <c r="T120">
        <f t="shared" si="40"/>
        <v>115</v>
      </c>
      <c r="U120" s="49">
        <f t="shared" si="45"/>
        <v>3470</v>
      </c>
      <c r="V120" s="78">
        <f t="shared" si="41"/>
        <v>0</v>
      </c>
      <c r="W120" s="78">
        <f t="shared" ca="1" si="46"/>
        <v>0</v>
      </c>
      <c r="X120" s="78">
        <f>IFERROR(IF(OR(T120=0, U120&gt;=Refi_Origination_Date),0, PPMT(Mezz_I_Adj,'Loan Amort Table'!T120,Mezz_Amort_Periods,Mezz_Orig_Loan_Amount)),0)</f>
        <v>0</v>
      </c>
      <c r="Y120" s="78" cm="1">
        <f t="array" aca="1" ref="Y120" ca="1">IFERROR(_xlfn.IFS(U120&gt;=Refi_Origination_Date,0, Mezz_Amort = 0, -V120 * Mezz_I_Adj, 1, IPMT(Mezz_I_Adj,IF(T120 = 0, 1, T120),Mezz_Amort_Periods,Mezz_Orig_Loan_Amount)),0)</f>
        <v>0</v>
      </c>
      <c r="Z120" s="78">
        <f t="shared" si="47"/>
        <v>0</v>
      </c>
      <c r="AB120">
        <f t="shared" si="33"/>
        <v>10</v>
      </c>
      <c r="AC120">
        <f t="shared" si="42"/>
        <v>115</v>
      </c>
      <c r="AD120" s="49">
        <f t="shared" si="48"/>
        <v>3470</v>
      </c>
      <c r="AE120" s="78">
        <f t="shared" si="43"/>
        <v>0</v>
      </c>
      <c r="AF120" s="78">
        <f t="shared" ca="1" si="49"/>
        <v>0</v>
      </c>
      <c r="AG120" s="78">
        <f ca="1">IFERROR(IF(AC120=0,0, PPMT(Refi_I_Adj,'Loan Amort Table'!AC120,Refi_Amort_Periods,Refi_Orig_Loan_Amount)),0)</f>
        <v>0</v>
      </c>
      <c r="AH120" s="78">
        <f t="shared" ca="1" si="34"/>
        <v>0</v>
      </c>
      <c r="AI120" s="78">
        <f t="shared" ca="1" si="50"/>
        <v>0</v>
      </c>
    </row>
    <row r="121" spans="1:35" x14ac:dyDescent="0.25">
      <c r="A121">
        <f t="shared" si="30"/>
        <v>10</v>
      </c>
      <c r="B121">
        <f t="shared" si="35"/>
        <v>116</v>
      </c>
      <c r="C121" s="49">
        <f t="shared" si="52"/>
        <v>3501</v>
      </c>
      <c r="D121" s="78">
        <f>IF(C121&gt;EDATE(DATE(YEAR(SED_Origination_Date)+ SED_Amort, MONTH(SED_Origination_Date), DAY(SED_Origination_Date)),SED_Interest_Only),0,H120)</f>
        <v>0</v>
      </c>
      <c r="E121" s="78">
        <f t="shared" si="36"/>
        <v>0</v>
      </c>
      <c r="F121" s="78">
        <f>IFERROR(IF(OR(B121=0, C121&gt;=Refi_Origination_Date),0, PPMT(SED_I_Adj,'Loan Amort Table'!B121,SED_Amort_Periods,SED_Orig_Loan_Amount)),0)</f>
        <v>0</v>
      </c>
      <c r="G121" s="78" cm="1">
        <f t="array" ref="G121">IFERROR(_xlfn.IFS(C121&gt;=Refi_Origination_Date, 0, SED_Amort = 0, -D121 * SED_I_Adj, 1, IPMT(SED_I_Adj,IF(B121 = 0, 1, B121),SED_Amort_Periods,SED_Orig_Loan_Amount)),0)</f>
        <v>0</v>
      </c>
      <c r="H121" s="78">
        <f t="shared" si="51"/>
        <v>0</v>
      </c>
      <c r="J121">
        <f t="shared" si="31"/>
        <v>10</v>
      </c>
      <c r="K121">
        <f t="shared" si="37"/>
        <v>116</v>
      </c>
      <c r="L121" s="49">
        <f t="shared" si="44"/>
        <v>3501</v>
      </c>
      <c r="M121" s="78">
        <f>IF(L121&gt;EDATE(DATE(YEAR(NEW_Origination_Date)+ NEW_Amort, MONTH(NEW_Origination_Date), DAY(NEW_Origination_Date)),NEW_Interest_Only),0,Q120)</f>
        <v>0</v>
      </c>
      <c r="N121" s="78">
        <f t="shared" si="38"/>
        <v>0</v>
      </c>
      <c r="O121" s="78">
        <f>IFERROR(IF(K121=0,0, PPMT(NEW_I_Adj,'Loan Amort Table'!K121,NEW_Amort_Periods,NEW_Orig_Loan_Amount)),0)</f>
        <v>0</v>
      </c>
      <c r="P121" s="78">
        <f>IFERROR(IF(NEW_Amort = 0, -M121* NEW_I_Adj,IPMT(NEW_I_Adj,IF(K121 = 0, 1, K121),NEW_Amort_Periods,NEW_Orig_Loan_Amount)),0)</f>
        <v>0</v>
      </c>
      <c r="Q121" s="78">
        <f t="shared" si="39"/>
        <v>0</v>
      </c>
      <c r="S121">
        <f t="shared" si="32"/>
        <v>10</v>
      </c>
      <c r="T121">
        <f t="shared" si="40"/>
        <v>116</v>
      </c>
      <c r="U121" s="49">
        <f t="shared" si="45"/>
        <v>3501</v>
      </c>
      <c r="V121" s="78">
        <f t="shared" si="41"/>
        <v>0</v>
      </c>
      <c r="W121" s="78">
        <f t="shared" ca="1" si="46"/>
        <v>0</v>
      </c>
      <c r="X121" s="78">
        <f>IFERROR(IF(OR(T121=0, U121&gt;=Refi_Origination_Date),0, PPMT(Mezz_I_Adj,'Loan Amort Table'!T121,Mezz_Amort_Periods,Mezz_Orig_Loan_Amount)),0)</f>
        <v>0</v>
      </c>
      <c r="Y121" s="78" cm="1">
        <f t="array" aca="1" ref="Y121" ca="1">IFERROR(_xlfn.IFS(U121&gt;=Refi_Origination_Date,0, Mezz_Amort = 0, -V121 * Mezz_I_Adj, 1, IPMT(Mezz_I_Adj,IF(T121 = 0, 1, T121),Mezz_Amort_Periods,Mezz_Orig_Loan_Amount)),0)</f>
        <v>0</v>
      </c>
      <c r="Z121" s="78">
        <f t="shared" si="47"/>
        <v>0</v>
      </c>
      <c r="AB121">
        <f t="shared" si="33"/>
        <v>10</v>
      </c>
      <c r="AC121">
        <f t="shared" si="42"/>
        <v>116</v>
      </c>
      <c r="AD121" s="49">
        <f t="shared" si="48"/>
        <v>3501</v>
      </c>
      <c r="AE121" s="78">
        <f t="shared" si="43"/>
        <v>0</v>
      </c>
      <c r="AF121" s="78">
        <f t="shared" ca="1" si="49"/>
        <v>0</v>
      </c>
      <c r="AG121" s="78">
        <f ca="1">IFERROR(IF(AC121=0,0, PPMT(Refi_I_Adj,'Loan Amort Table'!AC121,Refi_Amort_Periods,Refi_Orig_Loan_Amount)),0)</f>
        <v>0</v>
      </c>
      <c r="AH121" s="78">
        <f t="shared" ca="1" si="34"/>
        <v>0</v>
      </c>
      <c r="AI121" s="78">
        <f t="shared" ca="1" si="50"/>
        <v>0</v>
      </c>
    </row>
    <row r="122" spans="1:35" x14ac:dyDescent="0.25">
      <c r="A122">
        <f t="shared" si="30"/>
        <v>10</v>
      </c>
      <c r="B122">
        <f t="shared" si="35"/>
        <v>117</v>
      </c>
      <c r="C122" s="49">
        <f t="shared" si="52"/>
        <v>3532</v>
      </c>
      <c r="D122" s="78">
        <f>IF(C122&gt;EDATE(DATE(YEAR(SED_Origination_Date)+ SED_Amort, MONTH(SED_Origination_Date), DAY(SED_Origination_Date)),SED_Interest_Only),0,H121)</f>
        <v>0</v>
      </c>
      <c r="E122" s="78">
        <f t="shared" si="36"/>
        <v>0</v>
      </c>
      <c r="F122" s="78">
        <f>IFERROR(IF(OR(B122=0, C122&gt;=Refi_Origination_Date),0, PPMT(SED_I_Adj,'Loan Amort Table'!B122,SED_Amort_Periods,SED_Orig_Loan_Amount)),0)</f>
        <v>0</v>
      </c>
      <c r="G122" s="78" cm="1">
        <f t="array" ref="G122">IFERROR(_xlfn.IFS(C122&gt;=Refi_Origination_Date, 0, SED_Amort = 0, -D122 * SED_I_Adj, 1, IPMT(SED_I_Adj,IF(B122 = 0, 1, B122),SED_Amort_Periods,SED_Orig_Loan_Amount)),0)</f>
        <v>0</v>
      </c>
      <c r="H122" s="78">
        <f t="shared" si="51"/>
        <v>0</v>
      </c>
      <c r="J122">
        <f t="shared" si="31"/>
        <v>10</v>
      </c>
      <c r="K122">
        <f t="shared" si="37"/>
        <v>117</v>
      </c>
      <c r="L122" s="49">
        <f t="shared" si="44"/>
        <v>3532</v>
      </c>
      <c r="M122" s="78">
        <f>IF(L122&gt;EDATE(DATE(YEAR(NEW_Origination_Date)+ NEW_Amort, MONTH(NEW_Origination_Date), DAY(NEW_Origination_Date)),NEW_Interest_Only),0,Q121)</f>
        <v>0</v>
      </c>
      <c r="N122" s="78">
        <f t="shared" si="38"/>
        <v>0</v>
      </c>
      <c r="O122" s="78">
        <f>IFERROR(IF(K122=0,0, PPMT(NEW_I_Adj,'Loan Amort Table'!K122,NEW_Amort_Periods,NEW_Orig_Loan_Amount)),0)</f>
        <v>0</v>
      </c>
      <c r="P122" s="78">
        <f>IFERROR(IF(NEW_Amort = 0, -M122* NEW_I_Adj,IPMT(NEW_I_Adj,IF(K122 = 0, 1, K122),NEW_Amort_Periods,NEW_Orig_Loan_Amount)),0)</f>
        <v>0</v>
      </c>
      <c r="Q122" s="78">
        <f t="shared" si="39"/>
        <v>0</v>
      </c>
      <c r="S122">
        <f t="shared" si="32"/>
        <v>10</v>
      </c>
      <c r="T122">
        <f t="shared" si="40"/>
        <v>117</v>
      </c>
      <c r="U122" s="49">
        <f t="shared" si="45"/>
        <v>3532</v>
      </c>
      <c r="V122" s="78">
        <f t="shared" si="41"/>
        <v>0</v>
      </c>
      <c r="W122" s="78">
        <f t="shared" ca="1" si="46"/>
        <v>0</v>
      </c>
      <c r="X122" s="78">
        <f>IFERROR(IF(OR(T122=0, U122&gt;=Refi_Origination_Date),0, PPMT(Mezz_I_Adj,'Loan Amort Table'!T122,Mezz_Amort_Periods,Mezz_Orig_Loan_Amount)),0)</f>
        <v>0</v>
      </c>
      <c r="Y122" s="78" cm="1">
        <f t="array" aca="1" ref="Y122" ca="1">IFERROR(_xlfn.IFS(U122&gt;=Refi_Origination_Date,0, Mezz_Amort = 0, -V122 * Mezz_I_Adj, 1, IPMT(Mezz_I_Adj,IF(T122 = 0, 1, T122),Mezz_Amort_Periods,Mezz_Orig_Loan_Amount)),0)</f>
        <v>0</v>
      </c>
      <c r="Z122" s="78">
        <f t="shared" si="47"/>
        <v>0</v>
      </c>
      <c r="AB122">
        <f t="shared" si="33"/>
        <v>10</v>
      </c>
      <c r="AC122">
        <f t="shared" si="42"/>
        <v>117</v>
      </c>
      <c r="AD122" s="49">
        <f t="shared" si="48"/>
        <v>3532</v>
      </c>
      <c r="AE122" s="78">
        <f t="shared" si="43"/>
        <v>0</v>
      </c>
      <c r="AF122" s="78">
        <f t="shared" ca="1" si="49"/>
        <v>0</v>
      </c>
      <c r="AG122" s="78">
        <f ca="1">IFERROR(IF(AC122=0,0, PPMT(Refi_I_Adj,'Loan Amort Table'!AC122,Refi_Amort_Periods,Refi_Orig_Loan_Amount)),0)</f>
        <v>0</v>
      </c>
      <c r="AH122" s="78">
        <f t="shared" ca="1" si="34"/>
        <v>0</v>
      </c>
      <c r="AI122" s="78">
        <f t="shared" ca="1" si="50"/>
        <v>0</v>
      </c>
    </row>
    <row r="123" spans="1:35" x14ac:dyDescent="0.25">
      <c r="A123">
        <f t="shared" si="30"/>
        <v>10</v>
      </c>
      <c r="B123">
        <f t="shared" si="35"/>
        <v>118</v>
      </c>
      <c r="C123" s="49">
        <f t="shared" si="52"/>
        <v>3562</v>
      </c>
      <c r="D123" s="78">
        <f>IF(C123&gt;EDATE(DATE(YEAR(SED_Origination_Date)+ SED_Amort, MONTH(SED_Origination_Date), DAY(SED_Origination_Date)),SED_Interest_Only),0,H122)</f>
        <v>0</v>
      </c>
      <c r="E123" s="78">
        <f t="shared" si="36"/>
        <v>0</v>
      </c>
      <c r="F123" s="78">
        <f>IFERROR(IF(OR(B123=0, C123&gt;=Refi_Origination_Date),0, PPMT(SED_I_Adj,'Loan Amort Table'!B123,SED_Amort_Periods,SED_Orig_Loan_Amount)),0)</f>
        <v>0</v>
      </c>
      <c r="G123" s="78" cm="1">
        <f t="array" ref="G123">IFERROR(_xlfn.IFS(C123&gt;=Refi_Origination_Date, 0, SED_Amort = 0, -D123 * SED_I_Adj, 1, IPMT(SED_I_Adj,IF(B123 = 0, 1, B123),SED_Amort_Periods,SED_Orig_Loan_Amount)),0)</f>
        <v>0</v>
      </c>
      <c r="H123" s="78">
        <f t="shared" si="51"/>
        <v>0</v>
      </c>
      <c r="J123">
        <f t="shared" si="31"/>
        <v>10</v>
      </c>
      <c r="K123">
        <f t="shared" si="37"/>
        <v>118</v>
      </c>
      <c r="L123" s="49">
        <f t="shared" si="44"/>
        <v>3562</v>
      </c>
      <c r="M123" s="78">
        <f>IF(L123&gt;EDATE(DATE(YEAR(NEW_Origination_Date)+ NEW_Amort, MONTH(NEW_Origination_Date), DAY(NEW_Origination_Date)),NEW_Interest_Only),0,Q122)</f>
        <v>0</v>
      </c>
      <c r="N123" s="78">
        <f t="shared" si="38"/>
        <v>0</v>
      </c>
      <c r="O123" s="78">
        <f>IFERROR(IF(K123=0,0, PPMT(NEW_I_Adj,'Loan Amort Table'!K123,NEW_Amort_Periods,NEW_Orig_Loan_Amount)),0)</f>
        <v>0</v>
      </c>
      <c r="P123" s="78">
        <f>IFERROR(IF(NEW_Amort = 0, -M123* NEW_I_Adj,IPMT(NEW_I_Adj,IF(K123 = 0, 1, K123),NEW_Amort_Periods,NEW_Orig_Loan_Amount)),0)</f>
        <v>0</v>
      </c>
      <c r="Q123" s="78">
        <f t="shared" si="39"/>
        <v>0</v>
      </c>
      <c r="S123">
        <f t="shared" si="32"/>
        <v>10</v>
      </c>
      <c r="T123">
        <f t="shared" si="40"/>
        <v>118</v>
      </c>
      <c r="U123" s="49">
        <f t="shared" si="45"/>
        <v>3562</v>
      </c>
      <c r="V123" s="78">
        <f t="shared" si="41"/>
        <v>0</v>
      </c>
      <c r="W123" s="78">
        <f t="shared" ca="1" si="46"/>
        <v>0</v>
      </c>
      <c r="X123" s="78">
        <f>IFERROR(IF(OR(T123=0, U123&gt;=Refi_Origination_Date),0, PPMT(Mezz_I_Adj,'Loan Amort Table'!T123,Mezz_Amort_Periods,Mezz_Orig_Loan_Amount)),0)</f>
        <v>0</v>
      </c>
      <c r="Y123" s="78" cm="1">
        <f t="array" aca="1" ref="Y123" ca="1">IFERROR(_xlfn.IFS(U123&gt;=Refi_Origination_Date,0, Mezz_Amort = 0, -V123 * Mezz_I_Adj, 1, IPMT(Mezz_I_Adj,IF(T123 = 0, 1, T123),Mezz_Amort_Periods,Mezz_Orig_Loan_Amount)),0)</f>
        <v>0</v>
      </c>
      <c r="Z123" s="78">
        <f t="shared" si="47"/>
        <v>0</v>
      </c>
      <c r="AB123">
        <f t="shared" si="33"/>
        <v>10</v>
      </c>
      <c r="AC123">
        <f t="shared" si="42"/>
        <v>118</v>
      </c>
      <c r="AD123" s="49">
        <f t="shared" si="48"/>
        <v>3562</v>
      </c>
      <c r="AE123" s="78">
        <f t="shared" si="43"/>
        <v>0</v>
      </c>
      <c r="AF123" s="78">
        <f t="shared" ca="1" si="49"/>
        <v>0</v>
      </c>
      <c r="AG123" s="78">
        <f ca="1">IFERROR(IF(AC123=0,0, PPMT(Refi_I_Adj,'Loan Amort Table'!AC123,Refi_Amort_Periods,Refi_Orig_Loan_Amount)),0)</f>
        <v>0</v>
      </c>
      <c r="AH123" s="78">
        <f t="shared" ca="1" si="34"/>
        <v>0</v>
      </c>
      <c r="AI123" s="78">
        <f t="shared" ca="1" si="50"/>
        <v>0</v>
      </c>
    </row>
    <row r="124" spans="1:35" x14ac:dyDescent="0.25">
      <c r="A124">
        <f t="shared" si="30"/>
        <v>10</v>
      </c>
      <c r="B124">
        <f t="shared" si="35"/>
        <v>119</v>
      </c>
      <c r="C124" s="49">
        <f t="shared" si="52"/>
        <v>3593</v>
      </c>
      <c r="D124" s="78">
        <f>IF(C124&gt;EDATE(DATE(YEAR(SED_Origination_Date)+ SED_Amort, MONTH(SED_Origination_Date), DAY(SED_Origination_Date)),SED_Interest_Only),0,H123)</f>
        <v>0</v>
      </c>
      <c r="E124" s="78">
        <f t="shared" si="36"/>
        <v>0</v>
      </c>
      <c r="F124" s="78">
        <f>IFERROR(IF(OR(B124=0, C124&gt;=Refi_Origination_Date),0, PPMT(SED_I_Adj,'Loan Amort Table'!B124,SED_Amort_Periods,SED_Orig_Loan_Amount)),0)</f>
        <v>0</v>
      </c>
      <c r="G124" s="78" cm="1">
        <f t="array" ref="G124">IFERROR(_xlfn.IFS(C124&gt;=Refi_Origination_Date, 0, SED_Amort = 0, -D124 * SED_I_Adj, 1, IPMT(SED_I_Adj,IF(B124 = 0, 1, B124),SED_Amort_Periods,SED_Orig_Loan_Amount)),0)</f>
        <v>0</v>
      </c>
      <c r="H124" s="78">
        <f t="shared" si="51"/>
        <v>0</v>
      </c>
      <c r="J124">
        <f t="shared" si="31"/>
        <v>10</v>
      </c>
      <c r="K124">
        <f t="shared" si="37"/>
        <v>119</v>
      </c>
      <c r="L124" s="49">
        <f t="shared" si="44"/>
        <v>3593</v>
      </c>
      <c r="M124" s="78">
        <f>IF(L124&gt;EDATE(DATE(YEAR(NEW_Origination_Date)+ NEW_Amort, MONTH(NEW_Origination_Date), DAY(NEW_Origination_Date)),NEW_Interest_Only),0,Q123)</f>
        <v>0</v>
      </c>
      <c r="N124" s="78">
        <f t="shared" si="38"/>
        <v>0</v>
      </c>
      <c r="O124" s="78">
        <f>IFERROR(IF(K124=0,0, PPMT(NEW_I_Adj,'Loan Amort Table'!K124,NEW_Amort_Periods,NEW_Orig_Loan_Amount)),0)</f>
        <v>0</v>
      </c>
      <c r="P124" s="78">
        <f>IFERROR(IF(NEW_Amort = 0, -M124* NEW_I_Adj,IPMT(NEW_I_Adj,IF(K124 = 0, 1, K124),NEW_Amort_Periods,NEW_Orig_Loan_Amount)),0)</f>
        <v>0</v>
      </c>
      <c r="Q124" s="78">
        <f t="shared" si="39"/>
        <v>0</v>
      </c>
      <c r="S124">
        <f t="shared" si="32"/>
        <v>10</v>
      </c>
      <c r="T124">
        <f t="shared" si="40"/>
        <v>119</v>
      </c>
      <c r="U124" s="49">
        <f t="shared" si="45"/>
        <v>3593</v>
      </c>
      <c r="V124" s="78">
        <f t="shared" si="41"/>
        <v>0</v>
      </c>
      <c r="W124" s="78">
        <f t="shared" ca="1" si="46"/>
        <v>0</v>
      </c>
      <c r="X124" s="78">
        <f>IFERROR(IF(OR(T124=0, U124&gt;=Refi_Origination_Date),0, PPMT(Mezz_I_Adj,'Loan Amort Table'!T124,Mezz_Amort_Periods,Mezz_Orig_Loan_Amount)),0)</f>
        <v>0</v>
      </c>
      <c r="Y124" s="78" cm="1">
        <f t="array" aca="1" ref="Y124" ca="1">IFERROR(_xlfn.IFS(U124&gt;=Refi_Origination_Date,0, Mezz_Amort = 0, -V124 * Mezz_I_Adj, 1, IPMT(Mezz_I_Adj,IF(T124 = 0, 1, T124),Mezz_Amort_Periods,Mezz_Orig_Loan_Amount)),0)</f>
        <v>0</v>
      </c>
      <c r="Z124" s="78">
        <f t="shared" si="47"/>
        <v>0</v>
      </c>
      <c r="AB124">
        <f t="shared" si="33"/>
        <v>10</v>
      </c>
      <c r="AC124">
        <f t="shared" si="42"/>
        <v>119</v>
      </c>
      <c r="AD124" s="49">
        <f t="shared" si="48"/>
        <v>3593</v>
      </c>
      <c r="AE124" s="78">
        <f t="shared" si="43"/>
        <v>0</v>
      </c>
      <c r="AF124" s="78">
        <f t="shared" ca="1" si="49"/>
        <v>0</v>
      </c>
      <c r="AG124" s="78">
        <f ca="1">IFERROR(IF(AC124=0,0, PPMT(Refi_I_Adj,'Loan Amort Table'!AC124,Refi_Amort_Periods,Refi_Orig_Loan_Amount)),0)</f>
        <v>0</v>
      </c>
      <c r="AH124" s="78">
        <f t="shared" ca="1" si="34"/>
        <v>0</v>
      </c>
      <c r="AI124" s="78">
        <f t="shared" ca="1" si="50"/>
        <v>0</v>
      </c>
    </row>
    <row r="125" spans="1:35" x14ac:dyDescent="0.25">
      <c r="A125">
        <f t="shared" si="30"/>
        <v>10</v>
      </c>
      <c r="B125">
        <f t="shared" si="35"/>
        <v>120</v>
      </c>
      <c r="C125" s="49">
        <f t="shared" si="52"/>
        <v>3623</v>
      </c>
      <c r="D125" s="78">
        <f>IF(C125&gt;EDATE(DATE(YEAR(SED_Origination_Date)+ SED_Amort, MONTH(SED_Origination_Date), DAY(SED_Origination_Date)),SED_Interest_Only),0,H124)</f>
        <v>0</v>
      </c>
      <c r="E125" s="78">
        <f t="shared" si="36"/>
        <v>0</v>
      </c>
      <c r="F125" s="78">
        <f>IFERROR(IF(OR(B125=0, C125&gt;=Refi_Origination_Date),0, PPMT(SED_I_Adj,'Loan Amort Table'!B125,SED_Amort_Periods,SED_Orig_Loan_Amount)),0)</f>
        <v>0</v>
      </c>
      <c r="G125" s="78" cm="1">
        <f t="array" ref="G125">IFERROR(_xlfn.IFS(C125&gt;=Refi_Origination_Date, 0, SED_Amort = 0, -D125 * SED_I_Adj, 1, IPMT(SED_I_Adj,IF(B125 = 0, 1, B125),SED_Amort_Periods,SED_Orig_Loan_Amount)),0)</f>
        <v>0</v>
      </c>
      <c r="H125" s="78">
        <f t="shared" si="51"/>
        <v>0</v>
      </c>
      <c r="J125">
        <f t="shared" si="31"/>
        <v>10</v>
      </c>
      <c r="K125">
        <f t="shared" si="37"/>
        <v>120</v>
      </c>
      <c r="L125" s="49">
        <f t="shared" si="44"/>
        <v>3623</v>
      </c>
      <c r="M125" s="78">
        <f>IF(L125&gt;EDATE(DATE(YEAR(NEW_Origination_Date)+ NEW_Amort, MONTH(NEW_Origination_Date), DAY(NEW_Origination_Date)),NEW_Interest_Only),0,Q124)</f>
        <v>0</v>
      </c>
      <c r="N125" s="78">
        <f t="shared" si="38"/>
        <v>0</v>
      </c>
      <c r="O125" s="78">
        <f>IFERROR(IF(K125=0,0, PPMT(NEW_I_Adj,'Loan Amort Table'!K125,NEW_Amort_Periods,NEW_Orig_Loan_Amount)),0)</f>
        <v>0</v>
      </c>
      <c r="P125" s="78">
        <f>IFERROR(IF(NEW_Amort = 0, -M125* NEW_I_Adj,IPMT(NEW_I_Adj,IF(K125 = 0, 1, K125),NEW_Amort_Periods,NEW_Orig_Loan_Amount)),0)</f>
        <v>0</v>
      </c>
      <c r="Q125" s="78">
        <f t="shared" si="39"/>
        <v>0</v>
      </c>
      <c r="S125">
        <f t="shared" si="32"/>
        <v>10</v>
      </c>
      <c r="T125">
        <f t="shared" si="40"/>
        <v>120</v>
      </c>
      <c r="U125" s="49">
        <f t="shared" si="45"/>
        <v>3623</v>
      </c>
      <c r="V125" s="78">
        <f t="shared" si="41"/>
        <v>0</v>
      </c>
      <c r="W125" s="78">
        <f t="shared" ca="1" si="46"/>
        <v>0</v>
      </c>
      <c r="X125" s="78">
        <f>IFERROR(IF(OR(T125=0, U125&gt;=Refi_Origination_Date),0, PPMT(Mezz_I_Adj,'Loan Amort Table'!T125,Mezz_Amort_Periods,Mezz_Orig_Loan_Amount)),0)</f>
        <v>0</v>
      </c>
      <c r="Y125" s="78" cm="1">
        <f t="array" aca="1" ref="Y125" ca="1">IFERROR(_xlfn.IFS(U125&gt;=Refi_Origination_Date,0, Mezz_Amort = 0, -V125 * Mezz_I_Adj, 1, IPMT(Mezz_I_Adj,IF(T125 = 0, 1, T125),Mezz_Amort_Periods,Mezz_Orig_Loan_Amount)),0)</f>
        <v>0</v>
      </c>
      <c r="Z125" s="78">
        <f t="shared" si="47"/>
        <v>0</v>
      </c>
      <c r="AB125">
        <f t="shared" si="33"/>
        <v>10</v>
      </c>
      <c r="AC125">
        <f t="shared" si="42"/>
        <v>120</v>
      </c>
      <c r="AD125" s="49">
        <f t="shared" si="48"/>
        <v>3623</v>
      </c>
      <c r="AE125" s="78">
        <f t="shared" si="43"/>
        <v>0</v>
      </c>
      <c r="AF125" s="78">
        <f t="shared" ca="1" si="49"/>
        <v>0</v>
      </c>
      <c r="AG125" s="78">
        <f ca="1">IFERROR(IF(AC125=0,0, PPMT(Refi_I_Adj,'Loan Amort Table'!AC125,Refi_Amort_Periods,Refi_Orig_Loan_Amount)),0)</f>
        <v>0</v>
      </c>
      <c r="AH125" s="78">
        <f t="shared" ca="1" si="34"/>
        <v>0</v>
      </c>
      <c r="AI125" s="78">
        <f t="shared" ca="1" si="50"/>
        <v>0</v>
      </c>
    </row>
    <row r="126" spans="1:35" x14ac:dyDescent="0.25">
      <c r="A126">
        <f t="shared" si="30"/>
        <v>11</v>
      </c>
      <c r="B126">
        <f t="shared" si="35"/>
        <v>121</v>
      </c>
      <c r="C126" s="49">
        <f t="shared" si="52"/>
        <v>3654</v>
      </c>
      <c r="D126" s="78">
        <f>IF(C126&gt;EDATE(DATE(YEAR(SED_Origination_Date)+ SED_Amort, MONTH(SED_Origination_Date), DAY(SED_Origination_Date)),SED_Interest_Only),0,H125)</f>
        <v>0</v>
      </c>
      <c r="E126" s="78">
        <f t="shared" si="36"/>
        <v>0</v>
      </c>
      <c r="F126" s="78">
        <f>IFERROR(IF(OR(B126=0, C126&gt;=Refi_Origination_Date),0, PPMT(SED_I_Adj,'Loan Amort Table'!B126,SED_Amort_Periods,SED_Orig_Loan_Amount)),0)</f>
        <v>0</v>
      </c>
      <c r="G126" s="78" cm="1">
        <f t="array" ref="G126">IFERROR(_xlfn.IFS(C126&gt;=Refi_Origination_Date, 0, SED_Amort = 0, -D126 * SED_I_Adj, 1, IPMT(SED_I_Adj,IF(B126 = 0, 1, B126),SED_Amort_Periods,SED_Orig_Loan_Amount)),0)</f>
        <v>0</v>
      </c>
      <c r="H126" s="78">
        <f t="shared" si="51"/>
        <v>0</v>
      </c>
      <c r="J126">
        <f t="shared" si="31"/>
        <v>11</v>
      </c>
      <c r="K126">
        <f t="shared" si="37"/>
        <v>121</v>
      </c>
      <c r="L126" s="49">
        <f t="shared" si="44"/>
        <v>3654</v>
      </c>
      <c r="M126" s="78">
        <f>IF(L126&gt;EDATE(DATE(YEAR(NEW_Origination_Date)+ NEW_Amort, MONTH(NEW_Origination_Date), DAY(NEW_Origination_Date)),NEW_Interest_Only),0,Q125)</f>
        <v>0</v>
      </c>
      <c r="N126" s="78">
        <f t="shared" si="38"/>
        <v>0</v>
      </c>
      <c r="O126" s="78">
        <f>IFERROR(IF(K126=0,0, PPMT(NEW_I_Adj,'Loan Amort Table'!K126,NEW_Amort_Periods,NEW_Orig_Loan_Amount)),0)</f>
        <v>0</v>
      </c>
      <c r="P126" s="78">
        <f>IFERROR(IF(NEW_Amort = 0, -M126* NEW_I_Adj,IPMT(NEW_I_Adj,IF(K126 = 0, 1, K126),NEW_Amort_Periods,NEW_Orig_Loan_Amount)),0)</f>
        <v>0</v>
      </c>
      <c r="Q126" s="78">
        <f t="shared" si="39"/>
        <v>0</v>
      </c>
      <c r="S126">
        <f t="shared" si="32"/>
        <v>11</v>
      </c>
      <c r="T126">
        <f t="shared" si="40"/>
        <v>121</v>
      </c>
      <c r="U126" s="49">
        <f t="shared" si="45"/>
        <v>3654</v>
      </c>
      <c r="V126" s="78">
        <f t="shared" si="41"/>
        <v>0</v>
      </c>
      <c r="W126" s="78">
        <f t="shared" ca="1" si="46"/>
        <v>0</v>
      </c>
      <c r="X126" s="78">
        <f>IFERROR(IF(OR(T126=0, U126&gt;=Refi_Origination_Date),0, PPMT(Mezz_I_Adj,'Loan Amort Table'!T126,Mezz_Amort_Periods,Mezz_Orig_Loan_Amount)),0)</f>
        <v>0</v>
      </c>
      <c r="Y126" s="78" cm="1">
        <f t="array" aca="1" ref="Y126" ca="1">IFERROR(_xlfn.IFS(U126&gt;=Refi_Origination_Date,0, Mezz_Amort = 0, -V126 * Mezz_I_Adj, 1, IPMT(Mezz_I_Adj,IF(T126 = 0, 1, T126),Mezz_Amort_Periods,Mezz_Orig_Loan_Amount)),0)</f>
        <v>0</v>
      </c>
      <c r="Z126" s="78">
        <f t="shared" si="47"/>
        <v>0</v>
      </c>
      <c r="AB126">
        <f t="shared" si="33"/>
        <v>11</v>
      </c>
      <c r="AC126">
        <f t="shared" si="42"/>
        <v>121</v>
      </c>
      <c r="AD126" s="49">
        <f t="shared" si="48"/>
        <v>3654</v>
      </c>
      <c r="AE126" s="78">
        <f t="shared" si="43"/>
        <v>0</v>
      </c>
      <c r="AF126" s="78">
        <f t="shared" ca="1" si="49"/>
        <v>0</v>
      </c>
      <c r="AG126" s="78">
        <f ca="1">IFERROR(IF(AC126=0,0, PPMT(Refi_I_Adj,'Loan Amort Table'!AC126,Refi_Amort_Periods,Refi_Orig_Loan_Amount)),0)</f>
        <v>0</v>
      </c>
      <c r="AH126" s="78">
        <f t="shared" ca="1" si="34"/>
        <v>0</v>
      </c>
      <c r="AI126" s="78">
        <f t="shared" ca="1" si="50"/>
        <v>0</v>
      </c>
    </row>
    <row r="127" spans="1:35" x14ac:dyDescent="0.25">
      <c r="A127">
        <f t="shared" si="30"/>
        <v>11</v>
      </c>
      <c r="B127">
        <f t="shared" si="35"/>
        <v>122</v>
      </c>
      <c r="C127" s="49">
        <f t="shared" si="52"/>
        <v>3685</v>
      </c>
      <c r="D127" s="78">
        <f>IF(C127&gt;EDATE(DATE(YEAR(SED_Origination_Date)+ SED_Amort, MONTH(SED_Origination_Date), DAY(SED_Origination_Date)),SED_Interest_Only),0,H126)</f>
        <v>0</v>
      </c>
      <c r="E127" s="78">
        <f t="shared" si="36"/>
        <v>0</v>
      </c>
      <c r="F127" s="78">
        <f>IFERROR(IF(OR(B127=0, C127&gt;=Refi_Origination_Date),0, PPMT(SED_I_Adj,'Loan Amort Table'!B127,SED_Amort_Periods,SED_Orig_Loan_Amount)),0)</f>
        <v>0</v>
      </c>
      <c r="G127" s="78" cm="1">
        <f t="array" ref="G127">IFERROR(_xlfn.IFS(C127&gt;=Refi_Origination_Date, 0, SED_Amort = 0, -D127 * SED_I_Adj, 1, IPMT(SED_I_Adj,IF(B127 = 0, 1, B127),SED_Amort_Periods,SED_Orig_Loan_Amount)),0)</f>
        <v>0</v>
      </c>
      <c r="H127" s="78">
        <f t="shared" si="51"/>
        <v>0</v>
      </c>
      <c r="J127">
        <f t="shared" si="31"/>
        <v>11</v>
      </c>
      <c r="K127">
        <f t="shared" si="37"/>
        <v>122</v>
      </c>
      <c r="L127" s="49">
        <f t="shared" si="44"/>
        <v>3685</v>
      </c>
      <c r="M127" s="78">
        <f>IF(L127&gt;EDATE(DATE(YEAR(NEW_Origination_Date)+ NEW_Amort, MONTH(NEW_Origination_Date), DAY(NEW_Origination_Date)),NEW_Interest_Only),0,Q126)</f>
        <v>0</v>
      </c>
      <c r="N127" s="78">
        <f t="shared" si="38"/>
        <v>0</v>
      </c>
      <c r="O127" s="78">
        <f>IFERROR(IF(K127=0,0, PPMT(NEW_I_Adj,'Loan Amort Table'!K127,NEW_Amort_Periods,NEW_Orig_Loan_Amount)),0)</f>
        <v>0</v>
      </c>
      <c r="P127" s="78">
        <f>IFERROR(IF(NEW_Amort = 0, -M127* NEW_I_Adj,IPMT(NEW_I_Adj,IF(K127 = 0, 1, K127),NEW_Amort_Periods,NEW_Orig_Loan_Amount)),0)</f>
        <v>0</v>
      </c>
      <c r="Q127" s="78">
        <f t="shared" si="39"/>
        <v>0</v>
      </c>
      <c r="S127">
        <f t="shared" si="32"/>
        <v>11</v>
      </c>
      <c r="T127">
        <f t="shared" si="40"/>
        <v>122</v>
      </c>
      <c r="U127" s="49">
        <f t="shared" si="45"/>
        <v>3685</v>
      </c>
      <c r="V127" s="78">
        <f t="shared" si="41"/>
        <v>0</v>
      </c>
      <c r="W127" s="78">
        <f t="shared" ca="1" si="46"/>
        <v>0</v>
      </c>
      <c r="X127" s="78">
        <f>IFERROR(IF(OR(T127=0, U127&gt;=Refi_Origination_Date),0, PPMT(Mezz_I_Adj,'Loan Amort Table'!T127,Mezz_Amort_Periods,Mezz_Orig_Loan_Amount)),0)</f>
        <v>0</v>
      </c>
      <c r="Y127" s="78" cm="1">
        <f t="array" aca="1" ref="Y127" ca="1">IFERROR(_xlfn.IFS(U127&gt;=Refi_Origination_Date,0, Mezz_Amort = 0, -V127 * Mezz_I_Adj, 1, IPMT(Mezz_I_Adj,IF(T127 = 0, 1, T127),Mezz_Amort_Periods,Mezz_Orig_Loan_Amount)),0)</f>
        <v>0</v>
      </c>
      <c r="Z127" s="78">
        <f t="shared" si="47"/>
        <v>0</v>
      </c>
      <c r="AB127">
        <f t="shared" si="33"/>
        <v>11</v>
      </c>
      <c r="AC127">
        <f t="shared" si="42"/>
        <v>122</v>
      </c>
      <c r="AD127" s="49">
        <f t="shared" si="48"/>
        <v>3685</v>
      </c>
      <c r="AE127" s="78">
        <f t="shared" si="43"/>
        <v>0</v>
      </c>
      <c r="AF127" s="78">
        <f t="shared" ref="AF127" ca="1" si="53">AG127+AH127</f>
        <v>0</v>
      </c>
      <c r="AG127" s="78">
        <f ca="1">IFERROR(IF(AC127=0,0, PPMT(Refi_I_Adj,'Loan Amort Table'!AC127,Refi_Amort_Periods,Refi_Orig_Loan_Amount)),0)</f>
        <v>0</v>
      </c>
      <c r="AH127" s="78">
        <f t="shared" ca="1" si="34"/>
        <v>0</v>
      </c>
      <c r="AI127" s="78">
        <f t="shared" ref="AI127" ca="1" si="54">AE127+AG127</f>
        <v>0</v>
      </c>
    </row>
    <row r="128" spans="1:35" x14ac:dyDescent="0.25">
      <c r="A128">
        <f t="shared" si="30"/>
        <v>11</v>
      </c>
      <c r="B128">
        <f t="shared" si="35"/>
        <v>123</v>
      </c>
      <c r="C128" s="49">
        <f t="shared" si="52"/>
        <v>3713</v>
      </c>
      <c r="D128" s="78">
        <f>IF(C128&gt;EDATE(DATE(YEAR(SED_Origination_Date)+ SED_Amort, MONTH(SED_Origination_Date), DAY(SED_Origination_Date)),SED_Interest_Only),0,H127)</f>
        <v>0</v>
      </c>
      <c r="E128" s="78">
        <f t="shared" si="36"/>
        <v>0</v>
      </c>
      <c r="F128" s="78">
        <f>IFERROR(IF(OR(B128=0, C128&gt;=Refi_Origination_Date),0, PPMT(SED_I_Adj,'Loan Amort Table'!B128,SED_Amort_Periods,SED_Orig_Loan_Amount)),0)</f>
        <v>0</v>
      </c>
      <c r="G128" s="78" cm="1">
        <f t="array" ref="G128">IFERROR(_xlfn.IFS(C128&gt;=Refi_Origination_Date, 0, SED_Amort = 0, -D128 * SED_I_Adj, 1, IPMT(SED_I_Adj,IF(B128 = 0, 1, B128),SED_Amort_Periods,SED_Orig_Loan_Amount)),0)</f>
        <v>0</v>
      </c>
      <c r="H128" s="78">
        <f t="shared" si="51"/>
        <v>0</v>
      </c>
      <c r="J128">
        <f t="shared" si="31"/>
        <v>11</v>
      </c>
      <c r="K128">
        <f t="shared" si="37"/>
        <v>123</v>
      </c>
      <c r="L128" s="49">
        <f t="shared" si="44"/>
        <v>3713</v>
      </c>
      <c r="M128" s="78">
        <f>IF(L128&gt;EDATE(DATE(YEAR(NEW_Origination_Date)+ NEW_Amort, MONTH(NEW_Origination_Date), DAY(NEW_Origination_Date)),NEW_Interest_Only),0,Q127)</f>
        <v>0</v>
      </c>
      <c r="N128" s="78">
        <f t="shared" si="38"/>
        <v>0</v>
      </c>
      <c r="O128" s="78">
        <f>IFERROR(IF(K128=0,0, PPMT(NEW_I_Adj,'Loan Amort Table'!K128,NEW_Amort_Periods,NEW_Orig_Loan_Amount)),0)</f>
        <v>0</v>
      </c>
      <c r="P128" s="78">
        <f>IFERROR(IF(NEW_Amort = 0, -M128* NEW_I_Adj,IPMT(NEW_I_Adj,IF(K128 = 0, 1, K128),NEW_Amort_Periods,NEW_Orig_Loan_Amount)),0)</f>
        <v>0</v>
      </c>
      <c r="Q128" s="78">
        <f t="shared" si="39"/>
        <v>0</v>
      </c>
      <c r="S128">
        <f t="shared" si="32"/>
        <v>11</v>
      </c>
      <c r="T128">
        <f t="shared" si="40"/>
        <v>123</v>
      </c>
      <c r="U128" s="49">
        <f t="shared" si="45"/>
        <v>3713</v>
      </c>
      <c r="V128" s="78">
        <f t="shared" si="41"/>
        <v>0</v>
      </c>
      <c r="W128" s="78">
        <f t="shared" ca="1" si="46"/>
        <v>0</v>
      </c>
      <c r="X128" s="78">
        <f>IFERROR(IF(OR(T128=0, U128&gt;=Refi_Origination_Date),0, PPMT(Mezz_I_Adj,'Loan Amort Table'!T128,Mezz_Amort_Periods,Mezz_Orig_Loan_Amount)),0)</f>
        <v>0</v>
      </c>
      <c r="Y128" s="78" cm="1">
        <f t="array" aca="1" ref="Y128" ca="1">IFERROR(_xlfn.IFS(U128&gt;=Refi_Origination_Date,0, Mezz_Amort = 0, -V128 * Mezz_I_Adj, 1, IPMT(Mezz_I_Adj,IF(T128 = 0, 1, T128),Mezz_Amort_Periods,Mezz_Orig_Loan_Amount)),0)</f>
        <v>0</v>
      </c>
      <c r="Z128" s="78">
        <f t="shared" si="47"/>
        <v>0</v>
      </c>
      <c r="AB128">
        <f t="shared" si="33"/>
        <v>11</v>
      </c>
      <c r="AC128">
        <f t="shared" si="42"/>
        <v>123</v>
      </c>
      <c r="AD128" s="49">
        <f t="shared" si="48"/>
        <v>3713</v>
      </c>
      <c r="AE128" s="78">
        <f t="shared" si="43"/>
        <v>0</v>
      </c>
      <c r="AF128" s="78">
        <f t="shared" ca="1" si="49"/>
        <v>0</v>
      </c>
      <c r="AG128" s="78">
        <f ca="1">IFERROR(IF(AC128=0,0, PPMT(Refi_I_Adj,'Loan Amort Table'!AC128,Refi_Amort_Periods,Refi_Orig_Loan_Amount)),0)</f>
        <v>0</v>
      </c>
      <c r="AH128" s="78">
        <f t="shared" ca="1" si="34"/>
        <v>0</v>
      </c>
      <c r="AI128" s="78">
        <f t="shared" ca="1" si="50"/>
        <v>0</v>
      </c>
    </row>
    <row r="129" spans="1:35" x14ac:dyDescent="0.25">
      <c r="A129">
        <f t="shared" si="30"/>
        <v>11</v>
      </c>
      <c r="B129">
        <f t="shared" si="35"/>
        <v>124</v>
      </c>
      <c r="C129" s="49">
        <f t="shared" si="52"/>
        <v>3744</v>
      </c>
      <c r="D129" s="78">
        <f>IF(C129&gt;EDATE(DATE(YEAR(SED_Origination_Date)+ SED_Amort, MONTH(SED_Origination_Date), DAY(SED_Origination_Date)),SED_Interest_Only),0,H128)</f>
        <v>0</v>
      </c>
      <c r="E129" s="78">
        <f t="shared" si="36"/>
        <v>0</v>
      </c>
      <c r="F129" s="78">
        <f>IFERROR(IF(OR(B129=0, C129&gt;=Refi_Origination_Date),0, PPMT(SED_I_Adj,'Loan Amort Table'!B129,SED_Amort_Periods,SED_Orig_Loan_Amount)),0)</f>
        <v>0</v>
      </c>
      <c r="G129" s="78" cm="1">
        <f t="array" ref="G129">IFERROR(_xlfn.IFS(C129&gt;=Refi_Origination_Date, 0, SED_Amort = 0, -D129 * SED_I_Adj, 1, IPMT(SED_I_Adj,IF(B129 = 0, 1, B129),SED_Amort_Periods,SED_Orig_Loan_Amount)),0)</f>
        <v>0</v>
      </c>
      <c r="H129" s="78">
        <f t="shared" si="51"/>
        <v>0</v>
      </c>
      <c r="J129">
        <f t="shared" si="31"/>
        <v>11</v>
      </c>
      <c r="K129">
        <f t="shared" si="37"/>
        <v>124</v>
      </c>
      <c r="L129" s="49">
        <f t="shared" si="44"/>
        <v>3744</v>
      </c>
      <c r="M129" s="78">
        <f>IF(L129&gt;EDATE(DATE(YEAR(NEW_Origination_Date)+ NEW_Amort, MONTH(NEW_Origination_Date), DAY(NEW_Origination_Date)),NEW_Interest_Only),0,Q128)</f>
        <v>0</v>
      </c>
      <c r="N129" s="78">
        <f t="shared" si="38"/>
        <v>0</v>
      </c>
      <c r="O129" s="78">
        <f>IFERROR(IF(K129=0,0, PPMT(NEW_I_Adj,'Loan Amort Table'!K129,NEW_Amort_Periods,NEW_Orig_Loan_Amount)),0)</f>
        <v>0</v>
      </c>
      <c r="P129" s="78">
        <f>IFERROR(IF(NEW_Amort = 0, -M129* NEW_I_Adj,IPMT(NEW_I_Adj,IF(K129 = 0, 1, K129),NEW_Amort_Periods,NEW_Orig_Loan_Amount)),0)</f>
        <v>0</v>
      </c>
      <c r="Q129" s="78">
        <f t="shared" si="39"/>
        <v>0</v>
      </c>
      <c r="S129">
        <f t="shared" si="32"/>
        <v>11</v>
      </c>
      <c r="T129">
        <f t="shared" si="40"/>
        <v>124</v>
      </c>
      <c r="U129" s="49">
        <f t="shared" si="45"/>
        <v>3744</v>
      </c>
      <c r="V129" s="78">
        <f t="shared" si="41"/>
        <v>0</v>
      </c>
      <c r="W129" s="78">
        <f t="shared" ca="1" si="46"/>
        <v>0</v>
      </c>
      <c r="X129" s="78">
        <f>IFERROR(IF(OR(T129=0, U129&gt;=Refi_Origination_Date),0, PPMT(Mezz_I_Adj,'Loan Amort Table'!T129,Mezz_Amort_Periods,Mezz_Orig_Loan_Amount)),0)</f>
        <v>0</v>
      </c>
      <c r="Y129" s="78" cm="1">
        <f t="array" aca="1" ref="Y129" ca="1">IFERROR(_xlfn.IFS(U129&gt;=Refi_Origination_Date,0, Mezz_Amort = 0, -V129 * Mezz_I_Adj, 1, IPMT(Mezz_I_Adj,IF(T129 = 0, 1, T129),Mezz_Amort_Periods,Mezz_Orig_Loan_Amount)),0)</f>
        <v>0</v>
      </c>
      <c r="Z129" s="78">
        <f t="shared" si="47"/>
        <v>0</v>
      </c>
      <c r="AB129">
        <f t="shared" si="33"/>
        <v>11</v>
      </c>
      <c r="AC129">
        <f t="shared" si="42"/>
        <v>124</v>
      </c>
      <c r="AD129" s="49">
        <f t="shared" si="48"/>
        <v>3744</v>
      </c>
      <c r="AE129" s="78">
        <f t="shared" si="43"/>
        <v>0</v>
      </c>
      <c r="AF129" s="78">
        <f t="shared" ca="1" si="49"/>
        <v>0</v>
      </c>
      <c r="AG129" s="78">
        <f ca="1">IFERROR(IF(AC129=0,0, PPMT(Refi_I_Adj,'Loan Amort Table'!AC129,Refi_Amort_Periods,Refi_Orig_Loan_Amount)),0)</f>
        <v>0</v>
      </c>
      <c r="AH129" s="78">
        <f t="shared" ca="1" si="34"/>
        <v>0</v>
      </c>
      <c r="AI129" s="78">
        <f t="shared" ca="1" si="50"/>
        <v>0</v>
      </c>
    </row>
    <row r="130" spans="1:35" x14ac:dyDescent="0.25">
      <c r="A130">
        <f t="shared" si="30"/>
        <v>11</v>
      </c>
      <c r="B130">
        <f t="shared" si="35"/>
        <v>125</v>
      </c>
      <c r="C130" s="49">
        <f t="shared" si="52"/>
        <v>3774</v>
      </c>
      <c r="D130" s="78">
        <f>IF(C130&gt;EDATE(DATE(YEAR(SED_Origination_Date)+ SED_Amort, MONTH(SED_Origination_Date), DAY(SED_Origination_Date)),SED_Interest_Only),0,H129)</f>
        <v>0</v>
      </c>
      <c r="E130" s="78">
        <f t="shared" si="36"/>
        <v>0</v>
      </c>
      <c r="F130" s="78">
        <f>IFERROR(IF(OR(B130=0, C130&gt;=Refi_Origination_Date),0, PPMT(SED_I_Adj,'Loan Amort Table'!B130,SED_Amort_Periods,SED_Orig_Loan_Amount)),0)</f>
        <v>0</v>
      </c>
      <c r="G130" s="78" cm="1">
        <f t="array" ref="G130">IFERROR(_xlfn.IFS(C130&gt;=Refi_Origination_Date, 0, SED_Amort = 0, -D130 * SED_I_Adj, 1, IPMT(SED_I_Adj,IF(B130 = 0, 1, B130),SED_Amort_Periods,SED_Orig_Loan_Amount)),0)</f>
        <v>0</v>
      </c>
      <c r="H130" s="78">
        <f t="shared" si="51"/>
        <v>0</v>
      </c>
      <c r="J130">
        <f t="shared" si="31"/>
        <v>11</v>
      </c>
      <c r="K130">
        <f t="shared" si="37"/>
        <v>125</v>
      </c>
      <c r="L130" s="49">
        <f t="shared" si="44"/>
        <v>3774</v>
      </c>
      <c r="M130" s="78">
        <f>IF(L130&gt;EDATE(DATE(YEAR(NEW_Origination_Date)+ NEW_Amort, MONTH(NEW_Origination_Date), DAY(NEW_Origination_Date)),NEW_Interest_Only),0,Q129)</f>
        <v>0</v>
      </c>
      <c r="N130" s="78">
        <f t="shared" si="38"/>
        <v>0</v>
      </c>
      <c r="O130" s="78">
        <f>IFERROR(IF(K130=0,0, PPMT(NEW_I_Adj,'Loan Amort Table'!K130,NEW_Amort_Periods,NEW_Orig_Loan_Amount)),0)</f>
        <v>0</v>
      </c>
      <c r="P130" s="78">
        <f>IFERROR(IF(NEW_Amort = 0, -M130* NEW_I_Adj,IPMT(NEW_I_Adj,IF(K130 = 0, 1, K130),NEW_Amort_Periods,NEW_Orig_Loan_Amount)),0)</f>
        <v>0</v>
      </c>
      <c r="Q130" s="78">
        <f t="shared" si="39"/>
        <v>0</v>
      </c>
      <c r="S130">
        <f t="shared" si="32"/>
        <v>11</v>
      </c>
      <c r="T130">
        <f t="shared" si="40"/>
        <v>125</v>
      </c>
      <c r="U130" s="49">
        <f t="shared" si="45"/>
        <v>3774</v>
      </c>
      <c r="V130" s="78">
        <f t="shared" si="41"/>
        <v>0</v>
      </c>
      <c r="W130" s="78">
        <f t="shared" ca="1" si="46"/>
        <v>0</v>
      </c>
      <c r="X130" s="78">
        <f>IFERROR(IF(OR(T130=0, U130&gt;=Refi_Origination_Date),0, PPMT(Mezz_I_Adj,'Loan Amort Table'!T130,Mezz_Amort_Periods,Mezz_Orig_Loan_Amount)),0)</f>
        <v>0</v>
      </c>
      <c r="Y130" s="78" cm="1">
        <f t="array" aca="1" ref="Y130" ca="1">IFERROR(_xlfn.IFS(U130&gt;=Refi_Origination_Date,0, Mezz_Amort = 0, -V130 * Mezz_I_Adj, 1, IPMT(Mezz_I_Adj,IF(T130 = 0, 1, T130),Mezz_Amort_Periods,Mezz_Orig_Loan_Amount)),0)</f>
        <v>0</v>
      </c>
      <c r="Z130" s="78">
        <f t="shared" si="47"/>
        <v>0</v>
      </c>
      <c r="AB130">
        <f t="shared" si="33"/>
        <v>11</v>
      </c>
      <c r="AC130">
        <f t="shared" si="42"/>
        <v>125</v>
      </c>
      <c r="AD130" s="49">
        <f t="shared" si="48"/>
        <v>3774</v>
      </c>
      <c r="AE130" s="78">
        <f t="shared" si="43"/>
        <v>0</v>
      </c>
      <c r="AF130" s="78">
        <f t="shared" ca="1" si="49"/>
        <v>0</v>
      </c>
      <c r="AG130" s="78">
        <f ca="1">IFERROR(IF(AC130=0,0, PPMT(Refi_I_Adj,'Loan Amort Table'!AC130,Refi_Amort_Periods,Refi_Orig_Loan_Amount)),0)</f>
        <v>0</v>
      </c>
      <c r="AH130" s="78">
        <f t="shared" ca="1" si="34"/>
        <v>0</v>
      </c>
      <c r="AI130" s="78">
        <f t="shared" ca="1" si="50"/>
        <v>0</v>
      </c>
    </row>
    <row r="131" spans="1:35" x14ac:dyDescent="0.25">
      <c r="A131">
        <f t="shared" si="30"/>
        <v>11</v>
      </c>
      <c r="B131">
        <f t="shared" si="35"/>
        <v>126</v>
      </c>
      <c r="C131" s="49">
        <f t="shared" si="52"/>
        <v>3805</v>
      </c>
      <c r="D131" s="78">
        <f>IF(C131&gt;EDATE(DATE(YEAR(SED_Origination_Date)+ SED_Amort, MONTH(SED_Origination_Date), DAY(SED_Origination_Date)),SED_Interest_Only),0,H130)</f>
        <v>0</v>
      </c>
      <c r="E131" s="78">
        <f t="shared" si="36"/>
        <v>0</v>
      </c>
      <c r="F131" s="78">
        <f>IFERROR(IF(OR(B131=0, C131&gt;=Refi_Origination_Date),0, PPMT(SED_I_Adj,'Loan Amort Table'!B131,SED_Amort_Periods,SED_Orig_Loan_Amount)),0)</f>
        <v>0</v>
      </c>
      <c r="G131" s="78" cm="1">
        <f t="array" ref="G131">IFERROR(_xlfn.IFS(C131&gt;=Refi_Origination_Date, 0, SED_Amort = 0, -D131 * SED_I_Adj, 1, IPMT(SED_I_Adj,IF(B131 = 0, 1, B131),SED_Amort_Periods,SED_Orig_Loan_Amount)),0)</f>
        <v>0</v>
      </c>
      <c r="H131" s="78">
        <f t="shared" si="51"/>
        <v>0</v>
      </c>
      <c r="J131">
        <f t="shared" si="31"/>
        <v>11</v>
      </c>
      <c r="K131">
        <f t="shared" si="37"/>
        <v>126</v>
      </c>
      <c r="L131" s="49">
        <f t="shared" si="44"/>
        <v>3805</v>
      </c>
      <c r="M131" s="78">
        <f>IF(L131&gt;EDATE(DATE(YEAR(NEW_Origination_Date)+ NEW_Amort, MONTH(NEW_Origination_Date), DAY(NEW_Origination_Date)),NEW_Interest_Only),0,Q130)</f>
        <v>0</v>
      </c>
      <c r="N131" s="78">
        <f t="shared" si="38"/>
        <v>0</v>
      </c>
      <c r="O131" s="78">
        <f>IFERROR(IF(K131=0,0, PPMT(NEW_I_Adj,'Loan Amort Table'!K131,NEW_Amort_Periods,NEW_Orig_Loan_Amount)),0)</f>
        <v>0</v>
      </c>
      <c r="P131" s="78">
        <f>IFERROR(IF(NEW_Amort = 0, -M131* NEW_I_Adj,IPMT(NEW_I_Adj,IF(K131 = 0, 1, K131),NEW_Amort_Periods,NEW_Orig_Loan_Amount)),0)</f>
        <v>0</v>
      </c>
      <c r="Q131" s="78">
        <f t="shared" si="39"/>
        <v>0</v>
      </c>
      <c r="S131">
        <f t="shared" si="32"/>
        <v>11</v>
      </c>
      <c r="T131">
        <f t="shared" si="40"/>
        <v>126</v>
      </c>
      <c r="U131" s="49">
        <f t="shared" si="45"/>
        <v>3805</v>
      </c>
      <c r="V131" s="78">
        <f t="shared" si="41"/>
        <v>0</v>
      </c>
      <c r="W131" s="78">
        <f t="shared" ca="1" si="46"/>
        <v>0</v>
      </c>
      <c r="X131" s="78">
        <f>IFERROR(IF(OR(T131=0, U131&gt;=Refi_Origination_Date),0, PPMT(Mezz_I_Adj,'Loan Amort Table'!T131,Mezz_Amort_Periods,Mezz_Orig_Loan_Amount)),0)</f>
        <v>0</v>
      </c>
      <c r="Y131" s="78" cm="1">
        <f t="array" aca="1" ref="Y131" ca="1">IFERROR(_xlfn.IFS(U131&gt;=Refi_Origination_Date,0, Mezz_Amort = 0, -V131 * Mezz_I_Adj, 1, IPMT(Mezz_I_Adj,IF(T131 = 0, 1, T131),Mezz_Amort_Periods,Mezz_Orig_Loan_Amount)),0)</f>
        <v>0</v>
      </c>
      <c r="Z131" s="78">
        <f t="shared" si="47"/>
        <v>0</v>
      </c>
      <c r="AB131">
        <f t="shared" si="33"/>
        <v>11</v>
      </c>
      <c r="AC131">
        <f t="shared" si="42"/>
        <v>126</v>
      </c>
      <c r="AD131" s="49">
        <f t="shared" si="48"/>
        <v>3805</v>
      </c>
      <c r="AE131" s="78">
        <f t="shared" si="43"/>
        <v>0</v>
      </c>
      <c r="AF131" s="78">
        <f t="shared" ca="1" si="49"/>
        <v>0</v>
      </c>
      <c r="AG131" s="78">
        <f ca="1">IFERROR(IF(AC131=0,0, PPMT(Refi_I_Adj,'Loan Amort Table'!AC131,Refi_Amort_Periods,Refi_Orig_Loan_Amount)),0)</f>
        <v>0</v>
      </c>
      <c r="AH131" s="78">
        <f t="shared" ca="1" si="34"/>
        <v>0</v>
      </c>
      <c r="AI131" s="78">
        <f t="shared" ca="1" si="50"/>
        <v>0</v>
      </c>
    </row>
    <row r="132" spans="1:35" x14ac:dyDescent="0.25">
      <c r="A132">
        <f t="shared" si="30"/>
        <v>11</v>
      </c>
      <c r="B132">
        <f t="shared" si="35"/>
        <v>127</v>
      </c>
      <c r="C132" s="49">
        <f t="shared" si="52"/>
        <v>3835</v>
      </c>
      <c r="D132" s="78">
        <f>IF(C132&gt;EDATE(DATE(YEAR(SED_Origination_Date)+ SED_Amort, MONTH(SED_Origination_Date), DAY(SED_Origination_Date)),SED_Interest_Only),0,H131)</f>
        <v>0</v>
      </c>
      <c r="E132" s="78">
        <f t="shared" si="36"/>
        <v>0</v>
      </c>
      <c r="F132" s="78">
        <f>IFERROR(IF(OR(B132=0, C132&gt;=Refi_Origination_Date),0, PPMT(SED_I_Adj,'Loan Amort Table'!B132,SED_Amort_Periods,SED_Orig_Loan_Amount)),0)</f>
        <v>0</v>
      </c>
      <c r="G132" s="78" cm="1">
        <f t="array" ref="G132">IFERROR(_xlfn.IFS(C132&gt;=Refi_Origination_Date, 0, SED_Amort = 0, -D132 * SED_I_Adj, 1, IPMT(SED_I_Adj,IF(B132 = 0, 1, B132),SED_Amort_Periods,SED_Orig_Loan_Amount)),0)</f>
        <v>0</v>
      </c>
      <c r="H132" s="78">
        <f t="shared" si="51"/>
        <v>0</v>
      </c>
      <c r="J132">
        <f t="shared" si="31"/>
        <v>11</v>
      </c>
      <c r="K132">
        <f t="shared" si="37"/>
        <v>127</v>
      </c>
      <c r="L132" s="49">
        <f t="shared" si="44"/>
        <v>3835</v>
      </c>
      <c r="M132" s="78">
        <f>IF(L132&gt;EDATE(DATE(YEAR(NEW_Origination_Date)+ NEW_Amort, MONTH(NEW_Origination_Date), DAY(NEW_Origination_Date)),NEW_Interest_Only),0,Q131)</f>
        <v>0</v>
      </c>
      <c r="N132" s="78">
        <f t="shared" si="38"/>
        <v>0</v>
      </c>
      <c r="O132" s="78">
        <f>IFERROR(IF(K132=0,0, PPMT(NEW_I_Adj,'Loan Amort Table'!K132,NEW_Amort_Periods,NEW_Orig_Loan_Amount)),0)</f>
        <v>0</v>
      </c>
      <c r="P132" s="78">
        <f>IFERROR(IF(NEW_Amort = 0, -M132* NEW_I_Adj,IPMT(NEW_I_Adj,IF(K132 = 0, 1, K132),NEW_Amort_Periods,NEW_Orig_Loan_Amount)),0)</f>
        <v>0</v>
      </c>
      <c r="Q132" s="78">
        <f t="shared" si="39"/>
        <v>0</v>
      </c>
      <c r="S132">
        <f t="shared" si="32"/>
        <v>11</v>
      </c>
      <c r="T132">
        <f t="shared" si="40"/>
        <v>127</v>
      </c>
      <c r="U132" s="49">
        <f t="shared" si="45"/>
        <v>3835</v>
      </c>
      <c r="V132" s="78">
        <f t="shared" si="41"/>
        <v>0</v>
      </c>
      <c r="W132" s="78">
        <f t="shared" ca="1" si="46"/>
        <v>0</v>
      </c>
      <c r="X132" s="78">
        <f>IFERROR(IF(OR(T132=0, U132&gt;=Refi_Origination_Date),0, PPMT(Mezz_I_Adj,'Loan Amort Table'!T132,Mezz_Amort_Periods,Mezz_Orig_Loan_Amount)),0)</f>
        <v>0</v>
      </c>
      <c r="Y132" s="78" cm="1">
        <f t="array" aca="1" ref="Y132" ca="1">IFERROR(_xlfn.IFS(U132&gt;=Refi_Origination_Date,0, Mezz_Amort = 0, -V132 * Mezz_I_Adj, 1, IPMT(Mezz_I_Adj,IF(T132 = 0, 1, T132),Mezz_Amort_Periods,Mezz_Orig_Loan_Amount)),0)</f>
        <v>0</v>
      </c>
      <c r="Z132" s="78">
        <f t="shared" si="47"/>
        <v>0</v>
      </c>
      <c r="AB132">
        <f t="shared" si="33"/>
        <v>11</v>
      </c>
      <c r="AC132">
        <f t="shared" si="42"/>
        <v>127</v>
      </c>
      <c r="AD132" s="49">
        <f t="shared" si="48"/>
        <v>3835</v>
      </c>
      <c r="AE132" s="78">
        <f t="shared" si="43"/>
        <v>0</v>
      </c>
      <c r="AF132" s="78">
        <f t="shared" ca="1" si="49"/>
        <v>0</v>
      </c>
      <c r="AG132" s="78">
        <f ca="1">IFERROR(IF(AC132=0,0, PPMT(Refi_I_Adj,'Loan Amort Table'!AC132,Refi_Amort_Periods,Refi_Orig_Loan_Amount)),0)</f>
        <v>0</v>
      </c>
      <c r="AH132" s="78">
        <f t="shared" ca="1" si="34"/>
        <v>0</v>
      </c>
      <c r="AI132" s="78">
        <f t="shared" ca="1" si="50"/>
        <v>0</v>
      </c>
    </row>
    <row r="133" spans="1:35" x14ac:dyDescent="0.25">
      <c r="A133">
        <f t="shared" si="30"/>
        <v>11</v>
      </c>
      <c r="B133">
        <f t="shared" si="35"/>
        <v>128</v>
      </c>
      <c r="C133" s="49">
        <f t="shared" si="52"/>
        <v>3866</v>
      </c>
      <c r="D133" s="78">
        <f>IF(C133&gt;EDATE(DATE(YEAR(SED_Origination_Date)+ SED_Amort, MONTH(SED_Origination_Date), DAY(SED_Origination_Date)),SED_Interest_Only),0,H132)</f>
        <v>0</v>
      </c>
      <c r="E133" s="78">
        <f t="shared" si="36"/>
        <v>0</v>
      </c>
      <c r="F133" s="78">
        <f>IFERROR(IF(OR(B133=0, C133&gt;=Refi_Origination_Date),0, PPMT(SED_I_Adj,'Loan Amort Table'!B133,SED_Amort_Periods,SED_Orig_Loan_Amount)),0)</f>
        <v>0</v>
      </c>
      <c r="G133" s="78" cm="1">
        <f t="array" ref="G133">IFERROR(_xlfn.IFS(C133&gt;=Refi_Origination_Date, 0, SED_Amort = 0, -D133 * SED_I_Adj, 1, IPMT(SED_I_Adj,IF(B133 = 0, 1, B133),SED_Amort_Periods,SED_Orig_Loan_Amount)),0)</f>
        <v>0</v>
      </c>
      <c r="H133" s="78">
        <f t="shared" si="51"/>
        <v>0</v>
      </c>
      <c r="J133">
        <f t="shared" si="31"/>
        <v>11</v>
      </c>
      <c r="K133">
        <f t="shared" si="37"/>
        <v>128</v>
      </c>
      <c r="L133" s="49">
        <f t="shared" si="44"/>
        <v>3866</v>
      </c>
      <c r="M133" s="78">
        <f>IF(L133&gt;EDATE(DATE(YEAR(NEW_Origination_Date)+ NEW_Amort, MONTH(NEW_Origination_Date), DAY(NEW_Origination_Date)),NEW_Interest_Only),0,Q132)</f>
        <v>0</v>
      </c>
      <c r="N133" s="78">
        <f t="shared" si="38"/>
        <v>0</v>
      </c>
      <c r="O133" s="78">
        <f>IFERROR(IF(K133=0,0, PPMT(NEW_I_Adj,'Loan Amort Table'!K133,NEW_Amort_Periods,NEW_Orig_Loan_Amount)),0)</f>
        <v>0</v>
      </c>
      <c r="P133" s="78">
        <f>IFERROR(IF(NEW_Amort = 0, -M133* NEW_I_Adj,IPMT(NEW_I_Adj,IF(K133 = 0, 1, K133),NEW_Amort_Periods,NEW_Orig_Loan_Amount)),0)</f>
        <v>0</v>
      </c>
      <c r="Q133" s="78">
        <f t="shared" si="39"/>
        <v>0</v>
      </c>
      <c r="S133">
        <f t="shared" si="32"/>
        <v>11</v>
      </c>
      <c r="T133">
        <f t="shared" si="40"/>
        <v>128</v>
      </c>
      <c r="U133" s="49">
        <f t="shared" si="45"/>
        <v>3866</v>
      </c>
      <c r="V133" s="78">
        <f t="shared" si="41"/>
        <v>0</v>
      </c>
      <c r="W133" s="78">
        <f t="shared" ca="1" si="46"/>
        <v>0</v>
      </c>
      <c r="X133" s="78">
        <f>IFERROR(IF(OR(T133=0, U133&gt;=Refi_Origination_Date),0, PPMT(Mezz_I_Adj,'Loan Amort Table'!T133,Mezz_Amort_Periods,Mezz_Orig_Loan_Amount)),0)</f>
        <v>0</v>
      </c>
      <c r="Y133" s="78" cm="1">
        <f t="array" aca="1" ref="Y133" ca="1">IFERROR(_xlfn.IFS(U133&gt;=Refi_Origination_Date,0, Mezz_Amort = 0, -V133 * Mezz_I_Adj, 1, IPMT(Mezz_I_Adj,IF(T133 = 0, 1, T133),Mezz_Amort_Periods,Mezz_Orig_Loan_Amount)),0)</f>
        <v>0</v>
      </c>
      <c r="Z133" s="78">
        <f t="shared" si="47"/>
        <v>0</v>
      </c>
      <c r="AB133">
        <f t="shared" si="33"/>
        <v>11</v>
      </c>
      <c r="AC133">
        <f t="shared" si="42"/>
        <v>128</v>
      </c>
      <c r="AD133" s="49">
        <f t="shared" si="48"/>
        <v>3866</v>
      </c>
      <c r="AE133" s="78">
        <f t="shared" si="43"/>
        <v>0</v>
      </c>
      <c r="AF133" s="78">
        <f t="shared" ca="1" si="49"/>
        <v>0</v>
      </c>
      <c r="AG133" s="78">
        <f ca="1">IFERROR(IF(AC133=0,0, PPMT(Refi_I_Adj,'Loan Amort Table'!AC133,Refi_Amort_Periods,Refi_Orig_Loan_Amount)),0)</f>
        <v>0</v>
      </c>
      <c r="AH133" s="78">
        <f t="shared" ca="1" si="34"/>
        <v>0</v>
      </c>
      <c r="AI133" s="78">
        <f t="shared" ca="1" si="50"/>
        <v>0</v>
      </c>
    </row>
    <row r="134" spans="1:35" x14ac:dyDescent="0.25">
      <c r="A134">
        <f t="shared" ref="A134:A197" si="55">IFERROR(ROUNDUP((DATEDIF(SED_Origination_Date,C134,"m")+1)/12,0),"")</f>
        <v>11</v>
      </c>
      <c r="B134">
        <f t="shared" si="35"/>
        <v>129</v>
      </c>
      <c r="C134" s="49">
        <f t="shared" si="52"/>
        <v>3897</v>
      </c>
      <c r="D134" s="78">
        <f>IF(C134&gt;EDATE(DATE(YEAR(SED_Origination_Date)+ SED_Amort, MONTH(SED_Origination_Date), DAY(SED_Origination_Date)),SED_Interest_Only),0,H133)</f>
        <v>0</v>
      </c>
      <c r="E134" s="78">
        <f t="shared" si="36"/>
        <v>0</v>
      </c>
      <c r="F134" s="78">
        <f>IFERROR(IF(OR(B134=0, C134&gt;=Refi_Origination_Date),0, PPMT(SED_I_Adj,'Loan Amort Table'!B134,SED_Amort_Periods,SED_Orig_Loan_Amount)),0)</f>
        <v>0</v>
      </c>
      <c r="G134" s="78" cm="1">
        <f t="array" ref="G134">IFERROR(_xlfn.IFS(C134&gt;=Refi_Origination_Date, 0, SED_Amort = 0, -D134 * SED_I_Adj, 1, IPMT(SED_I_Adj,IF(B134 = 0, 1, B134),SED_Amort_Periods,SED_Orig_Loan_Amount)),0)</f>
        <v>0</v>
      </c>
      <c r="H134" s="78">
        <f t="shared" si="51"/>
        <v>0</v>
      </c>
      <c r="J134">
        <f t="shared" ref="J134:J197" si="56">IFERROR(ROUNDUP((DATEDIF(NEW_Origination_Date,L134,"m")+1)/12,0),"")</f>
        <v>11</v>
      </c>
      <c r="K134">
        <f t="shared" si="37"/>
        <v>129</v>
      </c>
      <c r="L134" s="49">
        <f t="shared" si="44"/>
        <v>3897</v>
      </c>
      <c r="M134" s="78">
        <f>IF(L134&gt;EDATE(DATE(YEAR(NEW_Origination_Date)+ NEW_Amort, MONTH(NEW_Origination_Date), DAY(NEW_Origination_Date)),NEW_Interest_Only),0,Q133)</f>
        <v>0</v>
      </c>
      <c r="N134" s="78">
        <f t="shared" si="38"/>
        <v>0</v>
      </c>
      <c r="O134" s="78">
        <f>IFERROR(IF(K134=0,0, PPMT(NEW_I_Adj,'Loan Amort Table'!K134,NEW_Amort_Periods,NEW_Orig_Loan_Amount)),0)</f>
        <v>0</v>
      </c>
      <c r="P134" s="78">
        <f>IFERROR(IF(NEW_Amort = 0, -M134* NEW_I_Adj,IPMT(NEW_I_Adj,IF(K134 = 0, 1, K134),NEW_Amort_Periods,NEW_Orig_Loan_Amount)),0)</f>
        <v>0</v>
      </c>
      <c r="Q134" s="78">
        <f t="shared" si="39"/>
        <v>0</v>
      </c>
      <c r="S134">
        <f t="shared" ref="S134:S197" si="57">IFERROR(ROUNDUP((DATEDIF(Mezz_Origination_Date,U134,"m")+1)/12,0),"")</f>
        <v>11</v>
      </c>
      <c r="T134">
        <f t="shared" si="40"/>
        <v>129</v>
      </c>
      <c r="U134" s="49">
        <f t="shared" si="45"/>
        <v>3897</v>
      </c>
      <c r="V134" s="78">
        <f t="shared" si="41"/>
        <v>0</v>
      </c>
      <c r="W134" s="78">
        <f t="shared" ca="1" si="46"/>
        <v>0</v>
      </c>
      <c r="X134" s="78">
        <f>IFERROR(IF(OR(T134=0, U134&gt;=Refi_Origination_Date),0, PPMT(Mezz_I_Adj,'Loan Amort Table'!T134,Mezz_Amort_Periods,Mezz_Orig_Loan_Amount)),0)</f>
        <v>0</v>
      </c>
      <c r="Y134" s="78" cm="1">
        <f t="array" aca="1" ref="Y134" ca="1">IFERROR(_xlfn.IFS(U134&gt;=Refi_Origination_Date,0, Mezz_Amort = 0, -V134 * Mezz_I_Adj, 1, IPMT(Mezz_I_Adj,IF(T134 = 0, 1, T134),Mezz_Amort_Periods,Mezz_Orig_Loan_Amount)),0)</f>
        <v>0</v>
      </c>
      <c r="Z134" s="78">
        <f t="shared" si="47"/>
        <v>0</v>
      </c>
      <c r="AB134">
        <f t="shared" ref="AB134:AB197" si="58">IFERROR(ROUNDUP((DATEDIF(Refi_Origination_Date,AD134,"m")+1)/12,0),"")</f>
        <v>11</v>
      </c>
      <c r="AC134">
        <f t="shared" si="42"/>
        <v>129</v>
      </c>
      <c r="AD134" s="49">
        <f t="shared" si="48"/>
        <v>3897</v>
      </c>
      <c r="AE134" s="78">
        <f t="shared" si="43"/>
        <v>0</v>
      </c>
      <c r="AF134" s="78">
        <f t="shared" ca="1" si="49"/>
        <v>0</v>
      </c>
      <c r="AG134" s="78">
        <f ca="1">IFERROR(IF(AC134=0,0, PPMT(Refi_I_Adj,'Loan Amort Table'!AC134,Refi_Amort_Periods,Refi_Orig_Loan_Amount)),0)</f>
        <v>0</v>
      </c>
      <c r="AH134" s="78">
        <f t="shared" ref="AH134:AH197" ca="1" si="59">IFERROR(IF(Refi_Amort = 0, -AE134 * Refi_I_Adj, IPMT(Refi_I_Adj,IF(AC134 = 0, 1, AC134),Refi_Amort_Periods,Refi_Orig_Loan_Amount)),0)</f>
        <v>0</v>
      </c>
      <c r="AI134" s="78">
        <f t="shared" ca="1" si="50"/>
        <v>0</v>
      </c>
    </row>
    <row r="135" spans="1:35" x14ac:dyDescent="0.25">
      <c r="A135">
        <f t="shared" si="55"/>
        <v>11</v>
      </c>
      <c r="B135">
        <f t="shared" ref="B135:B198" si="60">IF(C135&lt;SED_Begin_PMT,0, B134+1)</f>
        <v>130</v>
      </c>
      <c r="C135" s="49">
        <f t="shared" si="52"/>
        <v>3927</v>
      </c>
      <c r="D135" s="78">
        <f>IF(C135&gt;EDATE(DATE(YEAR(SED_Origination_Date)+ SED_Amort, MONTH(SED_Origination_Date), DAY(SED_Origination_Date)),SED_Interest_Only),0,H134)</f>
        <v>0</v>
      </c>
      <c r="E135" s="78">
        <f t="shared" ref="E135:E198" si="61">F135+G135</f>
        <v>0</v>
      </c>
      <c r="F135" s="78">
        <f>IFERROR(IF(OR(B135=0, C135&gt;=Refi_Origination_Date),0, PPMT(SED_I_Adj,'Loan Amort Table'!B135,SED_Amort_Periods,SED_Orig_Loan_Amount)),0)</f>
        <v>0</v>
      </c>
      <c r="G135" s="78" cm="1">
        <f t="array" ref="G135">IFERROR(_xlfn.IFS(C135&gt;=Refi_Origination_Date, 0, SED_Amort = 0, -D135 * SED_I_Adj, 1, IPMT(SED_I_Adj,IF(B135 = 0, 1, B135),SED_Amort_Periods,SED_Orig_Loan_Amount)),0)</f>
        <v>0</v>
      </c>
      <c r="H135" s="78">
        <f t="shared" si="51"/>
        <v>0</v>
      </c>
      <c r="J135">
        <f t="shared" si="56"/>
        <v>11</v>
      </c>
      <c r="K135">
        <f t="shared" ref="K135:K198" si="62">IF(L135&lt;NEW_Begin_PMT,0, K134+1)</f>
        <v>130</v>
      </c>
      <c r="L135" s="49">
        <f t="shared" si="44"/>
        <v>3927</v>
      </c>
      <c r="M135" s="78">
        <f>IF(L135&gt;EDATE(DATE(YEAR(NEW_Origination_Date)+ NEW_Amort, MONTH(NEW_Origination_Date), DAY(NEW_Origination_Date)),NEW_Interest_Only),0,Q134)</f>
        <v>0</v>
      </c>
      <c r="N135" s="78">
        <f t="shared" ref="N135:N198" si="63">O135+P135</f>
        <v>0</v>
      </c>
      <c r="O135" s="78">
        <f>IFERROR(IF(K135=0,0, PPMT(NEW_I_Adj,'Loan Amort Table'!K135,NEW_Amort_Periods,NEW_Orig_Loan_Amount)),0)</f>
        <v>0</v>
      </c>
      <c r="P135" s="78">
        <f>IFERROR(IF(NEW_Amort = 0, -M135* NEW_I_Adj,IPMT(NEW_I_Adj,IF(K135 = 0, 1, K135),NEW_Amort_Periods,NEW_Orig_Loan_Amount)),0)</f>
        <v>0</v>
      </c>
      <c r="Q135" s="78">
        <f t="shared" ref="Q135:Q198" si="64">M135+O135</f>
        <v>0</v>
      </c>
      <c r="S135">
        <f t="shared" si="57"/>
        <v>11</v>
      </c>
      <c r="T135">
        <f t="shared" ref="T135:T198" si="65">IF(U135&lt;Mezz_Begin_PMT,0, T134+1)</f>
        <v>130</v>
      </c>
      <c r="U135" s="49">
        <f t="shared" si="45"/>
        <v>3927</v>
      </c>
      <c r="V135" s="78">
        <f t="shared" ref="V135:V198" si="66">IF(U135&gt;EDATE(DATE(YEAR(Mezz_Origination_Date)+ Mezz_Amort, MONTH(Mezz_Origination_Date), DAY(Mezz_Origination_Date)),Mezz_Interest_Only),0,Z134)</f>
        <v>0</v>
      </c>
      <c r="W135" s="78">
        <f t="shared" ca="1" si="46"/>
        <v>0</v>
      </c>
      <c r="X135" s="78">
        <f>IFERROR(IF(OR(T135=0, U135&gt;=Refi_Origination_Date),0, PPMT(Mezz_I_Adj,'Loan Amort Table'!T135,Mezz_Amort_Periods,Mezz_Orig_Loan_Amount)),0)</f>
        <v>0</v>
      </c>
      <c r="Y135" s="78" cm="1">
        <f t="array" aca="1" ref="Y135" ca="1">IFERROR(_xlfn.IFS(U135&gt;=Refi_Origination_Date,0, Mezz_Amort = 0, -V135 * Mezz_I_Adj, 1, IPMT(Mezz_I_Adj,IF(T135 = 0, 1, T135),Mezz_Amort_Periods,Mezz_Orig_Loan_Amount)),0)</f>
        <v>0</v>
      </c>
      <c r="Z135" s="78">
        <f t="shared" si="47"/>
        <v>0</v>
      </c>
      <c r="AB135">
        <f t="shared" si="58"/>
        <v>11</v>
      </c>
      <c r="AC135">
        <f t="shared" ref="AC135:AC198" si="67">IF(AD135&lt;Refi_Begin_PMT,0, AC134+1)</f>
        <v>130</v>
      </c>
      <c r="AD135" s="49">
        <f t="shared" si="48"/>
        <v>3927</v>
      </c>
      <c r="AE135" s="78">
        <f t="shared" ref="AE135:AE198" si="68">IF(AD135&gt;EDATE(DATE(YEAR(Refi_Origination_Date)+ Refi_Amort, MONTH(Refi_Origination_Date), DAY(Refi_Origination_Date)),Refi_Interest_Only),0,AI134)</f>
        <v>0</v>
      </c>
      <c r="AF135" s="78">
        <f t="shared" ca="1" si="49"/>
        <v>0</v>
      </c>
      <c r="AG135" s="78">
        <f ca="1">IFERROR(IF(AC135=0,0, PPMT(Refi_I_Adj,'Loan Amort Table'!AC135,Refi_Amort_Periods,Refi_Orig_Loan_Amount)),0)</f>
        <v>0</v>
      </c>
      <c r="AH135" s="78">
        <f t="shared" ca="1" si="59"/>
        <v>0</v>
      </c>
      <c r="AI135" s="78">
        <f t="shared" ca="1" si="50"/>
        <v>0</v>
      </c>
    </row>
    <row r="136" spans="1:35" x14ac:dyDescent="0.25">
      <c r="A136">
        <f t="shared" si="55"/>
        <v>11</v>
      </c>
      <c r="B136">
        <f t="shared" si="60"/>
        <v>131</v>
      </c>
      <c r="C136" s="49">
        <f t="shared" si="52"/>
        <v>3958</v>
      </c>
      <c r="D136" s="78">
        <f>IF(C136&gt;EDATE(DATE(YEAR(SED_Origination_Date)+ SED_Amort, MONTH(SED_Origination_Date), DAY(SED_Origination_Date)),SED_Interest_Only),0,H135)</f>
        <v>0</v>
      </c>
      <c r="E136" s="78">
        <f t="shared" si="61"/>
        <v>0</v>
      </c>
      <c r="F136" s="78">
        <f>IFERROR(IF(OR(B136=0, C136&gt;=Refi_Origination_Date),0, PPMT(SED_I_Adj,'Loan Amort Table'!B136,SED_Amort_Periods,SED_Orig_Loan_Amount)),0)</f>
        <v>0</v>
      </c>
      <c r="G136" s="78" cm="1">
        <f t="array" ref="G136">IFERROR(_xlfn.IFS(C136&gt;=Refi_Origination_Date, 0, SED_Amort = 0, -D136 * SED_I_Adj, 1, IPMT(SED_I_Adj,IF(B136 = 0, 1, B136),SED_Amort_Periods,SED_Orig_Loan_Amount)),0)</f>
        <v>0</v>
      </c>
      <c r="H136" s="78">
        <f t="shared" si="51"/>
        <v>0</v>
      </c>
      <c r="J136">
        <f t="shared" si="56"/>
        <v>11</v>
      </c>
      <c r="K136">
        <f t="shared" si="62"/>
        <v>131</v>
      </c>
      <c r="L136" s="49">
        <f t="shared" ref="L136:L199" si="69">EDATE(L135,1)</f>
        <v>3958</v>
      </c>
      <c r="M136" s="78">
        <f>IF(L136&gt;EDATE(DATE(YEAR(NEW_Origination_Date)+ NEW_Amort, MONTH(NEW_Origination_Date), DAY(NEW_Origination_Date)),NEW_Interest_Only),0,Q135)</f>
        <v>0</v>
      </c>
      <c r="N136" s="78">
        <f t="shared" si="63"/>
        <v>0</v>
      </c>
      <c r="O136" s="78">
        <f>IFERROR(IF(K136=0,0, PPMT(NEW_I_Adj,'Loan Amort Table'!K136,NEW_Amort_Periods,NEW_Orig_Loan_Amount)),0)</f>
        <v>0</v>
      </c>
      <c r="P136" s="78">
        <f>IFERROR(IF(NEW_Amort = 0, -M136* NEW_I_Adj,IPMT(NEW_I_Adj,IF(K136 = 0, 1, K136),NEW_Amort_Periods,NEW_Orig_Loan_Amount)),0)</f>
        <v>0</v>
      </c>
      <c r="Q136" s="78">
        <f t="shared" si="64"/>
        <v>0</v>
      </c>
      <c r="S136">
        <f t="shared" si="57"/>
        <v>11</v>
      </c>
      <c r="T136">
        <f t="shared" si="65"/>
        <v>131</v>
      </c>
      <c r="U136" s="49">
        <f t="shared" ref="U136:U199" si="70">EDATE(U135,1)</f>
        <v>3958</v>
      </c>
      <c r="V136" s="78">
        <f t="shared" si="66"/>
        <v>0</v>
      </c>
      <c r="W136" s="78">
        <f t="shared" ref="W136:W199" ca="1" si="71">X136+Y136</f>
        <v>0</v>
      </c>
      <c r="X136" s="78">
        <f>IFERROR(IF(OR(T136=0, U136&gt;=Refi_Origination_Date),0, PPMT(Mezz_I_Adj,'Loan Amort Table'!T136,Mezz_Amort_Periods,Mezz_Orig_Loan_Amount)),0)</f>
        <v>0</v>
      </c>
      <c r="Y136" s="78" cm="1">
        <f t="array" aca="1" ref="Y136" ca="1">IFERROR(_xlfn.IFS(U136&gt;=Refi_Origination_Date,0, Mezz_Amort = 0, -V136 * Mezz_I_Adj, 1, IPMT(Mezz_I_Adj,IF(T136 = 0, 1, T136),Mezz_Amort_Periods,Mezz_Orig_Loan_Amount)),0)</f>
        <v>0</v>
      </c>
      <c r="Z136" s="78">
        <f t="shared" ref="Z136:Z199" si="72">V136+X136</f>
        <v>0</v>
      </c>
      <c r="AB136">
        <f t="shared" si="58"/>
        <v>11</v>
      </c>
      <c r="AC136">
        <f t="shared" si="67"/>
        <v>131</v>
      </c>
      <c r="AD136" s="49">
        <f t="shared" ref="AD136:AD199" si="73">EDATE(AD135,1)</f>
        <v>3958</v>
      </c>
      <c r="AE136" s="78">
        <f t="shared" si="68"/>
        <v>0</v>
      </c>
      <c r="AF136" s="78">
        <f t="shared" ref="AF136:AF199" ca="1" si="74">AG136+AH136</f>
        <v>0</v>
      </c>
      <c r="AG136" s="78">
        <f ca="1">IFERROR(IF(AC136=0,0, PPMT(Refi_I_Adj,'Loan Amort Table'!AC136,Refi_Amort_Periods,Refi_Orig_Loan_Amount)),0)</f>
        <v>0</v>
      </c>
      <c r="AH136" s="78">
        <f t="shared" ca="1" si="59"/>
        <v>0</v>
      </c>
      <c r="AI136" s="78">
        <f t="shared" ref="AI136:AI199" ca="1" si="75">AE136+AG136</f>
        <v>0</v>
      </c>
    </row>
    <row r="137" spans="1:35" x14ac:dyDescent="0.25">
      <c r="A137">
        <f t="shared" si="55"/>
        <v>11</v>
      </c>
      <c r="B137">
        <f t="shared" si="60"/>
        <v>132</v>
      </c>
      <c r="C137" s="49">
        <f t="shared" si="52"/>
        <v>3988</v>
      </c>
      <c r="D137" s="78">
        <f>IF(C137&gt;EDATE(DATE(YEAR(SED_Origination_Date)+ SED_Amort, MONTH(SED_Origination_Date), DAY(SED_Origination_Date)),SED_Interest_Only),0,H136)</f>
        <v>0</v>
      </c>
      <c r="E137" s="78">
        <f t="shared" si="61"/>
        <v>0</v>
      </c>
      <c r="F137" s="78">
        <f>IFERROR(IF(OR(B137=0, C137&gt;=Refi_Origination_Date),0, PPMT(SED_I_Adj,'Loan Amort Table'!B137,SED_Amort_Periods,SED_Orig_Loan_Amount)),0)</f>
        <v>0</v>
      </c>
      <c r="G137" s="78" cm="1">
        <f t="array" ref="G137">IFERROR(_xlfn.IFS(C137&gt;=Refi_Origination_Date, 0, SED_Amort = 0, -D137 * SED_I_Adj, 1, IPMT(SED_I_Adj,IF(B137 = 0, 1, B137),SED_Amort_Periods,SED_Orig_Loan_Amount)),0)</f>
        <v>0</v>
      </c>
      <c r="H137" s="78">
        <f t="shared" si="51"/>
        <v>0</v>
      </c>
      <c r="J137">
        <f t="shared" si="56"/>
        <v>11</v>
      </c>
      <c r="K137">
        <f t="shared" si="62"/>
        <v>132</v>
      </c>
      <c r="L137" s="49">
        <f t="shared" si="69"/>
        <v>3988</v>
      </c>
      <c r="M137" s="78">
        <f>IF(L137&gt;EDATE(DATE(YEAR(NEW_Origination_Date)+ NEW_Amort, MONTH(NEW_Origination_Date), DAY(NEW_Origination_Date)),NEW_Interest_Only),0,Q136)</f>
        <v>0</v>
      </c>
      <c r="N137" s="78">
        <f t="shared" si="63"/>
        <v>0</v>
      </c>
      <c r="O137" s="78">
        <f>IFERROR(IF(K137=0,0, PPMT(NEW_I_Adj,'Loan Amort Table'!K137,NEW_Amort_Periods,NEW_Orig_Loan_Amount)),0)</f>
        <v>0</v>
      </c>
      <c r="P137" s="78">
        <f>IFERROR(IF(NEW_Amort = 0, -M137* NEW_I_Adj,IPMT(NEW_I_Adj,IF(K137 = 0, 1, K137),NEW_Amort_Periods,NEW_Orig_Loan_Amount)),0)</f>
        <v>0</v>
      </c>
      <c r="Q137" s="78">
        <f t="shared" si="64"/>
        <v>0</v>
      </c>
      <c r="S137">
        <f t="shared" si="57"/>
        <v>11</v>
      </c>
      <c r="T137">
        <f t="shared" si="65"/>
        <v>132</v>
      </c>
      <c r="U137" s="49">
        <f t="shared" si="70"/>
        <v>3988</v>
      </c>
      <c r="V137" s="78">
        <f t="shared" si="66"/>
        <v>0</v>
      </c>
      <c r="W137" s="78">
        <f t="shared" ca="1" si="71"/>
        <v>0</v>
      </c>
      <c r="X137" s="78">
        <f>IFERROR(IF(OR(T137=0, U137&gt;=Refi_Origination_Date),0, PPMT(Mezz_I_Adj,'Loan Amort Table'!T137,Mezz_Amort_Periods,Mezz_Orig_Loan_Amount)),0)</f>
        <v>0</v>
      </c>
      <c r="Y137" s="78" cm="1">
        <f t="array" aca="1" ref="Y137" ca="1">IFERROR(_xlfn.IFS(U137&gt;=Refi_Origination_Date,0, Mezz_Amort = 0, -V137 * Mezz_I_Adj, 1, IPMT(Mezz_I_Adj,IF(T137 = 0, 1, T137),Mezz_Amort_Periods,Mezz_Orig_Loan_Amount)),0)</f>
        <v>0</v>
      </c>
      <c r="Z137" s="78">
        <f t="shared" si="72"/>
        <v>0</v>
      </c>
      <c r="AB137">
        <f t="shared" si="58"/>
        <v>11</v>
      </c>
      <c r="AC137">
        <f t="shared" si="67"/>
        <v>132</v>
      </c>
      <c r="AD137" s="49">
        <f t="shared" si="73"/>
        <v>3988</v>
      </c>
      <c r="AE137" s="78">
        <f t="shared" si="68"/>
        <v>0</v>
      </c>
      <c r="AF137" s="78">
        <f t="shared" ca="1" si="74"/>
        <v>0</v>
      </c>
      <c r="AG137" s="78">
        <f ca="1">IFERROR(IF(AC137=0,0, PPMT(Refi_I_Adj,'Loan Amort Table'!AC137,Refi_Amort_Periods,Refi_Orig_Loan_Amount)),0)</f>
        <v>0</v>
      </c>
      <c r="AH137" s="78">
        <f t="shared" ca="1" si="59"/>
        <v>0</v>
      </c>
      <c r="AI137" s="78">
        <f t="shared" ca="1" si="75"/>
        <v>0</v>
      </c>
    </row>
    <row r="138" spans="1:35" x14ac:dyDescent="0.25">
      <c r="A138">
        <f t="shared" si="55"/>
        <v>12</v>
      </c>
      <c r="B138">
        <f t="shared" si="60"/>
        <v>133</v>
      </c>
      <c r="C138" s="49">
        <f t="shared" si="52"/>
        <v>4019</v>
      </c>
      <c r="D138" s="78">
        <f>IF(C138&gt;EDATE(DATE(YEAR(SED_Origination_Date)+ SED_Amort, MONTH(SED_Origination_Date), DAY(SED_Origination_Date)),SED_Interest_Only),0,H137)</f>
        <v>0</v>
      </c>
      <c r="E138" s="78">
        <f t="shared" si="61"/>
        <v>0</v>
      </c>
      <c r="F138" s="78">
        <f>IFERROR(IF(OR(B138=0, C138&gt;=Refi_Origination_Date),0, PPMT(SED_I_Adj,'Loan Amort Table'!B138,SED_Amort_Periods,SED_Orig_Loan_Amount)),0)</f>
        <v>0</v>
      </c>
      <c r="G138" s="78" cm="1">
        <f t="array" ref="G138">IFERROR(_xlfn.IFS(C138&gt;=Refi_Origination_Date, 0, SED_Amort = 0, -D138 * SED_I_Adj, 1, IPMT(SED_I_Adj,IF(B138 = 0, 1, B138),SED_Amort_Periods,SED_Orig_Loan_Amount)),0)</f>
        <v>0</v>
      </c>
      <c r="H138" s="78">
        <f t="shared" si="51"/>
        <v>0</v>
      </c>
      <c r="J138">
        <f t="shared" si="56"/>
        <v>12</v>
      </c>
      <c r="K138">
        <f t="shared" si="62"/>
        <v>133</v>
      </c>
      <c r="L138" s="49">
        <f t="shared" si="69"/>
        <v>4019</v>
      </c>
      <c r="M138" s="78">
        <f>IF(L138&gt;EDATE(DATE(YEAR(NEW_Origination_Date)+ NEW_Amort, MONTH(NEW_Origination_Date), DAY(NEW_Origination_Date)),NEW_Interest_Only),0,Q137)</f>
        <v>0</v>
      </c>
      <c r="N138" s="78">
        <f t="shared" si="63"/>
        <v>0</v>
      </c>
      <c r="O138" s="78">
        <f>IFERROR(IF(K138=0,0, PPMT(NEW_I_Adj,'Loan Amort Table'!K138,NEW_Amort_Periods,NEW_Orig_Loan_Amount)),0)</f>
        <v>0</v>
      </c>
      <c r="P138" s="78">
        <f>IFERROR(IF(NEW_Amort = 0, -M138* NEW_I_Adj,IPMT(NEW_I_Adj,IF(K138 = 0, 1, K138),NEW_Amort_Periods,NEW_Orig_Loan_Amount)),0)</f>
        <v>0</v>
      </c>
      <c r="Q138" s="78">
        <f t="shared" si="64"/>
        <v>0</v>
      </c>
      <c r="S138">
        <f t="shared" si="57"/>
        <v>12</v>
      </c>
      <c r="T138">
        <f t="shared" si="65"/>
        <v>133</v>
      </c>
      <c r="U138" s="49">
        <f t="shared" si="70"/>
        <v>4019</v>
      </c>
      <c r="V138" s="78">
        <f t="shared" si="66"/>
        <v>0</v>
      </c>
      <c r="W138" s="78">
        <f t="shared" ca="1" si="71"/>
        <v>0</v>
      </c>
      <c r="X138" s="78">
        <f>IFERROR(IF(OR(T138=0, U138&gt;=Refi_Origination_Date),0, PPMT(Mezz_I_Adj,'Loan Amort Table'!T138,Mezz_Amort_Periods,Mezz_Orig_Loan_Amount)),0)</f>
        <v>0</v>
      </c>
      <c r="Y138" s="78" cm="1">
        <f t="array" aca="1" ref="Y138" ca="1">IFERROR(_xlfn.IFS(U138&gt;=Refi_Origination_Date,0, Mezz_Amort = 0, -V138 * Mezz_I_Adj, 1, IPMT(Mezz_I_Adj,IF(T138 = 0, 1, T138),Mezz_Amort_Periods,Mezz_Orig_Loan_Amount)),0)</f>
        <v>0</v>
      </c>
      <c r="Z138" s="78">
        <f t="shared" si="72"/>
        <v>0</v>
      </c>
      <c r="AB138">
        <f t="shared" si="58"/>
        <v>12</v>
      </c>
      <c r="AC138">
        <f t="shared" si="67"/>
        <v>133</v>
      </c>
      <c r="AD138" s="49">
        <f t="shared" si="73"/>
        <v>4019</v>
      </c>
      <c r="AE138" s="78">
        <f t="shared" si="68"/>
        <v>0</v>
      </c>
      <c r="AF138" s="78">
        <f t="shared" ca="1" si="74"/>
        <v>0</v>
      </c>
      <c r="AG138" s="78">
        <f ca="1">IFERROR(IF(AC138=0,0, PPMT(Refi_I_Adj,'Loan Amort Table'!AC138,Refi_Amort_Periods,Refi_Orig_Loan_Amount)),0)</f>
        <v>0</v>
      </c>
      <c r="AH138" s="78">
        <f t="shared" ca="1" si="59"/>
        <v>0</v>
      </c>
      <c r="AI138" s="78">
        <f t="shared" ca="1" si="75"/>
        <v>0</v>
      </c>
    </row>
    <row r="139" spans="1:35" x14ac:dyDescent="0.25">
      <c r="A139">
        <f t="shared" si="55"/>
        <v>12</v>
      </c>
      <c r="B139">
        <f t="shared" si="60"/>
        <v>134</v>
      </c>
      <c r="C139" s="49">
        <f t="shared" si="52"/>
        <v>4050</v>
      </c>
      <c r="D139" s="78">
        <f>IF(C139&gt;EDATE(DATE(YEAR(SED_Origination_Date)+ SED_Amort, MONTH(SED_Origination_Date), DAY(SED_Origination_Date)),SED_Interest_Only),0,H138)</f>
        <v>0</v>
      </c>
      <c r="E139" s="78">
        <f t="shared" si="61"/>
        <v>0</v>
      </c>
      <c r="F139" s="78">
        <f>IFERROR(IF(OR(B139=0, C139&gt;=Refi_Origination_Date),0, PPMT(SED_I_Adj,'Loan Amort Table'!B139,SED_Amort_Periods,SED_Orig_Loan_Amount)),0)</f>
        <v>0</v>
      </c>
      <c r="G139" s="78" cm="1">
        <f t="array" ref="G139">IFERROR(_xlfn.IFS(C139&gt;=Refi_Origination_Date, 0, SED_Amort = 0, -D139 * SED_I_Adj, 1, IPMT(SED_I_Adj,IF(B139 = 0, 1, B139),SED_Amort_Periods,SED_Orig_Loan_Amount)),0)</f>
        <v>0</v>
      </c>
      <c r="H139" s="78">
        <f t="shared" ref="H139:H202" si="76">D139+F139</f>
        <v>0</v>
      </c>
      <c r="J139">
        <f t="shared" si="56"/>
        <v>12</v>
      </c>
      <c r="K139">
        <f t="shared" si="62"/>
        <v>134</v>
      </c>
      <c r="L139" s="49">
        <f t="shared" si="69"/>
        <v>4050</v>
      </c>
      <c r="M139" s="78">
        <f>IF(L139&gt;EDATE(DATE(YEAR(NEW_Origination_Date)+ NEW_Amort, MONTH(NEW_Origination_Date), DAY(NEW_Origination_Date)),NEW_Interest_Only),0,Q138)</f>
        <v>0</v>
      </c>
      <c r="N139" s="78">
        <f t="shared" si="63"/>
        <v>0</v>
      </c>
      <c r="O139" s="78">
        <f>IFERROR(IF(K139=0,0, PPMT(NEW_I_Adj,'Loan Amort Table'!K139,NEW_Amort_Periods,NEW_Orig_Loan_Amount)),0)</f>
        <v>0</v>
      </c>
      <c r="P139" s="78">
        <f>IFERROR(IF(NEW_Amort = 0, -M139* NEW_I_Adj,IPMT(NEW_I_Adj,IF(K139 = 0, 1, K139),NEW_Amort_Periods,NEW_Orig_Loan_Amount)),0)</f>
        <v>0</v>
      </c>
      <c r="Q139" s="78">
        <f t="shared" si="64"/>
        <v>0</v>
      </c>
      <c r="S139">
        <f t="shared" si="57"/>
        <v>12</v>
      </c>
      <c r="T139">
        <f t="shared" si="65"/>
        <v>134</v>
      </c>
      <c r="U139" s="49">
        <f t="shared" si="70"/>
        <v>4050</v>
      </c>
      <c r="V139" s="78">
        <f t="shared" si="66"/>
        <v>0</v>
      </c>
      <c r="W139" s="78">
        <f t="shared" ca="1" si="71"/>
        <v>0</v>
      </c>
      <c r="X139" s="78">
        <f>IFERROR(IF(OR(T139=0, U139&gt;=Refi_Origination_Date),0, PPMT(Mezz_I_Adj,'Loan Amort Table'!T139,Mezz_Amort_Periods,Mezz_Orig_Loan_Amount)),0)</f>
        <v>0</v>
      </c>
      <c r="Y139" s="78" cm="1">
        <f t="array" aca="1" ref="Y139" ca="1">IFERROR(_xlfn.IFS(U139&gt;=Refi_Origination_Date,0, Mezz_Amort = 0, -V139 * Mezz_I_Adj, 1, IPMT(Mezz_I_Adj,IF(T139 = 0, 1, T139),Mezz_Amort_Periods,Mezz_Orig_Loan_Amount)),0)</f>
        <v>0</v>
      </c>
      <c r="Z139" s="78">
        <f t="shared" si="72"/>
        <v>0</v>
      </c>
      <c r="AB139">
        <f t="shared" si="58"/>
        <v>12</v>
      </c>
      <c r="AC139">
        <f t="shared" si="67"/>
        <v>134</v>
      </c>
      <c r="AD139" s="49">
        <f t="shared" si="73"/>
        <v>4050</v>
      </c>
      <c r="AE139" s="78">
        <f t="shared" si="68"/>
        <v>0</v>
      </c>
      <c r="AF139" s="78">
        <f t="shared" ca="1" si="74"/>
        <v>0</v>
      </c>
      <c r="AG139" s="78">
        <f ca="1">IFERROR(IF(AC139=0,0, PPMT(Refi_I_Adj,'Loan Amort Table'!AC139,Refi_Amort_Periods,Refi_Orig_Loan_Amount)),0)</f>
        <v>0</v>
      </c>
      <c r="AH139" s="78">
        <f t="shared" ca="1" si="59"/>
        <v>0</v>
      </c>
      <c r="AI139" s="78">
        <f t="shared" ca="1" si="75"/>
        <v>0</v>
      </c>
    </row>
    <row r="140" spans="1:35" x14ac:dyDescent="0.25">
      <c r="A140">
        <f t="shared" si="55"/>
        <v>12</v>
      </c>
      <c r="B140">
        <f t="shared" si="60"/>
        <v>135</v>
      </c>
      <c r="C140" s="49">
        <f t="shared" si="52"/>
        <v>4078</v>
      </c>
      <c r="D140" s="78">
        <f>IF(C140&gt;EDATE(DATE(YEAR(SED_Origination_Date)+ SED_Amort, MONTH(SED_Origination_Date), DAY(SED_Origination_Date)),SED_Interest_Only),0,H139)</f>
        <v>0</v>
      </c>
      <c r="E140" s="78">
        <f t="shared" si="61"/>
        <v>0</v>
      </c>
      <c r="F140" s="78">
        <f>IFERROR(IF(OR(B140=0, C140&gt;=Refi_Origination_Date),0, PPMT(SED_I_Adj,'Loan Amort Table'!B140,SED_Amort_Periods,SED_Orig_Loan_Amount)),0)</f>
        <v>0</v>
      </c>
      <c r="G140" s="78" cm="1">
        <f t="array" ref="G140">IFERROR(_xlfn.IFS(C140&gt;=Refi_Origination_Date, 0, SED_Amort = 0, -D140 * SED_I_Adj, 1, IPMT(SED_I_Adj,IF(B140 = 0, 1, B140),SED_Amort_Periods,SED_Orig_Loan_Amount)),0)</f>
        <v>0</v>
      </c>
      <c r="H140" s="78">
        <f t="shared" si="76"/>
        <v>0</v>
      </c>
      <c r="J140">
        <f t="shared" si="56"/>
        <v>12</v>
      </c>
      <c r="K140">
        <f t="shared" si="62"/>
        <v>135</v>
      </c>
      <c r="L140" s="49">
        <f t="shared" si="69"/>
        <v>4078</v>
      </c>
      <c r="M140" s="78">
        <f>IF(L140&gt;EDATE(DATE(YEAR(NEW_Origination_Date)+ NEW_Amort, MONTH(NEW_Origination_Date), DAY(NEW_Origination_Date)),NEW_Interest_Only),0,Q139)</f>
        <v>0</v>
      </c>
      <c r="N140" s="78">
        <f t="shared" si="63"/>
        <v>0</v>
      </c>
      <c r="O140" s="78">
        <f>IFERROR(IF(K140=0,0, PPMT(NEW_I_Adj,'Loan Amort Table'!K140,NEW_Amort_Periods,NEW_Orig_Loan_Amount)),0)</f>
        <v>0</v>
      </c>
      <c r="P140" s="78">
        <f>IFERROR(IF(NEW_Amort = 0, -M140* NEW_I_Adj,IPMT(NEW_I_Adj,IF(K140 = 0, 1, K140),NEW_Amort_Periods,NEW_Orig_Loan_Amount)),0)</f>
        <v>0</v>
      </c>
      <c r="Q140" s="78">
        <f t="shared" si="64"/>
        <v>0</v>
      </c>
      <c r="S140">
        <f t="shared" si="57"/>
        <v>12</v>
      </c>
      <c r="T140">
        <f t="shared" si="65"/>
        <v>135</v>
      </c>
      <c r="U140" s="49">
        <f t="shared" si="70"/>
        <v>4078</v>
      </c>
      <c r="V140" s="78">
        <f t="shared" si="66"/>
        <v>0</v>
      </c>
      <c r="W140" s="78">
        <f t="shared" ca="1" si="71"/>
        <v>0</v>
      </c>
      <c r="X140" s="78">
        <f>IFERROR(IF(OR(T140=0, U140&gt;=Refi_Origination_Date),0, PPMT(Mezz_I_Adj,'Loan Amort Table'!T140,Mezz_Amort_Periods,Mezz_Orig_Loan_Amount)),0)</f>
        <v>0</v>
      </c>
      <c r="Y140" s="78" cm="1">
        <f t="array" aca="1" ref="Y140" ca="1">IFERROR(_xlfn.IFS(U140&gt;=Refi_Origination_Date,0, Mezz_Amort = 0, -V140 * Mezz_I_Adj, 1, IPMT(Mezz_I_Adj,IF(T140 = 0, 1, T140),Mezz_Amort_Periods,Mezz_Orig_Loan_Amount)),0)</f>
        <v>0</v>
      </c>
      <c r="Z140" s="78">
        <f t="shared" si="72"/>
        <v>0</v>
      </c>
      <c r="AB140">
        <f t="shared" si="58"/>
        <v>12</v>
      </c>
      <c r="AC140">
        <f t="shared" si="67"/>
        <v>135</v>
      </c>
      <c r="AD140" s="49">
        <f t="shared" si="73"/>
        <v>4078</v>
      </c>
      <c r="AE140" s="78">
        <f t="shared" si="68"/>
        <v>0</v>
      </c>
      <c r="AF140" s="78">
        <f t="shared" ca="1" si="74"/>
        <v>0</v>
      </c>
      <c r="AG140" s="78">
        <f ca="1">IFERROR(IF(AC140=0,0, PPMT(Refi_I_Adj,'Loan Amort Table'!AC140,Refi_Amort_Periods,Refi_Orig_Loan_Amount)),0)</f>
        <v>0</v>
      </c>
      <c r="AH140" s="78">
        <f t="shared" ca="1" si="59"/>
        <v>0</v>
      </c>
      <c r="AI140" s="78">
        <f t="shared" ca="1" si="75"/>
        <v>0</v>
      </c>
    </row>
    <row r="141" spans="1:35" x14ac:dyDescent="0.25">
      <c r="A141">
        <f t="shared" si="55"/>
        <v>12</v>
      </c>
      <c r="B141">
        <f t="shared" si="60"/>
        <v>136</v>
      </c>
      <c r="C141" s="49">
        <f t="shared" si="52"/>
        <v>4109</v>
      </c>
      <c r="D141" s="78">
        <f>IF(C141&gt;EDATE(DATE(YEAR(SED_Origination_Date)+ SED_Amort, MONTH(SED_Origination_Date), DAY(SED_Origination_Date)),SED_Interest_Only),0,H140)</f>
        <v>0</v>
      </c>
      <c r="E141" s="78">
        <f t="shared" si="61"/>
        <v>0</v>
      </c>
      <c r="F141" s="78">
        <f>IFERROR(IF(OR(B141=0, C141&gt;=Refi_Origination_Date),0, PPMT(SED_I_Adj,'Loan Amort Table'!B141,SED_Amort_Periods,SED_Orig_Loan_Amount)),0)</f>
        <v>0</v>
      </c>
      <c r="G141" s="78" cm="1">
        <f t="array" ref="G141">IFERROR(_xlfn.IFS(C141&gt;=Refi_Origination_Date, 0, SED_Amort = 0, -D141 * SED_I_Adj, 1, IPMT(SED_I_Adj,IF(B141 = 0, 1, B141),SED_Amort_Periods,SED_Orig_Loan_Amount)),0)</f>
        <v>0</v>
      </c>
      <c r="H141" s="78">
        <f t="shared" si="76"/>
        <v>0</v>
      </c>
      <c r="J141">
        <f t="shared" si="56"/>
        <v>12</v>
      </c>
      <c r="K141">
        <f t="shared" si="62"/>
        <v>136</v>
      </c>
      <c r="L141" s="49">
        <f t="shared" si="69"/>
        <v>4109</v>
      </c>
      <c r="M141" s="78">
        <f>IF(L141&gt;EDATE(DATE(YEAR(NEW_Origination_Date)+ NEW_Amort, MONTH(NEW_Origination_Date), DAY(NEW_Origination_Date)),NEW_Interest_Only),0,Q140)</f>
        <v>0</v>
      </c>
      <c r="N141" s="78">
        <f t="shared" si="63"/>
        <v>0</v>
      </c>
      <c r="O141" s="78">
        <f>IFERROR(IF(K141=0,0, PPMT(NEW_I_Adj,'Loan Amort Table'!K141,NEW_Amort_Periods,NEW_Orig_Loan_Amount)),0)</f>
        <v>0</v>
      </c>
      <c r="P141" s="78">
        <f>IFERROR(IF(NEW_Amort = 0, -M141* NEW_I_Adj,IPMT(NEW_I_Adj,IF(K141 = 0, 1, K141),NEW_Amort_Periods,NEW_Orig_Loan_Amount)),0)</f>
        <v>0</v>
      </c>
      <c r="Q141" s="78">
        <f t="shared" si="64"/>
        <v>0</v>
      </c>
      <c r="S141">
        <f t="shared" si="57"/>
        <v>12</v>
      </c>
      <c r="T141">
        <f t="shared" si="65"/>
        <v>136</v>
      </c>
      <c r="U141" s="49">
        <f t="shared" si="70"/>
        <v>4109</v>
      </c>
      <c r="V141" s="78">
        <f t="shared" si="66"/>
        <v>0</v>
      </c>
      <c r="W141" s="78">
        <f t="shared" ca="1" si="71"/>
        <v>0</v>
      </c>
      <c r="X141" s="78">
        <f>IFERROR(IF(OR(T141=0, U141&gt;=Refi_Origination_Date),0, PPMT(Mezz_I_Adj,'Loan Amort Table'!T141,Mezz_Amort_Periods,Mezz_Orig_Loan_Amount)),0)</f>
        <v>0</v>
      </c>
      <c r="Y141" s="78" cm="1">
        <f t="array" aca="1" ref="Y141" ca="1">IFERROR(_xlfn.IFS(U141&gt;=Refi_Origination_Date,0, Mezz_Amort = 0, -V141 * Mezz_I_Adj, 1, IPMT(Mezz_I_Adj,IF(T141 = 0, 1, T141),Mezz_Amort_Periods,Mezz_Orig_Loan_Amount)),0)</f>
        <v>0</v>
      </c>
      <c r="Z141" s="78">
        <f t="shared" si="72"/>
        <v>0</v>
      </c>
      <c r="AB141">
        <f t="shared" si="58"/>
        <v>12</v>
      </c>
      <c r="AC141">
        <f t="shared" si="67"/>
        <v>136</v>
      </c>
      <c r="AD141" s="49">
        <f t="shared" si="73"/>
        <v>4109</v>
      </c>
      <c r="AE141" s="78">
        <f t="shared" si="68"/>
        <v>0</v>
      </c>
      <c r="AF141" s="78">
        <f t="shared" ca="1" si="74"/>
        <v>0</v>
      </c>
      <c r="AG141" s="78">
        <f ca="1">IFERROR(IF(AC141=0,0, PPMT(Refi_I_Adj,'Loan Amort Table'!AC141,Refi_Amort_Periods,Refi_Orig_Loan_Amount)),0)</f>
        <v>0</v>
      </c>
      <c r="AH141" s="78">
        <f t="shared" ca="1" si="59"/>
        <v>0</v>
      </c>
      <c r="AI141" s="78">
        <f t="shared" ca="1" si="75"/>
        <v>0</v>
      </c>
    </row>
    <row r="142" spans="1:35" x14ac:dyDescent="0.25">
      <c r="A142">
        <f t="shared" si="55"/>
        <v>12</v>
      </c>
      <c r="B142">
        <f t="shared" si="60"/>
        <v>137</v>
      </c>
      <c r="C142" s="49">
        <f t="shared" si="52"/>
        <v>4139</v>
      </c>
      <c r="D142" s="78">
        <f>IF(C142&gt;EDATE(DATE(YEAR(SED_Origination_Date)+ SED_Amort, MONTH(SED_Origination_Date), DAY(SED_Origination_Date)),SED_Interest_Only),0,H141)</f>
        <v>0</v>
      </c>
      <c r="E142" s="78">
        <f t="shared" si="61"/>
        <v>0</v>
      </c>
      <c r="F142" s="78">
        <f>IFERROR(IF(OR(B142=0, C142&gt;=Refi_Origination_Date),0, PPMT(SED_I_Adj,'Loan Amort Table'!B142,SED_Amort_Periods,SED_Orig_Loan_Amount)),0)</f>
        <v>0</v>
      </c>
      <c r="G142" s="78" cm="1">
        <f t="array" ref="G142">IFERROR(_xlfn.IFS(C142&gt;=Refi_Origination_Date, 0, SED_Amort = 0, -D142 * SED_I_Adj, 1, IPMT(SED_I_Adj,IF(B142 = 0, 1, B142),SED_Amort_Periods,SED_Orig_Loan_Amount)),0)</f>
        <v>0</v>
      </c>
      <c r="H142" s="78">
        <f t="shared" si="76"/>
        <v>0</v>
      </c>
      <c r="J142">
        <f t="shared" si="56"/>
        <v>12</v>
      </c>
      <c r="K142">
        <f t="shared" si="62"/>
        <v>137</v>
      </c>
      <c r="L142" s="49">
        <f t="shared" si="69"/>
        <v>4139</v>
      </c>
      <c r="M142" s="78">
        <f>IF(L142&gt;EDATE(DATE(YEAR(NEW_Origination_Date)+ NEW_Amort, MONTH(NEW_Origination_Date), DAY(NEW_Origination_Date)),NEW_Interest_Only),0,Q141)</f>
        <v>0</v>
      </c>
      <c r="N142" s="78">
        <f t="shared" si="63"/>
        <v>0</v>
      </c>
      <c r="O142" s="78">
        <f>IFERROR(IF(K142=0,0, PPMT(NEW_I_Adj,'Loan Amort Table'!K142,NEW_Amort_Periods,NEW_Orig_Loan_Amount)),0)</f>
        <v>0</v>
      </c>
      <c r="P142" s="78">
        <f>IFERROR(IF(NEW_Amort = 0, -M142* NEW_I_Adj,IPMT(NEW_I_Adj,IF(K142 = 0, 1, K142),NEW_Amort_Periods,NEW_Orig_Loan_Amount)),0)</f>
        <v>0</v>
      </c>
      <c r="Q142" s="78">
        <f t="shared" si="64"/>
        <v>0</v>
      </c>
      <c r="S142">
        <f t="shared" si="57"/>
        <v>12</v>
      </c>
      <c r="T142">
        <f t="shared" si="65"/>
        <v>137</v>
      </c>
      <c r="U142" s="49">
        <f t="shared" si="70"/>
        <v>4139</v>
      </c>
      <c r="V142" s="78">
        <f t="shared" si="66"/>
        <v>0</v>
      </c>
      <c r="W142" s="78">
        <f t="shared" ca="1" si="71"/>
        <v>0</v>
      </c>
      <c r="X142" s="78">
        <f>IFERROR(IF(OR(T142=0, U142&gt;=Refi_Origination_Date),0, PPMT(Mezz_I_Adj,'Loan Amort Table'!T142,Mezz_Amort_Periods,Mezz_Orig_Loan_Amount)),0)</f>
        <v>0</v>
      </c>
      <c r="Y142" s="78" cm="1">
        <f t="array" aca="1" ref="Y142" ca="1">IFERROR(_xlfn.IFS(U142&gt;=Refi_Origination_Date,0, Mezz_Amort = 0, -V142 * Mezz_I_Adj, 1, IPMT(Mezz_I_Adj,IF(T142 = 0, 1, T142),Mezz_Amort_Periods,Mezz_Orig_Loan_Amount)),0)</f>
        <v>0</v>
      </c>
      <c r="Z142" s="78">
        <f t="shared" si="72"/>
        <v>0</v>
      </c>
      <c r="AB142">
        <f t="shared" si="58"/>
        <v>12</v>
      </c>
      <c r="AC142">
        <f t="shared" si="67"/>
        <v>137</v>
      </c>
      <c r="AD142" s="49">
        <f t="shared" si="73"/>
        <v>4139</v>
      </c>
      <c r="AE142" s="78">
        <f t="shared" si="68"/>
        <v>0</v>
      </c>
      <c r="AF142" s="78">
        <f t="shared" ca="1" si="74"/>
        <v>0</v>
      </c>
      <c r="AG142" s="78">
        <f ca="1">IFERROR(IF(AC142=0,0, PPMT(Refi_I_Adj,'Loan Amort Table'!AC142,Refi_Amort_Periods,Refi_Orig_Loan_Amount)),0)</f>
        <v>0</v>
      </c>
      <c r="AH142" s="78">
        <f t="shared" ca="1" si="59"/>
        <v>0</v>
      </c>
      <c r="AI142" s="78">
        <f t="shared" ca="1" si="75"/>
        <v>0</v>
      </c>
    </row>
    <row r="143" spans="1:35" x14ac:dyDescent="0.25">
      <c r="A143">
        <f t="shared" si="55"/>
        <v>12</v>
      </c>
      <c r="B143">
        <f t="shared" si="60"/>
        <v>138</v>
      </c>
      <c r="C143" s="49">
        <f t="shared" si="52"/>
        <v>4170</v>
      </c>
      <c r="D143" s="78">
        <f>IF(C143&gt;EDATE(DATE(YEAR(SED_Origination_Date)+ SED_Amort, MONTH(SED_Origination_Date), DAY(SED_Origination_Date)),SED_Interest_Only),0,H142)</f>
        <v>0</v>
      </c>
      <c r="E143" s="78">
        <f t="shared" si="61"/>
        <v>0</v>
      </c>
      <c r="F143" s="78">
        <f>IFERROR(IF(OR(B143=0, C143&gt;=Refi_Origination_Date),0, PPMT(SED_I_Adj,'Loan Amort Table'!B143,SED_Amort_Periods,SED_Orig_Loan_Amount)),0)</f>
        <v>0</v>
      </c>
      <c r="G143" s="78" cm="1">
        <f t="array" ref="G143">IFERROR(_xlfn.IFS(C143&gt;=Refi_Origination_Date, 0, SED_Amort = 0, -D143 * SED_I_Adj, 1, IPMT(SED_I_Adj,IF(B143 = 0, 1, B143),SED_Amort_Periods,SED_Orig_Loan_Amount)),0)</f>
        <v>0</v>
      </c>
      <c r="H143" s="78">
        <f t="shared" si="76"/>
        <v>0</v>
      </c>
      <c r="J143">
        <f t="shared" si="56"/>
        <v>12</v>
      </c>
      <c r="K143">
        <f t="shared" si="62"/>
        <v>138</v>
      </c>
      <c r="L143" s="49">
        <f t="shared" si="69"/>
        <v>4170</v>
      </c>
      <c r="M143" s="78">
        <f>IF(L143&gt;EDATE(DATE(YEAR(NEW_Origination_Date)+ NEW_Amort, MONTH(NEW_Origination_Date), DAY(NEW_Origination_Date)),NEW_Interest_Only),0,Q142)</f>
        <v>0</v>
      </c>
      <c r="N143" s="78">
        <f t="shared" si="63"/>
        <v>0</v>
      </c>
      <c r="O143" s="78">
        <f>IFERROR(IF(K143=0,0, PPMT(NEW_I_Adj,'Loan Amort Table'!K143,NEW_Amort_Periods,NEW_Orig_Loan_Amount)),0)</f>
        <v>0</v>
      </c>
      <c r="P143" s="78">
        <f>IFERROR(IF(NEW_Amort = 0, -M143* NEW_I_Adj,IPMT(NEW_I_Adj,IF(K143 = 0, 1, K143),NEW_Amort_Periods,NEW_Orig_Loan_Amount)),0)</f>
        <v>0</v>
      </c>
      <c r="Q143" s="78">
        <f t="shared" si="64"/>
        <v>0</v>
      </c>
      <c r="S143">
        <f t="shared" si="57"/>
        <v>12</v>
      </c>
      <c r="T143">
        <f t="shared" si="65"/>
        <v>138</v>
      </c>
      <c r="U143" s="49">
        <f t="shared" si="70"/>
        <v>4170</v>
      </c>
      <c r="V143" s="78">
        <f t="shared" si="66"/>
        <v>0</v>
      </c>
      <c r="W143" s="78">
        <f t="shared" ca="1" si="71"/>
        <v>0</v>
      </c>
      <c r="X143" s="78">
        <f>IFERROR(IF(OR(T143=0, U143&gt;=Refi_Origination_Date),0, PPMT(Mezz_I_Adj,'Loan Amort Table'!T143,Mezz_Amort_Periods,Mezz_Orig_Loan_Amount)),0)</f>
        <v>0</v>
      </c>
      <c r="Y143" s="78" cm="1">
        <f t="array" aca="1" ref="Y143" ca="1">IFERROR(_xlfn.IFS(U143&gt;=Refi_Origination_Date,0, Mezz_Amort = 0, -V143 * Mezz_I_Adj, 1, IPMT(Mezz_I_Adj,IF(T143 = 0, 1, T143),Mezz_Amort_Periods,Mezz_Orig_Loan_Amount)),0)</f>
        <v>0</v>
      </c>
      <c r="Z143" s="78">
        <f t="shared" si="72"/>
        <v>0</v>
      </c>
      <c r="AB143">
        <f t="shared" si="58"/>
        <v>12</v>
      </c>
      <c r="AC143">
        <f t="shared" si="67"/>
        <v>138</v>
      </c>
      <c r="AD143" s="49">
        <f t="shared" si="73"/>
        <v>4170</v>
      </c>
      <c r="AE143" s="78">
        <f t="shared" si="68"/>
        <v>0</v>
      </c>
      <c r="AF143" s="78">
        <f t="shared" ca="1" si="74"/>
        <v>0</v>
      </c>
      <c r="AG143" s="78">
        <f ca="1">IFERROR(IF(AC143=0,0, PPMT(Refi_I_Adj,'Loan Amort Table'!AC143,Refi_Amort_Periods,Refi_Orig_Loan_Amount)),0)</f>
        <v>0</v>
      </c>
      <c r="AH143" s="78">
        <f t="shared" ca="1" si="59"/>
        <v>0</v>
      </c>
      <c r="AI143" s="78">
        <f t="shared" ca="1" si="75"/>
        <v>0</v>
      </c>
    </row>
    <row r="144" spans="1:35" x14ac:dyDescent="0.25">
      <c r="A144">
        <f t="shared" si="55"/>
        <v>12</v>
      </c>
      <c r="B144">
        <f t="shared" si="60"/>
        <v>139</v>
      </c>
      <c r="C144" s="49">
        <f t="shared" si="52"/>
        <v>4200</v>
      </c>
      <c r="D144" s="78">
        <f>IF(C144&gt;EDATE(DATE(YEAR(SED_Origination_Date)+ SED_Amort, MONTH(SED_Origination_Date), DAY(SED_Origination_Date)),SED_Interest_Only),0,H143)</f>
        <v>0</v>
      </c>
      <c r="E144" s="78">
        <f t="shared" si="61"/>
        <v>0</v>
      </c>
      <c r="F144" s="78">
        <f>IFERROR(IF(OR(B144=0, C144&gt;=Refi_Origination_Date),0, PPMT(SED_I_Adj,'Loan Amort Table'!B144,SED_Amort_Periods,SED_Orig_Loan_Amount)),0)</f>
        <v>0</v>
      </c>
      <c r="G144" s="78" cm="1">
        <f t="array" ref="G144">IFERROR(_xlfn.IFS(C144&gt;=Refi_Origination_Date, 0, SED_Amort = 0, -D144 * SED_I_Adj, 1, IPMT(SED_I_Adj,IF(B144 = 0, 1, B144),SED_Amort_Periods,SED_Orig_Loan_Amount)),0)</f>
        <v>0</v>
      </c>
      <c r="H144" s="78">
        <f t="shared" si="76"/>
        <v>0</v>
      </c>
      <c r="J144">
        <f t="shared" si="56"/>
        <v>12</v>
      </c>
      <c r="K144">
        <f t="shared" si="62"/>
        <v>139</v>
      </c>
      <c r="L144" s="49">
        <f t="shared" si="69"/>
        <v>4200</v>
      </c>
      <c r="M144" s="78">
        <f>IF(L144&gt;EDATE(DATE(YEAR(NEW_Origination_Date)+ NEW_Amort, MONTH(NEW_Origination_Date), DAY(NEW_Origination_Date)),NEW_Interest_Only),0,Q143)</f>
        <v>0</v>
      </c>
      <c r="N144" s="78">
        <f t="shared" si="63"/>
        <v>0</v>
      </c>
      <c r="O144" s="78">
        <f>IFERROR(IF(K144=0,0, PPMT(NEW_I_Adj,'Loan Amort Table'!K144,NEW_Amort_Periods,NEW_Orig_Loan_Amount)),0)</f>
        <v>0</v>
      </c>
      <c r="P144" s="78">
        <f>IFERROR(IF(NEW_Amort = 0, -M144* NEW_I_Adj,IPMT(NEW_I_Adj,IF(K144 = 0, 1, K144),NEW_Amort_Periods,NEW_Orig_Loan_Amount)),0)</f>
        <v>0</v>
      </c>
      <c r="Q144" s="78">
        <f t="shared" si="64"/>
        <v>0</v>
      </c>
      <c r="S144">
        <f t="shared" si="57"/>
        <v>12</v>
      </c>
      <c r="T144">
        <f t="shared" si="65"/>
        <v>139</v>
      </c>
      <c r="U144" s="49">
        <f t="shared" si="70"/>
        <v>4200</v>
      </c>
      <c r="V144" s="78">
        <f t="shared" si="66"/>
        <v>0</v>
      </c>
      <c r="W144" s="78">
        <f t="shared" ca="1" si="71"/>
        <v>0</v>
      </c>
      <c r="X144" s="78">
        <f>IFERROR(IF(OR(T144=0, U144&gt;=Refi_Origination_Date),0, PPMT(Mezz_I_Adj,'Loan Amort Table'!T144,Mezz_Amort_Periods,Mezz_Orig_Loan_Amount)),0)</f>
        <v>0</v>
      </c>
      <c r="Y144" s="78" cm="1">
        <f t="array" aca="1" ref="Y144" ca="1">IFERROR(_xlfn.IFS(U144&gt;=Refi_Origination_Date,0, Mezz_Amort = 0, -V144 * Mezz_I_Adj, 1, IPMT(Mezz_I_Adj,IF(T144 = 0, 1, T144),Mezz_Amort_Periods,Mezz_Orig_Loan_Amount)),0)</f>
        <v>0</v>
      </c>
      <c r="Z144" s="78">
        <f t="shared" si="72"/>
        <v>0</v>
      </c>
      <c r="AB144">
        <f t="shared" si="58"/>
        <v>12</v>
      </c>
      <c r="AC144">
        <f t="shared" si="67"/>
        <v>139</v>
      </c>
      <c r="AD144" s="49">
        <f t="shared" si="73"/>
        <v>4200</v>
      </c>
      <c r="AE144" s="78">
        <f t="shared" si="68"/>
        <v>0</v>
      </c>
      <c r="AF144" s="78">
        <f t="shared" ca="1" si="74"/>
        <v>0</v>
      </c>
      <c r="AG144" s="78">
        <f ca="1">IFERROR(IF(AC144=0,0, PPMT(Refi_I_Adj,'Loan Amort Table'!AC144,Refi_Amort_Periods,Refi_Orig_Loan_Amount)),0)</f>
        <v>0</v>
      </c>
      <c r="AH144" s="78">
        <f t="shared" ca="1" si="59"/>
        <v>0</v>
      </c>
      <c r="AI144" s="78">
        <f t="shared" ca="1" si="75"/>
        <v>0</v>
      </c>
    </row>
    <row r="145" spans="1:35" x14ac:dyDescent="0.25">
      <c r="A145">
        <f t="shared" si="55"/>
        <v>12</v>
      </c>
      <c r="B145">
        <f t="shared" si="60"/>
        <v>140</v>
      </c>
      <c r="C145" s="49">
        <f t="shared" si="52"/>
        <v>4231</v>
      </c>
      <c r="D145" s="78">
        <f>IF(C145&gt;EDATE(DATE(YEAR(SED_Origination_Date)+ SED_Amort, MONTH(SED_Origination_Date), DAY(SED_Origination_Date)),SED_Interest_Only),0,H144)</f>
        <v>0</v>
      </c>
      <c r="E145" s="78">
        <f t="shared" si="61"/>
        <v>0</v>
      </c>
      <c r="F145" s="78">
        <f>IFERROR(IF(OR(B145=0, C145&gt;=Refi_Origination_Date),0, PPMT(SED_I_Adj,'Loan Amort Table'!B145,SED_Amort_Periods,SED_Orig_Loan_Amount)),0)</f>
        <v>0</v>
      </c>
      <c r="G145" s="78" cm="1">
        <f t="array" ref="G145">IFERROR(_xlfn.IFS(C145&gt;=Refi_Origination_Date, 0, SED_Amort = 0, -D145 * SED_I_Adj, 1, IPMT(SED_I_Adj,IF(B145 = 0, 1, B145),SED_Amort_Periods,SED_Orig_Loan_Amount)),0)</f>
        <v>0</v>
      </c>
      <c r="H145" s="78">
        <f t="shared" si="76"/>
        <v>0</v>
      </c>
      <c r="J145">
        <f t="shared" si="56"/>
        <v>12</v>
      </c>
      <c r="K145">
        <f t="shared" si="62"/>
        <v>140</v>
      </c>
      <c r="L145" s="49">
        <f t="shared" si="69"/>
        <v>4231</v>
      </c>
      <c r="M145" s="78">
        <f>IF(L145&gt;EDATE(DATE(YEAR(NEW_Origination_Date)+ NEW_Amort, MONTH(NEW_Origination_Date), DAY(NEW_Origination_Date)),NEW_Interest_Only),0,Q144)</f>
        <v>0</v>
      </c>
      <c r="N145" s="78">
        <f t="shared" si="63"/>
        <v>0</v>
      </c>
      <c r="O145" s="78">
        <f>IFERROR(IF(K145=0,0, PPMT(NEW_I_Adj,'Loan Amort Table'!K145,NEW_Amort_Periods,NEW_Orig_Loan_Amount)),0)</f>
        <v>0</v>
      </c>
      <c r="P145" s="78">
        <f>IFERROR(IF(NEW_Amort = 0, -M145* NEW_I_Adj,IPMT(NEW_I_Adj,IF(K145 = 0, 1, K145),NEW_Amort_Periods,NEW_Orig_Loan_Amount)),0)</f>
        <v>0</v>
      </c>
      <c r="Q145" s="78">
        <f t="shared" si="64"/>
        <v>0</v>
      </c>
      <c r="S145">
        <f t="shared" si="57"/>
        <v>12</v>
      </c>
      <c r="T145">
        <f t="shared" si="65"/>
        <v>140</v>
      </c>
      <c r="U145" s="49">
        <f t="shared" si="70"/>
        <v>4231</v>
      </c>
      <c r="V145" s="78">
        <f t="shared" si="66"/>
        <v>0</v>
      </c>
      <c r="W145" s="78">
        <f t="shared" ca="1" si="71"/>
        <v>0</v>
      </c>
      <c r="X145" s="78">
        <f>IFERROR(IF(OR(T145=0, U145&gt;=Refi_Origination_Date),0, PPMT(Mezz_I_Adj,'Loan Amort Table'!T145,Mezz_Amort_Periods,Mezz_Orig_Loan_Amount)),0)</f>
        <v>0</v>
      </c>
      <c r="Y145" s="78" cm="1">
        <f t="array" aca="1" ref="Y145" ca="1">IFERROR(_xlfn.IFS(U145&gt;=Refi_Origination_Date,0, Mezz_Amort = 0, -V145 * Mezz_I_Adj, 1, IPMT(Mezz_I_Adj,IF(T145 = 0, 1, T145),Mezz_Amort_Periods,Mezz_Orig_Loan_Amount)),0)</f>
        <v>0</v>
      </c>
      <c r="Z145" s="78">
        <f t="shared" si="72"/>
        <v>0</v>
      </c>
      <c r="AB145">
        <f t="shared" si="58"/>
        <v>12</v>
      </c>
      <c r="AC145">
        <f t="shared" si="67"/>
        <v>140</v>
      </c>
      <c r="AD145" s="49">
        <f t="shared" si="73"/>
        <v>4231</v>
      </c>
      <c r="AE145" s="78">
        <f t="shared" si="68"/>
        <v>0</v>
      </c>
      <c r="AF145" s="78">
        <f t="shared" ca="1" si="74"/>
        <v>0</v>
      </c>
      <c r="AG145" s="78">
        <f ca="1">IFERROR(IF(AC145=0,0, PPMT(Refi_I_Adj,'Loan Amort Table'!AC145,Refi_Amort_Periods,Refi_Orig_Loan_Amount)),0)</f>
        <v>0</v>
      </c>
      <c r="AH145" s="78">
        <f t="shared" ca="1" si="59"/>
        <v>0</v>
      </c>
      <c r="AI145" s="78">
        <f t="shared" ca="1" si="75"/>
        <v>0</v>
      </c>
    </row>
    <row r="146" spans="1:35" x14ac:dyDescent="0.25">
      <c r="A146">
        <f t="shared" si="55"/>
        <v>12</v>
      </c>
      <c r="B146">
        <f t="shared" si="60"/>
        <v>141</v>
      </c>
      <c r="C146" s="49">
        <f t="shared" si="52"/>
        <v>4262</v>
      </c>
      <c r="D146" s="78">
        <f>IF(C146&gt;EDATE(DATE(YEAR(SED_Origination_Date)+ SED_Amort, MONTH(SED_Origination_Date), DAY(SED_Origination_Date)),SED_Interest_Only),0,H145)</f>
        <v>0</v>
      </c>
      <c r="E146" s="78">
        <f t="shared" si="61"/>
        <v>0</v>
      </c>
      <c r="F146" s="78">
        <f>IFERROR(IF(OR(B146=0, C146&gt;=Refi_Origination_Date),0, PPMT(SED_I_Adj,'Loan Amort Table'!B146,SED_Amort_Periods,SED_Orig_Loan_Amount)),0)</f>
        <v>0</v>
      </c>
      <c r="G146" s="78" cm="1">
        <f t="array" ref="G146">IFERROR(_xlfn.IFS(C146&gt;=Refi_Origination_Date, 0, SED_Amort = 0, -D146 * SED_I_Adj, 1, IPMT(SED_I_Adj,IF(B146 = 0, 1, B146),SED_Amort_Periods,SED_Orig_Loan_Amount)),0)</f>
        <v>0</v>
      </c>
      <c r="H146" s="78">
        <f t="shared" si="76"/>
        <v>0</v>
      </c>
      <c r="J146">
        <f t="shared" si="56"/>
        <v>12</v>
      </c>
      <c r="K146">
        <f t="shared" si="62"/>
        <v>141</v>
      </c>
      <c r="L146" s="49">
        <f t="shared" si="69"/>
        <v>4262</v>
      </c>
      <c r="M146" s="78">
        <f>IF(L146&gt;EDATE(DATE(YEAR(NEW_Origination_Date)+ NEW_Amort, MONTH(NEW_Origination_Date), DAY(NEW_Origination_Date)),NEW_Interest_Only),0,Q145)</f>
        <v>0</v>
      </c>
      <c r="N146" s="78">
        <f t="shared" si="63"/>
        <v>0</v>
      </c>
      <c r="O146" s="78">
        <f>IFERROR(IF(K146=0,0, PPMT(NEW_I_Adj,'Loan Amort Table'!K146,NEW_Amort_Periods,NEW_Orig_Loan_Amount)),0)</f>
        <v>0</v>
      </c>
      <c r="P146" s="78">
        <f>IFERROR(IF(NEW_Amort = 0, -M146* NEW_I_Adj,IPMT(NEW_I_Adj,IF(K146 = 0, 1, K146),NEW_Amort_Periods,NEW_Orig_Loan_Amount)),0)</f>
        <v>0</v>
      </c>
      <c r="Q146" s="78">
        <f t="shared" si="64"/>
        <v>0</v>
      </c>
      <c r="S146">
        <f t="shared" si="57"/>
        <v>12</v>
      </c>
      <c r="T146">
        <f t="shared" si="65"/>
        <v>141</v>
      </c>
      <c r="U146" s="49">
        <f t="shared" si="70"/>
        <v>4262</v>
      </c>
      <c r="V146" s="78">
        <f t="shared" si="66"/>
        <v>0</v>
      </c>
      <c r="W146" s="78">
        <f t="shared" ca="1" si="71"/>
        <v>0</v>
      </c>
      <c r="X146" s="78">
        <f>IFERROR(IF(OR(T146=0, U146&gt;=Refi_Origination_Date),0, PPMT(Mezz_I_Adj,'Loan Amort Table'!T146,Mezz_Amort_Periods,Mezz_Orig_Loan_Amount)),0)</f>
        <v>0</v>
      </c>
      <c r="Y146" s="78" cm="1">
        <f t="array" aca="1" ref="Y146" ca="1">IFERROR(_xlfn.IFS(U146&gt;=Refi_Origination_Date,0, Mezz_Amort = 0, -V146 * Mezz_I_Adj, 1, IPMT(Mezz_I_Adj,IF(T146 = 0, 1, T146),Mezz_Amort_Periods,Mezz_Orig_Loan_Amount)),0)</f>
        <v>0</v>
      </c>
      <c r="Z146" s="78">
        <f t="shared" si="72"/>
        <v>0</v>
      </c>
      <c r="AB146">
        <f t="shared" si="58"/>
        <v>12</v>
      </c>
      <c r="AC146">
        <f t="shared" si="67"/>
        <v>141</v>
      </c>
      <c r="AD146" s="49">
        <f t="shared" si="73"/>
        <v>4262</v>
      </c>
      <c r="AE146" s="78">
        <f t="shared" si="68"/>
        <v>0</v>
      </c>
      <c r="AF146" s="78">
        <f t="shared" ca="1" si="74"/>
        <v>0</v>
      </c>
      <c r="AG146" s="78">
        <f ca="1">IFERROR(IF(AC146=0,0, PPMT(Refi_I_Adj,'Loan Amort Table'!AC146,Refi_Amort_Periods,Refi_Orig_Loan_Amount)),0)</f>
        <v>0</v>
      </c>
      <c r="AH146" s="78">
        <f t="shared" ca="1" si="59"/>
        <v>0</v>
      </c>
      <c r="AI146" s="78">
        <f t="shared" ca="1" si="75"/>
        <v>0</v>
      </c>
    </row>
    <row r="147" spans="1:35" x14ac:dyDescent="0.25">
      <c r="A147">
        <f t="shared" si="55"/>
        <v>12</v>
      </c>
      <c r="B147">
        <f t="shared" si="60"/>
        <v>142</v>
      </c>
      <c r="C147" s="49">
        <f t="shared" si="52"/>
        <v>4292</v>
      </c>
      <c r="D147" s="78">
        <f>IF(C147&gt;EDATE(DATE(YEAR(SED_Origination_Date)+ SED_Amort, MONTH(SED_Origination_Date), DAY(SED_Origination_Date)),SED_Interest_Only),0,H146)</f>
        <v>0</v>
      </c>
      <c r="E147" s="78">
        <f t="shared" si="61"/>
        <v>0</v>
      </c>
      <c r="F147" s="78">
        <f>IFERROR(IF(OR(B147=0, C147&gt;=Refi_Origination_Date),0, PPMT(SED_I_Adj,'Loan Amort Table'!B147,SED_Amort_Periods,SED_Orig_Loan_Amount)),0)</f>
        <v>0</v>
      </c>
      <c r="G147" s="78" cm="1">
        <f t="array" ref="G147">IFERROR(_xlfn.IFS(C147&gt;=Refi_Origination_Date, 0, SED_Amort = 0, -D147 * SED_I_Adj, 1, IPMT(SED_I_Adj,IF(B147 = 0, 1, B147),SED_Amort_Periods,SED_Orig_Loan_Amount)),0)</f>
        <v>0</v>
      </c>
      <c r="H147" s="78">
        <f t="shared" si="76"/>
        <v>0</v>
      </c>
      <c r="J147">
        <f t="shared" si="56"/>
        <v>12</v>
      </c>
      <c r="K147">
        <f t="shared" si="62"/>
        <v>142</v>
      </c>
      <c r="L147" s="49">
        <f t="shared" si="69"/>
        <v>4292</v>
      </c>
      <c r="M147" s="78">
        <f>IF(L147&gt;EDATE(DATE(YEAR(NEW_Origination_Date)+ NEW_Amort, MONTH(NEW_Origination_Date), DAY(NEW_Origination_Date)),NEW_Interest_Only),0,Q146)</f>
        <v>0</v>
      </c>
      <c r="N147" s="78">
        <f t="shared" si="63"/>
        <v>0</v>
      </c>
      <c r="O147" s="78">
        <f>IFERROR(IF(K147=0,0, PPMT(NEW_I_Adj,'Loan Amort Table'!K147,NEW_Amort_Periods,NEW_Orig_Loan_Amount)),0)</f>
        <v>0</v>
      </c>
      <c r="P147" s="78">
        <f>IFERROR(IF(NEW_Amort = 0, -M147* NEW_I_Adj,IPMT(NEW_I_Adj,IF(K147 = 0, 1, K147),NEW_Amort_Periods,NEW_Orig_Loan_Amount)),0)</f>
        <v>0</v>
      </c>
      <c r="Q147" s="78">
        <f t="shared" si="64"/>
        <v>0</v>
      </c>
      <c r="S147">
        <f t="shared" si="57"/>
        <v>12</v>
      </c>
      <c r="T147">
        <f t="shared" si="65"/>
        <v>142</v>
      </c>
      <c r="U147" s="49">
        <f t="shared" si="70"/>
        <v>4292</v>
      </c>
      <c r="V147" s="78">
        <f t="shared" si="66"/>
        <v>0</v>
      </c>
      <c r="W147" s="78">
        <f t="shared" ca="1" si="71"/>
        <v>0</v>
      </c>
      <c r="X147" s="78">
        <f>IFERROR(IF(OR(T147=0, U147&gt;=Refi_Origination_Date),0, PPMT(Mezz_I_Adj,'Loan Amort Table'!T147,Mezz_Amort_Periods,Mezz_Orig_Loan_Amount)),0)</f>
        <v>0</v>
      </c>
      <c r="Y147" s="78" cm="1">
        <f t="array" aca="1" ref="Y147" ca="1">IFERROR(_xlfn.IFS(U147&gt;=Refi_Origination_Date,0, Mezz_Amort = 0, -V147 * Mezz_I_Adj, 1, IPMT(Mezz_I_Adj,IF(T147 = 0, 1, T147),Mezz_Amort_Periods,Mezz_Orig_Loan_Amount)),0)</f>
        <v>0</v>
      </c>
      <c r="Z147" s="78">
        <f t="shared" si="72"/>
        <v>0</v>
      </c>
      <c r="AB147">
        <f t="shared" si="58"/>
        <v>12</v>
      </c>
      <c r="AC147">
        <f t="shared" si="67"/>
        <v>142</v>
      </c>
      <c r="AD147" s="49">
        <f t="shared" si="73"/>
        <v>4292</v>
      </c>
      <c r="AE147" s="78">
        <f t="shared" si="68"/>
        <v>0</v>
      </c>
      <c r="AF147" s="78">
        <f t="shared" ca="1" si="74"/>
        <v>0</v>
      </c>
      <c r="AG147" s="78">
        <f ca="1">IFERROR(IF(AC147=0,0, PPMT(Refi_I_Adj,'Loan Amort Table'!AC147,Refi_Amort_Periods,Refi_Orig_Loan_Amount)),0)</f>
        <v>0</v>
      </c>
      <c r="AH147" s="78">
        <f t="shared" ca="1" si="59"/>
        <v>0</v>
      </c>
      <c r="AI147" s="78">
        <f t="shared" ca="1" si="75"/>
        <v>0</v>
      </c>
    </row>
    <row r="148" spans="1:35" x14ac:dyDescent="0.25">
      <c r="A148">
        <f t="shared" si="55"/>
        <v>12</v>
      </c>
      <c r="B148">
        <f t="shared" si="60"/>
        <v>143</v>
      </c>
      <c r="C148" s="49">
        <f t="shared" si="52"/>
        <v>4323</v>
      </c>
      <c r="D148" s="78">
        <f>IF(C148&gt;EDATE(DATE(YEAR(SED_Origination_Date)+ SED_Amort, MONTH(SED_Origination_Date), DAY(SED_Origination_Date)),SED_Interest_Only),0,H147)</f>
        <v>0</v>
      </c>
      <c r="E148" s="78">
        <f t="shared" si="61"/>
        <v>0</v>
      </c>
      <c r="F148" s="78">
        <f>IFERROR(IF(OR(B148=0, C148&gt;=Refi_Origination_Date),0, PPMT(SED_I_Adj,'Loan Amort Table'!B148,SED_Amort_Periods,SED_Orig_Loan_Amount)),0)</f>
        <v>0</v>
      </c>
      <c r="G148" s="78" cm="1">
        <f t="array" ref="G148">IFERROR(_xlfn.IFS(C148&gt;=Refi_Origination_Date, 0, SED_Amort = 0, -D148 * SED_I_Adj, 1, IPMT(SED_I_Adj,IF(B148 = 0, 1, B148),SED_Amort_Periods,SED_Orig_Loan_Amount)),0)</f>
        <v>0</v>
      </c>
      <c r="H148" s="78">
        <f t="shared" si="76"/>
        <v>0</v>
      </c>
      <c r="J148">
        <f t="shared" si="56"/>
        <v>12</v>
      </c>
      <c r="K148">
        <f t="shared" si="62"/>
        <v>143</v>
      </c>
      <c r="L148" s="49">
        <f t="shared" si="69"/>
        <v>4323</v>
      </c>
      <c r="M148" s="78">
        <f>IF(L148&gt;EDATE(DATE(YEAR(NEW_Origination_Date)+ NEW_Amort, MONTH(NEW_Origination_Date), DAY(NEW_Origination_Date)),NEW_Interest_Only),0,Q147)</f>
        <v>0</v>
      </c>
      <c r="N148" s="78">
        <f t="shared" si="63"/>
        <v>0</v>
      </c>
      <c r="O148" s="78">
        <f>IFERROR(IF(K148=0,0, PPMT(NEW_I_Adj,'Loan Amort Table'!K148,NEW_Amort_Periods,NEW_Orig_Loan_Amount)),0)</f>
        <v>0</v>
      </c>
      <c r="P148" s="78">
        <f>IFERROR(IF(NEW_Amort = 0, -M148* NEW_I_Adj,IPMT(NEW_I_Adj,IF(K148 = 0, 1, K148),NEW_Amort_Periods,NEW_Orig_Loan_Amount)),0)</f>
        <v>0</v>
      </c>
      <c r="Q148" s="78">
        <f t="shared" si="64"/>
        <v>0</v>
      </c>
      <c r="S148">
        <f t="shared" si="57"/>
        <v>12</v>
      </c>
      <c r="T148">
        <f t="shared" si="65"/>
        <v>143</v>
      </c>
      <c r="U148" s="49">
        <f t="shared" si="70"/>
        <v>4323</v>
      </c>
      <c r="V148" s="78">
        <f t="shared" si="66"/>
        <v>0</v>
      </c>
      <c r="W148" s="78">
        <f t="shared" ca="1" si="71"/>
        <v>0</v>
      </c>
      <c r="X148" s="78">
        <f>IFERROR(IF(OR(T148=0, U148&gt;=Refi_Origination_Date),0, PPMT(Mezz_I_Adj,'Loan Amort Table'!T148,Mezz_Amort_Periods,Mezz_Orig_Loan_Amount)),0)</f>
        <v>0</v>
      </c>
      <c r="Y148" s="78" cm="1">
        <f t="array" aca="1" ref="Y148" ca="1">IFERROR(_xlfn.IFS(U148&gt;=Refi_Origination_Date,0, Mezz_Amort = 0, -V148 * Mezz_I_Adj, 1, IPMT(Mezz_I_Adj,IF(T148 = 0, 1, T148),Mezz_Amort_Periods,Mezz_Orig_Loan_Amount)),0)</f>
        <v>0</v>
      </c>
      <c r="Z148" s="78">
        <f t="shared" si="72"/>
        <v>0</v>
      </c>
      <c r="AB148">
        <f t="shared" si="58"/>
        <v>12</v>
      </c>
      <c r="AC148">
        <f t="shared" si="67"/>
        <v>143</v>
      </c>
      <c r="AD148" s="49">
        <f t="shared" si="73"/>
        <v>4323</v>
      </c>
      <c r="AE148" s="78">
        <f t="shared" si="68"/>
        <v>0</v>
      </c>
      <c r="AF148" s="78">
        <f t="shared" ca="1" si="74"/>
        <v>0</v>
      </c>
      <c r="AG148" s="78">
        <f ca="1">IFERROR(IF(AC148=0,0, PPMT(Refi_I_Adj,'Loan Amort Table'!AC148,Refi_Amort_Periods,Refi_Orig_Loan_Amount)),0)</f>
        <v>0</v>
      </c>
      <c r="AH148" s="78">
        <f t="shared" ca="1" si="59"/>
        <v>0</v>
      </c>
      <c r="AI148" s="78">
        <f t="shared" ca="1" si="75"/>
        <v>0</v>
      </c>
    </row>
    <row r="149" spans="1:35" x14ac:dyDescent="0.25">
      <c r="A149">
        <f t="shared" si="55"/>
        <v>12</v>
      </c>
      <c r="B149">
        <f t="shared" si="60"/>
        <v>144</v>
      </c>
      <c r="C149" s="49">
        <f t="shared" si="52"/>
        <v>4353</v>
      </c>
      <c r="D149" s="78">
        <f>IF(C149&gt;EDATE(DATE(YEAR(SED_Origination_Date)+ SED_Amort, MONTH(SED_Origination_Date), DAY(SED_Origination_Date)),SED_Interest_Only),0,H148)</f>
        <v>0</v>
      </c>
      <c r="E149" s="78">
        <f t="shared" si="61"/>
        <v>0</v>
      </c>
      <c r="F149" s="78">
        <f>IFERROR(IF(OR(B149=0, C149&gt;=Refi_Origination_Date),0, PPMT(SED_I_Adj,'Loan Amort Table'!B149,SED_Amort_Periods,SED_Orig_Loan_Amount)),0)</f>
        <v>0</v>
      </c>
      <c r="G149" s="78" cm="1">
        <f t="array" ref="G149">IFERROR(_xlfn.IFS(C149&gt;=Refi_Origination_Date, 0, SED_Amort = 0, -D149 * SED_I_Adj, 1, IPMT(SED_I_Adj,IF(B149 = 0, 1, B149),SED_Amort_Periods,SED_Orig_Loan_Amount)),0)</f>
        <v>0</v>
      </c>
      <c r="H149" s="78">
        <f t="shared" si="76"/>
        <v>0</v>
      </c>
      <c r="J149">
        <f t="shared" si="56"/>
        <v>12</v>
      </c>
      <c r="K149">
        <f t="shared" si="62"/>
        <v>144</v>
      </c>
      <c r="L149" s="49">
        <f t="shared" si="69"/>
        <v>4353</v>
      </c>
      <c r="M149" s="78">
        <f>IF(L149&gt;EDATE(DATE(YEAR(NEW_Origination_Date)+ NEW_Amort, MONTH(NEW_Origination_Date), DAY(NEW_Origination_Date)),NEW_Interest_Only),0,Q148)</f>
        <v>0</v>
      </c>
      <c r="N149" s="78">
        <f t="shared" si="63"/>
        <v>0</v>
      </c>
      <c r="O149" s="78">
        <f>IFERROR(IF(K149=0,0, PPMT(NEW_I_Adj,'Loan Amort Table'!K149,NEW_Amort_Periods,NEW_Orig_Loan_Amount)),0)</f>
        <v>0</v>
      </c>
      <c r="P149" s="78">
        <f>IFERROR(IF(NEW_Amort = 0, -M149* NEW_I_Adj,IPMT(NEW_I_Adj,IF(K149 = 0, 1, K149),NEW_Amort_Periods,NEW_Orig_Loan_Amount)),0)</f>
        <v>0</v>
      </c>
      <c r="Q149" s="78">
        <f t="shared" si="64"/>
        <v>0</v>
      </c>
      <c r="S149">
        <f t="shared" si="57"/>
        <v>12</v>
      </c>
      <c r="T149">
        <f t="shared" si="65"/>
        <v>144</v>
      </c>
      <c r="U149" s="49">
        <f t="shared" si="70"/>
        <v>4353</v>
      </c>
      <c r="V149" s="78">
        <f t="shared" si="66"/>
        <v>0</v>
      </c>
      <c r="W149" s="78">
        <f t="shared" ca="1" si="71"/>
        <v>0</v>
      </c>
      <c r="X149" s="78">
        <f>IFERROR(IF(OR(T149=0, U149&gt;=Refi_Origination_Date),0, PPMT(Mezz_I_Adj,'Loan Amort Table'!T149,Mezz_Amort_Periods,Mezz_Orig_Loan_Amount)),0)</f>
        <v>0</v>
      </c>
      <c r="Y149" s="78" cm="1">
        <f t="array" aca="1" ref="Y149" ca="1">IFERROR(_xlfn.IFS(U149&gt;=Refi_Origination_Date,0, Mezz_Amort = 0, -V149 * Mezz_I_Adj, 1, IPMT(Mezz_I_Adj,IF(T149 = 0, 1, T149),Mezz_Amort_Periods,Mezz_Orig_Loan_Amount)),0)</f>
        <v>0</v>
      </c>
      <c r="Z149" s="78">
        <f t="shared" si="72"/>
        <v>0</v>
      </c>
      <c r="AB149">
        <f t="shared" si="58"/>
        <v>12</v>
      </c>
      <c r="AC149">
        <f t="shared" si="67"/>
        <v>144</v>
      </c>
      <c r="AD149" s="49">
        <f t="shared" si="73"/>
        <v>4353</v>
      </c>
      <c r="AE149" s="78">
        <f t="shared" si="68"/>
        <v>0</v>
      </c>
      <c r="AF149" s="78">
        <f t="shared" ca="1" si="74"/>
        <v>0</v>
      </c>
      <c r="AG149" s="78">
        <f ca="1">IFERROR(IF(AC149=0,0, PPMT(Refi_I_Adj,'Loan Amort Table'!AC149,Refi_Amort_Periods,Refi_Orig_Loan_Amount)),0)</f>
        <v>0</v>
      </c>
      <c r="AH149" s="78">
        <f t="shared" ca="1" si="59"/>
        <v>0</v>
      </c>
      <c r="AI149" s="78">
        <f t="shared" ca="1" si="75"/>
        <v>0</v>
      </c>
    </row>
    <row r="150" spans="1:35" x14ac:dyDescent="0.25">
      <c r="A150">
        <f t="shared" si="55"/>
        <v>13</v>
      </c>
      <c r="B150">
        <f t="shared" si="60"/>
        <v>145</v>
      </c>
      <c r="C150" s="49">
        <f t="shared" si="52"/>
        <v>4384</v>
      </c>
      <c r="D150" s="78">
        <f>IF(C150&gt;EDATE(DATE(YEAR(SED_Origination_Date)+ SED_Amort, MONTH(SED_Origination_Date), DAY(SED_Origination_Date)),SED_Interest_Only),0,H149)</f>
        <v>0</v>
      </c>
      <c r="E150" s="78">
        <f t="shared" si="61"/>
        <v>0</v>
      </c>
      <c r="F150" s="78">
        <f>IFERROR(IF(OR(B150=0, C150&gt;=Refi_Origination_Date),0, PPMT(SED_I_Adj,'Loan Amort Table'!B150,SED_Amort_Periods,SED_Orig_Loan_Amount)),0)</f>
        <v>0</v>
      </c>
      <c r="G150" s="78" cm="1">
        <f t="array" ref="G150">IFERROR(_xlfn.IFS(C150&gt;=Refi_Origination_Date, 0, SED_Amort = 0, -D150 * SED_I_Adj, 1, IPMT(SED_I_Adj,IF(B150 = 0, 1, B150),SED_Amort_Periods,SED_Orig_Loan_Amount)),0)</f>
        <v>0</v>
      </c>
      <c r="H150" s="78">
        <f t="shared" si="76"/>
        <v>0</v>
      </c>
      <c r="J150">
        <f t="shared" si="56"/>
        <v>13</v>
      </c>
      <c r="K150">
        <f t="shared" si="62"/>
        <v>145</v>
      </c>
      <c r="L150" s="49">
        <f t="shared" si="69"/>
        <v>4384</v>
      </c>
      <c r="M150" s="78">
        <f>IF(L150&gt;EDATE(DATE(YEAR(NEW_Origination_Date)+ NEW_Amort, MONTH(NEW_Origination_Date), DAY(NEW_Origination_Date)),NEW_Interest_Only),0,Q149)</f>
        <v>0</v>
      </c>
      <c r="N150" s="78">
        <f t="shared" si="63"/>
        <v>0</v>
      </c>
      <c r="O150" s="78">
        <f>IFERROR(IF(K150=0,0, PPMT(NEW_I_Adj,'Loan Amort Table'!K150,NEW_Amort_Periods,NEW_Orig_Loan_Amount)),0)</f>
        <v>0</v>
      </c>
      <c r="P150" s="78">
        <f>IFERROR(IF(NEW_Amort = 0, -M150* NEW_I_Adj,IPMT(NEW_I_Adj,IF(K150 = 0, 1, K150),NEW_Amort_Periods,NEW_Orig_Loan_Amount)),0)</f>
        <v>0</v>
      </c>
      <c r="Q150" s="78">
        <f t="shared" si="64"/>
        <v>0</v>
      </c>
      <c r="S150">
        <f t="shared" si="57"/>
        <v>13</v>
      </c>
      <c r="T150">
        <f t="shared" si="65"/>
        <v>145</v>
      </c>
      <c r="U150" s="49">
        <f t="shared" si="70"/>
        <v>4384</v>
      </c>
      <c r="V150" s="78">
        <f t="shared" si="66"/>
        <v>0</v>
      </c>
      <c r="W150" s="78">
        <f t="shared" ca="1" si="71"/>
        <v>0</v>
      </c>
      <c r="X150" s="78">
        <f>IFERROR(IF(OR(T150=0, U150&gt;=Refi_Origination_Date),0, PPMT(Mezz_I_Adj,'Loan Amort Table'!T150,Mezz_Amort_Periods,Mezz_Orig_Loan_Amount)),0)</f>
        <v>0</v>
      </c>
      <c r="Y150" s="78" cm="1">
        <f t="array" aca="1" ref="Y150" ca="1">IFERROR(_xlfn.IFS(U150&gt;=Refi_Origination_Date,0, Mezz_Amort = 0, -V150 * Mezz_I_Adj, 1, IPMT(Mezz_I_Adj,IF(T150 = 0, 1, T150),Mezz_Amort_Periods,Mezz_Orig_Loan_Amount)),0)</f>
        <v>0</v>
      </c>
      <c r="Z150" s="78">
        <f t="shared" si="72"/>
        <v>0</v>
      </c>
      <c r="AB150">
        <f t="shared" si="58"/>
        <v>13</v>
      </c>
      <c r="AC150">
        <f t="shared" si="67"/>
        <v>145</v>
      </c>
      <c r="AD150" s="49">
        <f t="shared" si="73"/>
        <v>4384</v>
      </c>
      <c r="AE150" s="78">
        <f t="shared" si="68"/>
        <v>0</v>
      </c>
      <c r="AF150" s="78">
        <f t="shared" ca="1" si="74"/>
        <v>0</v>
      </c>
      <c r="AG150" s="78">
        <f ca="1">IFERROR(IF(AC150=0,0, PPMT(Refi_I_Adj,'Loan Amort Table'!AC150,Refi_Amort_Periods,Refi_Orig_Loan_Amount)),0)</f>
        <v>0</v>
      </c>
      <c r="AH150" s="78">
        <f t="shared" ca="1" si="59"/>
        <v>0</v>
      </c>
      <c r="AI150" s="78">
        <f t="shared" ca="1" si="75"/>
        <v>0</v>
      </c>
    </row>
    <row r="151" spans="1:35" x14ac:dyDescent="0.25">
      <c r="A151">
        <f t="shared" si="55"/>
        <v>13</v>
      </c>
      <c r="B151">
        <f t="shared" si="60"/>
        <v>146</v>
      </c>
      <c r="C151" s="49">
        <f t="shared" si="52"/>
        <v>4415</v>
      </c>
      <c r="D151" s="78">
        <f>IF(C151&gt;EDATE(DATE(YEAR(SED_Origination_Date)+ SED_Amort, MONTH(SED_Origination_Date), DAY(SED_Origination_Date)),SED_Interest_Only),0,H150)</f>
        <v>0</v>
      </c>
      <c r="E151" s="78">
        <f t="shared" si="61"/>
        <v>0</v>
      </c>
      <c r="F151" s="78">
        <f>IFERROR(IF(OR(B151=0, C151&gt;=Refi_Origination_Date),0, PPMT(SED_I_Adj,'Loan Amort Table'!B151,SED_Amort_Periods,SED_Orig_Loan_Amount)),0)</f>
        <v>0</v>
      </c>
      <c r="G151" s="78" cm="1">
        <f t="array" ref="G151">IFERROR(_xlfn.IFS(C151&gt;=Refi_Origination_Date, 0, SED_Amort = 0, -D151 * SED_I_Adj, 1, IPMT(SED_I_Adj,IF(B151 = 0, 1, B151),SED_Amort_Periods,SED_Orig_Loan_Amount)),0)</f>
        <v>0</v>
      </c>
      <c r="H151" s="78">
        <f t="shared" si="76"/>
        <v>0</v>
      </c>
      <c r="J151">
        <f t="shared" si="56"/>
        <v>13</v>
      </c>
      <c r="K151">
        <f t="shared" si="62"/>
        <v>146</v>
      </c>
      <c r="L151" s="49">
        <f t="shared" si="69"/>
        <v>4415</v>
      </c>
      <c r="M151" s="78">
        <f>IF(L151&gt;EDATE(DATE(YEAR(NEW_Origination_Date)+ NEW_Amort, MONTH(NEW_Origination_Date), DAY(NEW_Origination_Date)),NEW_Interest_Only),0,Q150)</f>
        <v>0</v>
      </c>
      <c r="N151" s="78">
        <f t="shared" si="63"/>
        <v>0</v>
      </c>
      <c r="O151" s="78">
        <f>IFERROR(IF(K151=0,0, PPMT(NEW_I_Adj,'Loan Amort Table'!K151,NEW_Amort_Periods,NEW_Orig_Loan_Amount)),0)</f>
        <v>0</v>
      </c>
      <c r="P151" s="78">
        <f>IFERROR(IF(NEW_Amort = 0, -M151* NEW_I_Adj,IPMT(NEW_I_Adj,IF(K151 = 0, 1, K151),NEW_Amort_Periods,NEW_Orig_Loan_Amount)),0)</f>
        <v>0</v>
      </c>
      <c r="Q151" s="78">
        <f t="shared" si="64"/>
        <v>0</v>
      </c>
      <c r="S151">
        <f t="shared" si="57"/>
        <v>13</v>
      </c>
      <c r="T151">
        <f t="shared" si="65"/>
        <v>146</v>
      </c>
      <c r="U151" s="49">
        <f t="shared" si="70"/>
        <v>4415</v>
      </c>
      <c r="V151" s="78">
        <f t="shared" si="66"/>
        <v>0</v>
      </c>
      <c r="W151" s="78">
        <f t="shared" ca="1" si="71"/>
        <v>0</v>
      </c>
      <c r="X151" s="78">
        <f>IFERROR(IF(OR(T151=0, U151&gt;=Refi_Origination_Date),0, PPMT(Mezz_I_Adj,'Loan Amort Table'!T151,Mezz_Amort_Periods,Mezz_Orig_Loan_Amount)),0)</f>
        <v>0</v>
      </c>
      <c r="Y151" s="78" cm="1">
        <f t="array" aca="1" ref="Y151" ca="1">IFERROR(_xlfn.IFS(U151&gt;=Refi_Origination_Date,0, Mezz_Amort = 0, -V151 * Mezz_I_Adj, 1, IPMT(Mezz_I_Adj,IF(T151 = 0, 1, T151),Mezz_Amort_Periods,Mezz_Orig_Loan_Amount)),0)</f>
        <v>0</v>
      </c>
      <c r="Z151" s="78">
        <f t="shared" si="72"/>
        <v>0</v>
      </c>
      <c r="AB151">
        <f t="shared" si="58"/>
        <v>13</v>
      </c>
      <c r="AC151">
        <f t="shared" si="67"/>
        <v>146</v>
      </c>
      <c r="AD151" s="49">
        <f t="shared" si="73"/>
        <v>4415</v>
      </c>
      <c r="AE151" s="78">
        <f t="shared" si="68"/>
        <v>0</v>
      </c>
      <c r="AF151" s="78">
        <f t="shared" ca="1" si="74"/>
        <v>0</v>
      </c>
      <c r="AG151" s="78">
        <f ca="1">IFERROR(IF(AC151=0,0, PPMT(Refi_I_Adj,'Loan Amort Table'!AC151,Refi_Amort_Periods,Refi_Orig_Loan_Amount)),0)</f>
        <v>0</v>
      </c>
      <c r="AH151" s="78">
        <f t="shared" ca="1" si="59"/>
        <v>0</v>
      </c>
      <c r="AI151" s="78">
        <f t="shared" ca="1" si="75"/>
        <v>0</v>
      </c>
    </row>
    <row r="152" spans="1:35" x14ac:dyDescent="0.25">
      <c r="A152">
        <f t="shared" si="55"/>
        <v>13</v>
      </c>
      <c r="B152">
        <f t="shared" si="60"/>
        <v>147</v>
      </c>
      <c r="C152" s="49">
        <f t="shared" si="52"/>
        <v>4444</v>
      </c>
      <c r="D152" s="78">
        <f>IF(C152&gt;EDATE(DATE(YEAR(SED_Origination_Date)+ SED_Amort, MONTH(SED_Origination_Date), DAY(SED_Origination_Date)),SED_Interest_Only),0,H151)</f>
        <v>0</v>
      </c>
      <c r="E152" s="78">
        <f t="shared" si="61"/>
        <v>0</v>
      </c>
      <c r="F152" s="78">
        <f>IFERROR(IF(OR(B152=0, C152&gt;=Refi_Origination_Date),0, PPMT(SED_I_Adj,'Loan Amort Table'!B152,SED_Amort_Periods,SED_Orig_Loan_Amount)),0)</f>
        <v>0</v>
      </c>
      <c r="G152" s="78" cm="1">
        <f t="array" ref="G152">IFERROR(_xlfn.IFS(C152&gt;=Refi_Origination_Date, 0, SED_Amort = 0, -D152 * SED_I_Adj, 1, IPMT(SED_I_Adj,IF(B152 = 0, 1, B152),SED_Amort_Periods,SED_Orig_Loan_Amount)),0)</f>
        <v>0</v>
      </c>
      <c r="H152" s="78">
        <f t="shared" si="76"/>
        <v>0</v>
      </c>
      <c r="J152">
        <f t="shared" si="56"/>
        <v>13</v>
      </c>
      <c r="K152">
        <f t="shared" si="62"/>
        <v>147</v>
      </c>
      <c r="L152" s="49">
        <f t="shared" si="69"/>
        <v>4444</v>
      </c>
      <c r="M152" s="78">
        <f>IF(L152&gt;EDATE(DATE(YEAR(NEW_Origination_Date)+ NEW_Amort, MONTH(NEW_Origination_Date), DAY(NEW_Origination_Date)),NEW_Interest_Only),0,Q151)</f>
        <v>0</v>
      </c>
      <c r="N152" s="78">
        <f t="shared" si="63"/>
        <v>0</v>
      </c>
      <c r="O152" s="78">
        <f>IFERROR(IF(K152=0,0, PPMT(NEW_I_Adj,'Loan Amort Table'!K152,NEW_Amort_Periods,NEW_Orig_Loan_Amount)),0)</f>
        <v>0</v>
      </c>
      <c r="P152" s="78">
        <f>IFERROR(IF(NEW_Amort = 0, -M152* NEW_I_Adj,IPMT(NEW_I_Adj,IF(K152 = 0, 1, K152),NEW_Amort_Periods,NEW_Orig_Loan_Amount)),0)</f>
        <v>0</v>
      </c>
      <c r="Q152" s="78">
        <f t="shared" si="64"/>
        <v>0</v>
      </c>
      <c r="S152">
        <f t="shared" si="57"/>
        <v>13</v>
      </c>
      <c r="T152">
        <f t="shared" si="65"/>
        <v>147</v>
      </c>
      <c r="U152" s="49">
        <f t="shared" si="70"/>
        <v>4444</v>
      </c>
      <c r="V152" s="78">
        <f t="shared" si="66"/>
        <v>0</v>
      </c>
      <c r="W152" s="78">
        <f t="shared" ca="1" si="71"/>
        <v>0</v>
      </c>
      <c r="X152" s="78">
        <f>IFERROR(IF(OR(T152=0, U152&gt;=Refi_Origination_Date),0, PPMT(Mezz_I_Adj,'Loan Amort Table'!T152,Mezz_Amort_Periods,Mezz_Orig_Loan_Amount)),0)</f>
        <v>0</v>
      </c>
      <c r="Y152" s="78" cm="1">
        <f t="array" aca="1" ref="Y152" ca="1">IFERROR(_xlfn.IFS(U152&gt;=Refi_Origination_Date,0, Mezz_Amort = 0, -V152 * Mezz_I_Adj, 1, IPMT(Mezz_I_Adj,IF(T152 = 0, 1, T152),Mezz_Amort_Periods,Mezz_Orig_Loan_Amount)),0)</f>
        <v>0</v>
      </c>
      <c r="Z152" s="78">
        <f t="shared" si="72"/>
        <v>0</v>
      </c>
      <c r="AB152">
        <f t="shared" si="58"/>
        <v>13</v>
      </c>
      <c r="AC152">
        <f t="shared" si="67"/>
        <v>147</v>
      </c>
      <c r="AD152" s="49">
        <f t="shared" si="73"/>
        <v>4444</v>
      </c>
      <c r="AE152" s="78">
        <f t="shared" si="68"/>
        <v>0</v>
      </c>
      <c r="AF152" s="78">
        <f t="shared" ca="1" si="74"/>
        <v>0</v>
      </c>
      <c r="AG152" s="78">
        <f ca="1">IFERROR(IF(AC152=0,0, PPMT(Refi_I_Adj,'Loan Amort Table'!AC152,Refi_Amort_Periods,Refi_Orig_Loan_Amount)),0)</f>
        <v>0</v>
      </c>
      <c r="AH152" s="78">
        <f t="shared" ca="1" si="59"/>
        <v>0</v>
      </c>
      <c r="AI152" s="78">
        <f t="shared" ca="1" si="75"/>
        <v>0</v>
      </c>
    </row>
    <row r="153" spans="1:35" x14ac:dyDescent="0.25">
      <c r="A153">
        <f t="shared" si="55"/>
        <v>13</v>
      </c>
      <c r="B153">
        <f t="shared" si="60"/>
        <v>148</v>
      </c>
      <c r="C153" s="49">
        <f t="shared" si="52"/>
        <v>4475</v>
      </c>
      <c r="D153" s="78">
        <f>IF(C153&gt;EDATE(DATE(YEAR(SED_Origination_Date)+ SED_Amort, MONTH(SED_Origination_Date), DAY(SED_Origination_Date)),SED_Interest_Only),0,H152)</f>
        <v>0</v>
      </c>
      <c r="E153" s="78">
        <f t="shared" si="61"/>
        <v>0</v>
      </c>
      <c r="F153" s="78">
        <f>IFERROR(IF(OR(B153=0, C153&gt;=Refi_Origination_Date),0, PPMT(SED_I_Adj,'Loan Amort Table'!B153,SED_Amort_Periods,SED_Orig_Loan_Amount)),0)</f>
        <v>0</v>
      </c>
      <c r="G153" s="78" cm="1">
        <f t="array" ref="G153">IFERROR(_xlfn.IFS(C153&gt;=Refi_Origination_Date, 0, SED_Amort = 0, -D153 * SED_I_Adj, 1, IPMT(SED_I_Adj,IF(B153 = 0, 1, B153),SED_Amort_Periods,SED_Orig_Loan_Amount)),0)</f>
        <v>0</v>
      </c>
      <c r="H153" s="78">
        <f t="shared" si="76"/>
        <v>0</v>
      </c>
      <c r="J153">
        <f t="shared" si="56"/>
        <v>13</v>
      </c>
      <c r="K153">
        <f t="shared" si="62"/>
        <v>148</v>
      </c>
      <c r="L153" s="49">
        <f t="shared" si="69"/>
        <v>4475</v>
      </c>
      <c r="M153" s="78">
        <f>IF(L153&gt;EDATE(DATE(YEAR(NEW_Origination_Date)+ NEW_Amort, MONTH(NEW_Origination_Date), DAY(NEW_Origination_Date)),NEW_Interest_Only),0,Q152)</f>
        <v>0</v>
      </c>
      <c r="N153" s="78">
        <f t="shared" si="63"/>
        <v>0</v>
      </c>
      <c r="O153" s="78">
        <f>IFERROR(IF(K153=0,0, PPMT(NEW_I_Adj,'Loan Amort Table'!K153,NEW_Amort_Periods,NEW_Orig_Loan_Amount)),0)</f>
        <v>0</v>
      </c>
      <c r="P153" s="78">
        <f>IFERROR(IF(NEW_Amort = 0, -M153* NEW_I_Adj,IPMT(NEW_I_Adj,IF(K153 = 0, 1, K153),NEW_Amort_Periods,NEW_Orig_Loan_Amount)),0)</f>
        <v>0</v>
      </c>
      <c r="Q153" s="78">
        <f t="shared" si="64"/>
        <v>0</v>
      </c>
      <c r="S153">
        <f t="shared" si="57"/>
        <v>13</v>
      </c>
      <c r="T153">
        <f t="shared" si="65"/>
        <v>148</v>
      </c>
      <c r="U153" s="49">
        <f t="shared" si="70"/>
        <v>4475</v>
      </c>
      <c r="V153" s="78">
        <f t="shared" si="66"/>
        <v>0</v>
      </c>
      <c r="W153" s="78">
        <f t="shared" ca="1" si="71"/>
        <v>0</v>
      </c>
      <c r="X153" s="78">
        <f>IFERROR(IF(OR(T153=0, U153&gt;=Refi_Origination_Date),0, PPMT(Mezz_I_Adj,'Loan Amort Table'!T153,Mezz_Amort_Periods,Mezz_Orig_Loan_Amount)),0)</f>
        <v>0</v>
      </c>
      <c r="Y153" s="78" cm="1">
        <f t="array" aca="1" ref="Y153" ca="1">IFERROR(_xlfn.IFS(U153&gt;=Refi_Origination_Date,0, Mezz_Amort = 0, -V153 * Mezz_I_Adj, 1, IPMT(Mezz_I_Adj,IF(T153 = 0, 1, T153),Mezz_Amort_Periods,Mezz_Orig_Loan_Amount)),0)</f>
        <v>0</v>
      </c>
      <c r="Z153" s="78">
        <f t="shared" si="72"/>
        <v>0</v>
      </c>
      <c r="AB153">
        <f t="shared" si="58"/>
        <v>13</v>
      </c>
      <c r="AC153">
        <f t="shared" si="67"/>
        <v>148</v>
      </c>
      <c r="AD153" s="49">
        <f t="shared" si="73"/>
        <v>4475</v>
      </c>
      <c r="AE153" s="78">
        <f t="shared" si="68"/>
        <v>0</v>
      </c>
      <c r="AF153" s="78">
        <f t="shared" ca="1" si="74"/>
        <v>0</v>
      </c>
      <c r="AG153" s="78">
        <f ca="1">IFERROR(IF(AC153=0,0, PPMT(Refi_I_Adj,'Loan Amort Table'!AC153,Refi_Amort_Periods,Refi_Orig_Loan_Amount)),0)</f>
        <v>0</v>
      </c>
      <c r="AH153" s="78">
        <f t="shared" ca="1" si="59"/>
        <v>0</v>
      </c>
      <c r="AI153" s="78">
        <f t="shared" ca="1" si="75"/>
        <v>0</v>
      </c>
    </row>
    <row r="154" spans="1:35" x14ac:dyDescent="0.25">
      <c r="A154">
        <f t="shared" si="55"/>
        <v>13</v>
      </c>
      <c r="B154">
        <f t="shared" si="60"/>
        <v>149</v>
      </c>
      <c r="C154" s="49">
        <f t="shared" si="52"/>
        <v>4505</v>
      </c>
      <c r="D154" s="78">
        <f>IF(C154&gt;EDATE(DATE(YEAR(SED_Origination_Date)+ SED_Amort, MONTH(SED_Origination_Date), DAY(SED_Origination_Date)),SED_Interest_Only),0,H153)</f>
        <v>0</v>
      </c>
      <c r="E154" s="78">
        <f t="shared" si="61"/>
        <v>0</v>
      </c>
      <c r="F154" s="78">
        <f>IFERROR(IF(OR(B154=0, C154&gt;=Refi_Origination_Date),0, PPMT(SED_I_Adj,'Loan Amort Table'!B154,SED_Amort_Periods,SED_Orig_Loan_Amount)),0)</f>
        <v>0</v>
      </c>
      <c r="G154" s="78" cm="1">
        <f t="array" ref="G154">IFERROR(_xlfn.IFS(C154&gt;=Refi_Origination_Date, 0, SED_Amort = 0, -D154 * SED_I_Adj, 1, IPMT(SED_I_Adj,IF(B154 = 0, 1, B154),SED_Amort_Periods,SED_Orig_Loan_Amount)),0)</f>
        <v>0</v>
      </c>
      <c r="H154" s="78">
        <f t="shared" si="76"/>
        <v>0</v>
      </c>
      <c r="J154">
        <f t="shared" si="56"/>
        <v>13</v>
      </c>
      <c r="K154">
        <f t="shared" si="62"/>
        <v>149</v>
      </c>
      <c r="L154" s="49">
        <f t="shared" si="69"/>
        <v>4505</v>
      </c>
      <c r="M154" s="78">
        <f>IF(L154&gt;EDATE(DATE(YEAR(NEW_Origination_Date)+ NEW_Amort, MONTH(NEW_Origination_Date), DAY(NEW_Origination_Date)),NEW_Interest_Only),0,Q153)</f>
        <v>0</v>
      </c>
      <c r="N154" s="78">
        <f t="shared" si="63"/>
        <v>0</v>
      </c>
      <c r="O154" s="78">
        <f>IFERROR(IF(K154=0,0, PPMT(NEW_I_Adj,'Loan Amort Table'!K154,NEW_Amort_Periods,NEW_Orig_Loan_Amount)),0)</f>
        <v>0</v>
      </c>
      <c r="P154" s="78">
        <f>IFERROR(IF(NEW_Amort = 0, -M154* NEW_I_Adj,IPMT(NEW_I_Adj,IF(K154 = 0, 1, K154),NEW_Amort_Periods,NEW_Orig_Loan_Amount)),0)</f>
        <v>0</v>
      </c>
      <c r="Q154" s="78">
        <f t="shared" si="64"/>
        <v>0</v>
      </c>
      <c r="S154">
        <f t="shared" si="57"/>
        <v>13</v>
      </c>
      <c r="T154">
        <f t="shared" si="65"/>
        <v>149</v>
      </c>
      <c r="U154" s="49">
        <f t="shared" si="70"/>
        <v>4505</v>
      </c>
      <c r="V154" s="78">
        <f t="shared" si="66"/>
        <v>0</v>
      </c>
      <c r="W154" s="78">
        <f t="shared" ca="1" si="71"/>
        <v>0</v>
      </c>
      <c r="X154" s="78">
        <f>IFERROR(IF(OR(T154=0, U154&gt;=Refi_Origination_Date),0, PPMT(Mezz_I_Adj,'Loan Amort Table'!T154,Mezz_Amort_Periods,Mezz_Orig_Loan_Amount)),0)</f>
        <v>0</v>
      </c>
      <c r="Y154" s="78" cm="1">
        <f t="array" aca="1" ref="Y154" ca="1">IFERROR(_xlfn.IFS(U154&gt;=Refi_Origination_Date,0, Mezz_Amort = 0, -V154 * Mezz_I_Adj, 1, IPMT(Mezz_I_Adj,IF(T154 = 0, 1, T154),Mezz_Amort_Periods,Mezz_Orig_Loan_Amount)),0)</f>
        <v>0</v>
      </c>
      <c r="Z154" s="78">
        <f t="shared" si="72"/>
        <v>0</v>
      </c>
      <c r="AB154">
        <f t="shared" si="58"/>
        <v>13</v>
      </c>
      <c r="AC154">
        <f t="shared" si="67"/>
        <v>149</v>
      </c>
      <c r="AD154" s="49">
        <f t="shared" si="73"/>
        <v>4505</v>
      </c>
      <c r="AE154" s="78">
        <f t="shared" si="68"/>
        <v>0</v>
      </c>
      <c r="AF154" s="78">
        <f t="shared" ca="1" si="74"/>
        <v>0</v>
      </c>
      <c r="AG154" s="78">
        <f ca="1">IFERROR(IF(AC154=0,0, PPMT(Refi_I_Adj,'Loan Amort Table'!AC154,Refi_Amort_Periods,Refi_Orig_Loan_Amount)),0)</f>
        <v>0</v>
      </c>
      <c r="AH154" s="78">
        <f t="shared" ca="1" si="59"/>
        <v>0</v>
      </c>
      <c r="AI154" s="78">
        <f t="shared" ca="1" si="75"/>
        <v>0</v>
      </c>
    </row>
    <row r="155" spans="1:35" x14ac:dyDescent="0.25">
      <c r="A155">
        <f t="shared" si="55"/>
        <v>13</v>
      </c>
      <c r="B155">
        <f t="shared" si="60"/>
        <v>150</v>
      </c>
      <c r="C155" s="49">
        <f t="shared" si="52"/>
        <v>4536</v>
      </c>
      <c r="D155" s="78">
        <f>IF(C155&gt;EDATE(DATE(YEAR(SED_Origination_Date)+ SED_Amort, MONTH(SED_Origination_Date), DAY(SED_Origination_Date)),SED_Interest_Only),0,H154)</f>
        <v>0</v>
      </c>
      <c r="E155" s="78">
        <f t="shared" si="61"/>
        <v>0</v>
      </c>
      <c r="F155" s="78">
        <f>IFERROR(IF(OR(B155=0, C155&gt;=Refi_Origination_Date),0, PPMT(SED_I_Adj,'Loan Amort Table'!B155,SED_Amort_Periods,SED_Orig_Loan_Amount)),0)</f>
        <v>0</v>
      </c>
      <c r="G155" s="78" cm="1">
        <f t="array" ref="G155">IFERROR(_xlfn.IFS(C155&gt;=Refi_Origination_Date, 0, SED_Amort = 0, -D155 * SED_I_Adj, 1, IPMT(SED_I_Adj,IF(B155 = 0, 1, B155),SED_Amort_Periods,SED_Orig_Loan_Amount)),0)</f>
        <v>0</v>
      </c>
      <c r="H155" s="78">
        <f t="shared" si="76"/>
        <v>0</v>
      </c>
      <c r="J155">
        <f t="shared" si="56"/>
        <v>13</v>
      </c>
      <c r="K155">
        <f t="shared" si="62"/>
        <v>150</v>
      </c>
      <c r="L155" s="49">
        <f t="shared" si="69"/>
        <v>4536</v>
      </c>
      <c r="M155" s="78">
        <f>IF(L155&gt;EDATE(DATE(YEAR(NEW_Origination_Date)+ NEW_Amort, MONTH(NEW_Origination_Date), DAY(NEW_Origination_Date)),NEW_Interest_Only),0,Q154)</f>
        <v>0</v>
      </c>
      <c r="N155" s="78">
        <f t="shared" si="63"/>
        <v>0</v>
      </c>
      <c r="O155" s="78">
        <f>IFERROR(IF(K155=0,0, PPMT(NEW_I_Adj,'Loan Amort Table'!K155,NEW_Amort_Periods,NEW_Orig_Loan_Amount)),0)</f>
        <v>0</v>
      </c>
      <c r="P155" s="78">
        <f>IFERROR(IF(NEW_Amort = 0, -M155* NEW_I_Adj,IPMT(NEW_I_Adj,IF(K155 = 0, 1, K155),NEW_Amort_Periods,NEW_Orig_Loan_Amount)),0)</f>
        <v>0</v>
      </c>
      <c r="Q155" s="78">
        <f t="shared" si="64"/>
        <v>0</v>
      </c>
      <c r="S155">
        <f t="shared" si="57"/>
        <v>13</v>
      </c>
      <c r="T155">
        <f t="shared" si="65"/>
        <v>150</v>
      </c>
      <c r="U155" s="49">
        <f t="shared" si="70"/>
        <v>4536</v>
      </c>
      <c r="V155" s="78">
        <f t="shared" si="66"/>
        <v>0</v>
      </c>
      <c r="W155" s="78">
        <f t="shared" ca="1" si="71"/>
        <v>0</v>
      </c>
      <c r="X155" s="78">
        <f>IFERROR(IF(OR(T155=0, U155&gt;=Refi_Origination_Date),0, PPMT(Mezz_I_Adj,'Loan Amort Table'!T155,Mezz_Amort_Periods,Mezz_Orig_Loan_Amount)),0)</f>
        <v>0</v>
      </c>
      <c r="Y155" s="78" cm="1">
        <f t="array" aca="1" ref="Y155" ca="1">IFERROR(_xlfn.IFS(U155&gt;=Refi_Origination_Date,0, Mezz_Amort = 0, -V155 * Mezz_I_Adj, 1, IPMT(Mezz_I_Adj,IF(T155 = 0, 1, T155),Mezz_Amort_Periods,Mezz_Orig_Loan_Amount)),0)</f>
        <v>0</v>
      </c>
      <c r="Z155" s="78">
        <f t="shared" si="72"/>
        <v>0</v>
      </c>
      <c r="AB155">
        <f t="shared" si="58"/>
        <v>13</v>
      </c>
      <c r="AC155">
        <f t="shared" si="67"/>
        <v>150</v>
      </c>
      <c r="AD155" s="49">
        <f t="shared" si="73"/>
        <v>4536</v>
      </c>
      <c r="AE155" s="78">
        <f t="shared" si="68"/>
        <v>0</v>
      </c>
      <c r="AF155" s="78">
        <f t="shared" ca="1" si="74"/>
        <v>0</v>
      </c>
      <c r="AG155" s="78">
        <f ca="1">IFERROR(IF(AC155=0,0, PPMT(Refi_I_Adj,'Loan Amort Table'!AC155,Refi_Amort_Periods,Refi_Orig_Loan_Amount)),0)</f>
        <v>0</v>
      </c>
      <c r="AH155" s="78">
        <f t="shared" ca="1" si="59"/>
        <v>0</v>
      </c>
      <c r="AI155" s="78">
        <f t="shared" ca="1" si="75"/>
        <v>0</v>
      </c>
    </row>
    <row r="156" spans="1:35" x14ac:dyDescent="0.25">
      <c r="A156">
        <f t="shared" si="55"/>
        <v>13</v>
      </c>
      <c r="B156">
        <f t="shared" si="60"/>
        <v>151</v>
      </c>
      <c r="C156" s="49">
        <f t="shared" si="52"/>
        <v>4566</v>
      </c>
      <c r="D156" s="78">
        <f>IF(C156&gt;EDATE(DATE(YEAR(SED_Origination_Date)+ SED_Amort, MONTH(SED_Origination_Date), DAY(SED_Origination_Date)),SED_Interest_Only),0,H155)</f>
        <v>0</v>
      </c>
      <c r="E156" s="78">
        <f t="shared" si="61"/>
        <v>0</v>
      </c>
      <c r="F156" s="78">
        <f>IFERROR(IF(OR(B156=0, C156&gt;=Refi_Origination_Date),0, PPMT(SED_I_Adj,'Loan Amort Table'!B156,SED_Amort_Periods,SED_Orig_Loan_Amount)),0)</f>
        <v>0</v>
      </c>
      <c r="G156" s="78" cm="1">
        <f t="array" ref="G156">IFERROR(_xlfn.IFS(C156&gt;=Refi_Origination_Date, 0, SED_Amort = 0, -D156 * SED_I_Adj, 1, IPMT(SED_I_Adj,IF(B156 = 0, 1, B156),SED_Amort_Periods,SED_Orig_Loan_Amount)),0)</f>
        <v>0</v>
      </c>
      <c r="H156" s="78">
        <f t="shared" si="76"/>
        <v>0</v>
      </c>
      <c r="J156">
        <f t="shared" si="56"/>
        <v>13</v>
      </c>
      <c r="K156">
        <f t="shared" si="62"/>
        <v>151</v>
      </c>
      <c r="L156" s="49">
        <f t="shared" si="69"/>
        <v>4566</v>
      </c>
      <c r="M156" s="78">
        <f>IF(L156&gt;EDATE(DATE(YEAR(NEW_Origination_Date)+ NEW_Amort, MONTH(NEW_Origination_Date), DAY(NEW_Origination_Date)),NEW_Interest_Only),0,Q155)</f>
        <v>0</v>
      </c>
      <c r="N156" s="78">
        <f t="shared" si="63"/>
        <v>0</v>
      </c>
      <c r="O156" s="78">
        <f>IFERROR(IF(K156=0,0, PPMT(NEW_I_Adj,'Loan Amort Table'!K156,NEW_Amort_Periods,NEW_Orig_Loan_Amount)),0)</f>
        <v>0</v>
      </c>
      <c r="P156" s="78">
        <f>IFERROR(IF(NEW_Amort = 0, -M156* NEW_I_Adj,IPMT(NEW_I_Adj,IF(K156 = 0, 1, K156),NEW_Amort_Periods,NEW_Orig_Loan_Amount)),0)</f>
        <v>0</v>
      </c>
      <c r="Q156" s="78">
        <f t="shared" si="64"/>
        <v>0</v>
      </c>
      <c r="S156">
        <f t="shared" si="57"/>
        <v>13</v>
      </c>
      <c r="T156">
        <f t="shared" si="65"/>
        <v>151</v>
      </c>
      <c r="U156" s="49">
        <f t="shared" si="70"/>
        <v>4566</v>
      </c>
      <c r="V156" s="78">
        <f t="shared" si="66"/>
        <v>0</v>
      </c>
      <c r="W156" s="78">
        <f t="shared" ca="1" si="71"/>
        <v>0</v>
      </c>
      <c r="X156" s="78">
        <f>IFERROR(IF(OR(T156=0, U156&gt;=Refi_Origination_Date),0, PPMT(Mezz_I_Adj,'Loan Amort Table'!T156,Mezz_Amort_Periods,Mezz_Orig_Loan_Amount)),0)</f>
        <v>0</v>
      </c>
      <c r="Y156" s="78" cm="1">
        <f t="array" aca="1" ref="Y156" ca="1">IFERROR(_xlfn.IFS(U156&gt;=Refi_Origination_Date,0, Mezz_Amort = 0, -V156 * Mezz_I_Adj, 1, IPMT(Mezz_I_Adj,IF(T156 = 0, 1, T156),Mezz_Amort_Periods,Mezz_Orig_Loan_Amount)),0)</f>
        <v>0</v>
      </c>
      <c r="Z156" s="78">
        <f t="shared" si="72"/>
        <v>0</v>
      </c>
      <c r="AB156">
        <f t="shared" si="58"/>
        <v>13</v>
      </c>
      <c r="AC156">
        <f t="shared" si="67"/>
        <v>151</v>
      </c>
      <c r="AD156" s="49">
        <f t="shared" si="73"/>
        <v>4566</v>
      </c>
      <c r="AE156" s="78">
        <f t="shared" si="68"/>
        <v>0</v>
      </c>
      <c r="AF156" s="78">
        <f t="shared" ca="1" si="74"/>
        <v>0</v>
      </c>
      <c r="AG156" s="78">
        <f ca="1">IFERROR(IF(AC156=0,0, PPMT(Refi_I_Adj,'Loan Amort Table'!AC156,Refi_Amort_Periods,Refi_Orig_Loan_Amount)),0)</f>
        <v>0</v>
      </c>
      <c r="AH156" s="78">
        <f t="shared" ca="1" si="59"/>
        <v>0</v>
      </c>
      <c r="AI156" s="78">
        <f t="shared" ca="1" si="75"/>
        <v>0</v>
      </c>
    </row>
    <row r="157" spans="1:35" x14ac:dyDescent="0.25">
      <c r="A157">
        <f t="shared" si="55"/>
        <v>13</v>
      </c>
      <c r="B157">
        <f t="shared" si="60"/>
        <v>152</v>
      </c>
      <c r="C157" s="49">
        <f t="shared" si="52"/>
        <v>4597</v>
      </c>
      <c r="D157" s="78">
        <f>IF(C157&gt;EDATE(DATE(YEAR(SED_Origination_Date)+ SED_Amort, MONTH(SED_Origination_Date), DAY(SED_Origination_Date)),SED_Interest_Only),0,H156)</f>
        <v>0</v>
      </c>
      <c r="E157" s="78">
        <f t="shared" si="61"/>
        <v>0</v>
      </c>
      <c r="F157" s="78">
        <f>IFERROR(IF(OR(B157=0, C157&gt;=Refi_Origination_Date),0, PPMT(SED_I_Adj,'Loan Amort Table'!B157,SED_Amort_Periods,SED_Orig_Loan_Amount)),0)</f>
        <v>0</v>
      </c>
      <c r="G157" s="78" cm="1">
        <f t="array" ref="G157">IFERROR(_xlfn.IFS(C157&gt;=Refi_Origination_Date, 0, SED_Amort = 0, -D157 * SED_I_Adj, 1, IPMT(SED_I_Adj,IF(B157 = 0, 1, B157),SED_Amort_Periods,SED_Orig_Loan_Amount)),0)</f>
        <v>0</v>
      </c>
      <c r="H157" s="78">
        <f t="shared" si="76"/>
        <v>0</v>
      </c>
      <c r="J157">
        <f t="shared" si="56"/>
        <v>13</v>
      </c>
      <c r="K157">
        <f t="shared" si="62"/>
        <v>152</v>
      </c>
      <c r="L157" s="49">
        <f t="shared" si="69"/>
        <v>4597</v>
      </c>
      <c r="M157" s="78">
        <f>IF(L157&gt;EDATE(DATE(YEAR(NEW_Origination_Date)+ NEW_Amort, MONTH(NEW_Origination_Date), DAY(NEW_Origination_Date)),NEW_Interest_Only),0,Q156)</f>
        <v>0</v>
      </c>
      <c r="N157" s="78">
        <f t="shared" si="63"/>
        <v>0</v>
      </c>
      <c r="O157" s="78">
        <f>IFERROR(IF(K157=0,0, PPMT(NEW_I_Adj,'Loan Amort Table'!K157,NEW_Amort_Periods,NEW_Orig_Loan_Amount)),0)</f>
        <v>0</v>
      </c>
      <c r="P157" s="78">
        <f>IFERROR(IF(NEW_Amort = 0, -M157* NEW_I_Adj,IPMT(NEW_I_Adj,IF(K157 = 0, 1, K157),NEW_Amort_Periods,NEW_Orig_Loan_Amount)),0)</f>
        <v>0</v>
      </c>
      <c r="Q157" s="78">
        <f t="shared" si="64"/>
        <v>0</v>
      </c>
      <c r="S157">
        <f t="shared" si="57"/>
        <v>13</v>
      </c>
      <c r="T157">
        <f t="shared" si="65"/>
        <v>152</v>
      </c>
      <c r="U157" s="49">
        <f t="shared" si="70"/>
        <v>4597</v>
      </c>
      <c r="V157" s="78">
        <f t="shared" si="66"/>
        <v>0</v>
      </c>
      <c r="W157" s="78">
        <f t="shared" ca="1" si="71"/>
        <v>0</v>
      </c>
      <c r="X157" s="78">
        <f>IFERROR(IF(OR(T157=0, U157&gt;=Refi_Origination_Date),0, PPMT(Mezz_I_Adj,'Loan Amort Table'!T157,Mezz_Amort_Periods,Mezz_Orig_Loan_Amount)),0)</f>
        <v>0</v>
      </c>
      <c r="Y157" s="78" cm="1">
        <f t="array" aca="1" ref="Y157" ca="1">IFERROR(_xlfn.IFS(U157&gt;=Refi_Origination_Date,0, Mezz_Amort = 0, -V157 * Mezz_I_Adj, 1, IPMT(Mezz_I_Adj,IF(T157 = 0, 1, T157),Mezz_Amort_Periods,Mezz_Orig_Loan_Amount)),0)</f>
        <v>0</v>
      </c>
      <c r="Z157" s="78">
        <f t="shared" si="72"/>
        <v>0</v>
      </c>
      <c r="AB157">
        <f t="shared" si="58"/>
        <v>13</v>
      </c>
      <c r="AC157">
        <f t="shared" si="67"/>
        <v>152</v>
      </c>
      <c r="AD157" s="49">
        <f t="shared" si="73"/>
        <v>4597</v>
      </c>
      <c r="AE157" s="78">
        <f t="shared" si="68"/>
        <v>0</v>
      </c>
      <c r="AF157" s="78">
        <f t="shared" ca="1" si="74"/>
        <v>0</v>
      </c>
      <c r="AG157" s="78">
        <f ca="1">IFERROR(IF(AC157=0,0, PPMT(Refi_I_Adj,'Loan Amort Table'!AC157,Refi_Amort_Periods,Refi_Orig_Loan_Amount)),0)</f>
        <v>0</v>
      </c>
      <c r="AH157" s="78">
        <f t="shared" ca="1" si="59"/>
        <v>0</v>
      </c>
      <c r="AI157" s="78">
        <f t="shared" ca="1" si="75"/>
        <v>0</v>
      </c>
    </row>
    <row r="158" spans="1:35" x14ac:dyDescent="0.25">
      <c r="A158">
        <f t="shared" si="55"/>
        <v>13</v>
      </c>
      <c r="B158">
        <f t="shared" si="60"/>
        <v>153</v>
      </c>
      <c r="C158" s="49">
        <f t="shared" si="52"/>
        <v>4628</v>
      </c>
      <c r="D158" s="78">
        <f>IF(C158&gt;EDATE(DATE(YEAR(SED_Origination_Date)+ SED_Amort, MONTH(SED_Origination_Date), DAY(SED_Origination_Date)),SED_Interest_Only),0,H157)</f>
        <v>0</v>
      </c>
      <c r="E158" s="78">
        <f t="shared" si="61"/>
        <v>0</v>
      </c>
      <c r="F158" s="78">
        <f>IFERROR(IF(OR(B158=0, C158&gt;=Refi_Origination_Date),0, PPMT(SED_I_Adj,'Loan Amort Table'!B158,SED_Amort_Periods,SED_Orig_Loan_Amount)),0)</f>
        <v>0</v>
      </c>
      <c r="G158" s="78" cm="1">
        <f t="array" ref="G158">IFERROR(_xlfn.IFS(C158&gt;=Refi_Origination_Date, 0, SED_Amort = 0, -D158 * SED_I_Adj, 1, IPMT(SED_I_Adj,IF(B158 = 0, 1, B158),SED_Amort_Periods,SED_Orig_Loan_Amount)),0)</f>
        <v>0</v>
      </c>
      <c r="H158" s="78">
        <f t="shared" si="76"/>
        <v>0</v>
      </c>
      <c r="J158">
        <f t="shared" si="56"/>
        <v>13</v>
      </c>
      <c r="K158">
        <f t="shared" si="62"/>
        <v>153</v>
      </c>
      <c r="L158" s="49">
        <f t="shared" si="69"/>
        <v>4628</v>
      </c>
      <c r="M158" s="78">
        <f>IF(L158&gt;EDATE(DATE(YEAR(NEW_Origination_Date)+ NEW_Amort, MONTH(NEW_Origination_Date), DAY(NEW_Origination_Date)),NEW_Interest_Only),0,Q157)</f>
        <v>0</v>
      </c>
      <c r="N158" s="78">
        <f t="shared" si="63"/>
        <v>0</v>
      </c>
      <c r="O158" s="78">
        <f>IFERROR(IF(K158=0,0, PPMT(NEW_I_Adj,'Loan Amort Table'!K158,NEW_Amort_Periods,NEW_Orig_Loan_Amount)),0)</f>
        <v>0</v>
      </c>
      <c r="P158" s="78">
        <f>IFERROR(IF(NEW_Amort = 0, -M158* NEW_I_Adj,IPMT(NEW_I_Adj,IF(K158 = 0, 1, K158),NEW_Amort_Periods,NEW_Orig_Loan_Amount)),0)</f>
        <v>0</v>
      </c>
      <c r="Q158" s="78">
        <f t="shared" si="64"/>
        <v>0</v>
      </c>
      <c r="S158">
        <f t="shared" si="57"/>
        <v>13</v>
      </c>
      <c r="T158">
        <f t="shared" si="65"/>
        <v>153</v>
      </c>
      <c r="U158" s="49">
        <f t="shared" si="70"/>
        <v>4628</v>
      </c>
      <c r="V158" s="78">
        <f t="shared" si="66"/>
        <v>0</v>
      </c>
      <c r="W158" s="78">
        <f t="shared" ca="1" si="71"/>
        <v>0</v>
      </c>
      <c r="X158" s="78">
        <f>IFERROR(IF(OR(T158=0, U158&gt;=Refi_Origination_Date),0, PPMT(Mezz_I_Adj,'Loan Amort Table'!T158,Mezz_Amort_Periods,Mezz_Orig_Loan_Amount)),0)</f>
        <v>0</v>
      </c>
      <c r="Y158" s="78" cm="1">
        <f t="array" aca="1" ref="Y158" ca="1">IFERROR(_xlfn.IFS(U158&gt;=Refi_Origination_Date,0, Mezz_Amort = 0, -V158 * Mezz_I_Adj, 1, IPMT(Mezz_I_Adj,IF(T158 = 0, 1, T158),Mezz_Amort_Periods,Mezz_Orig_Loan_Amount)),0)</f>
        <v>0</v>
      </c>
      <c r="Z158" s="78">
        <f t="shared" si="72"/>
        <v>0</v>
      </c>
      <c r="AB158">
        <f t="shared" si="58"/>
        <v>13</v>
      </c>
      <c r="AC158">
        <f t="shared" si="67"/>
        <v>153</v>
      </c>
      <c r="AD158" s="49">
        <f t="shared" si="73"/>
        <v>4628</v>
      </c>
      <c r="AE158" s="78">
        <f t="shared" si="68"/>
        <v>0</v>
      </c>
      <c r="AF158" s="78">
        <f t="shared" ca="1" si="74"/>
        <v>0</v>
      </c>
      <c r="AG158" s="78">
        <f ca="1">IFERROR(IF(AC158=0,0, PPMT(Refi_I_Adj,'Loan Amort Table'!AC158,Refi_Amort_Periods,Refi_Orig_Loan_Amount)),0)</f>
        <v>0</v>
      </c>
      <c r="AH158" s="78">
        <f t="shared" ca="1" si="59"/>
        <v>0</v>
      </c>
      <c r="AI158" s="78">
        <f t="shared" ca="1" si="75"/>
        <v>0</v>
      </c>
    </row>
    <row r="159" spans="1:35" x14ac:dyDescent="0.25">
      <c r="A159">
        <f t="shared" si="55"/>
        <v>13</v>
      </c>
      <c r="B159">
        <f t="shared" si="60"/>
        <v>154</v>
      </c>
      <c r="C159" s="49">
        <f t="shared" si="52"/>
        <v>4658</v>
      </c>
      <c r="D159" s="78">
        <f>IF(C159&gt;EDATE(DATE(YEAR(SED_Origination_Date)+ SED_Amort, MONTH(SED_Origination_Date), DAY(SED_Origination_Date)),SED_Interest_Only),0,H158)</f>
        <v>0</v>
      </c>
      <c r="E159" s="78">
        <f t="shared" si="61"/>
        <v>0</v>
      </c>
      <c r="F159" s="78">
        <f>IFERROR(IF(OR(B159=0, C159&gt;=Refi_Origination_Date),0, PPMT(SED_I_Adj,'Loan Amort Table'!B159,SED_Amort_Periods,SED_Orig_Loan_Amount)),0)</f>
        <v>0</v>
      </c>
      <c r="G159" s="78" cm="1">
        <f t="array" ref="G159">IFERROR(_xlfn.IFS(C159&gt;=Refi_Origination_Date, 0, SED_Amort = 0, -D159 * SED_I_Adj, 1, IPMT(SED_I_Adj,IF(B159 = 0, 1, B159),SED_Amort_Periods,SED_Orig_Loan_Amount)),0)</f>
        <v>0</v>
      </c>
      <c r="H159" s="78">
        <f t="shared" si="76"/>
        <v>0</v>
      </c>
      <c r="J159">
        <f t="shared" si="56"/>
        <v>13</v>
      </c>
      <c r="K159">
        <f t="shared" si="62"/>
        <v>154</v>
      </c>
      <c r="L159" s="49">
        <f t="shared" si="69"/>
        <v>4658</v>
      </c>
      <c r="M159" s="78">
        <f>IF(L159&gt;EDATE(DATE(YEAR(NEW_Origination_Date)+ NEW_Amort, MONTH(NEW_Origination_Date), DAY(NEW_Origination_Date)),NEW_Interest_Only),0,Q158)</f>
        <v>0</v>
      </c>
      <c r="N159" s="78">
        <f t="shared" si="63"/>
        <v>0</v>
      </c>
      <c r="O159" s="78">
        <f>IFERROR(IF(K159=0,0, PPMT(NEW_I_Adj,'Loan Amort Table'!K159,NEW_Amort_Periods,NEW_Orig_Loan_Amount)),0)</f>
        <v>0</v>
      </c>
      <c r="P159" s="78">
        <f>IFERROR(IF(NEW_Amort = 0, -M159* NEW_I_Adj,IPMT(NEW_I_Adj,IF(K159 = 0, 1, K159),NEW_Amort_Periods,NEW_Orig_Loan_Amount)),0)</f>
        <v>0</v>
      </c>
      <c r="Q159" s="78">
        <f t="shared" si="64"/>
        <v>0</v>
      </c>
      <c r="S159">
        <f t="shared" si="57"/>
        <v>13</v>
      </c>
      <c r="T159">
        <f t="shared" si="65"/>
        <v>154</v>
      </c>
      <c r="U159" s="49">
        <f t="shared" si="70"/>
        <v>4658</v>
      </c>
      <c r="V159" s="78">
        <f t="shared" si="66"/>
        <v>0</v>
      </c>
      <c r="W159" s="78">
        <f t="shared" ca="1" si="71"/>
        <v>0</v>
      </c>
      <c r="X159" s="78">
        <f>IFERROR(IF(OR(T159=0, U159&gt;=Refi_Origination_Date),0, PPMT(Mezz_I_Adj,'Loan Amort Table'!T159,Mezz_Amort_Periods,Mezz_Orig_Loan_Amount)),0)</f>
        <v>0</v>
      </c>
      <c r="Y159" s="78" cm="1">
        <f t="array" aca="1" ref="Y159" ca="1">IFERROR(_xlfn.IFS(U159&gt;=Refi_Origination_Date,0, Mezz_Amort = 0, -V159 * Mezz_I_Adj, 1, IPMT(Mezz_I_Adj,IF(T159 = 0, 1, T159),Mezz_Amort_Periods,Mezz_Orig_Loan_Amount)),0)</f>
        <v>0</v>
      </c>
      <c r="Z159" s="78">
        <f t="shared" si="72"/>
        <v>0</v>
      </c>
      <c r="AB159">
        <f t="shared" si="58"/>
        <v>13</v>
      </c>
      <c r="AC159">
        <f t="shared" si="67"/>
        <v>154</v>
      </c>
      <c r="AD159" s="49">
        <f t="shared" si="73"/>
        <v>4658</v>
      </c>
      <c r="AE159" s="78">
        <f t="shared" si="68"/>
        <v>0</v>
      </c>
      <c r="AF159" s="78">
        <f t="shared" ca="1" si="74"/>
        <v>0</v>
      </c>
      <c r="AG159" s="78">
        <f ca="1">IFERROR(IF(AC159=0,0, PPMT(Refi_I_Adj,'Loan Amort Table'!AC159,Refi_Amort_Periods,Refi_Orig_Loan_Amount)),0)</f>
        <v>0</v>
      </c>
      <c r="AH159" s="78">
        <f t="shared" ca="1" si="59"/>
        <v>0</v>
      </c>
      <c r="AI159" s="78">
        <f t="shared" ca="1" si="75"/>
        <v>0</v>
      </c>
    </row>
    <row r="160" spans="1:35" x14ac:dyDescent="0.25">
      <c r="A160">
        <f t="shared" si="55"/>
        <v>13</v>
      </c>
      <c r="B160">
        <f t="shared" si="60"/>
        <v>155</v>
      </c>
      <c r="C160" s="49">
        <f t="shared" si="52"/>
        <v>4689</v>
      </c>
      <c r="D160" s="78">
        <f>IF(C160&gt;EDATE(DATE(YEAR(SED_Origination_Date)+ SED_Amort, MONTH(SED_Origination_Date), DAY(SED_Origination_Date)),SED_Interest_Only),0,H159)</f>
        <v>0</v>
      </c>
      <c r="E160" s="78">
        <f t="shared" si="61"/>
        <v>0</v>
      </c>
      <c r="F160" s="78">
        <f>IFERROR(IF(OR(B160=0, C160&gt;=Refi_Origination_Date),0, PPMT(SED_I_Adj,'Loan Amort Table'!B160,SED_Amort_Periods,SED_Orig_Loan_Amount)),0)</f>
        <v>0</v>
      </c>
      <c r="G160" s="78" cm="1">
        <f t="array" ref="G160">IFERROR(_xlfn.IFS(C160&gt;=Refi_Origination_Date, 0, SED_Amort = 0, -D160 * SED_I_Adj, 1, IPMT(SED_I_Adj,IF(B160 = 0, 1, B160),SED_Amort_Periods,SED_Orig_Loan_Amount)),0)</f>
        <v>0</v>
      </c>
      <c r="H160" s="78">
        <f t="shared" si="76"/>
        <v>0</v>
      </c>
      <c r="J160">
        <f t="shared" si="56"/>
        <v>13</v>
      </c>
      <c r="K160">
        <f t="shared" si="62"/>
        <v>155</v>
      </c>
      <c r="L160" s="49">
        <f t="shared" si="69"/>
        <v>4689</v>
      </c>
      <c r="M160" s="78">
        <f>IF(L160&gt;EDATE(DATE(YEAR(NEW_Origination_Date)+ NEW_Amort, MONTH(NEW_Origination_Date), DAY(NEW_Origination_Date)),NEW_Interest_Only),0,Q159)</f>
        <v>0</v>
      </c>
      <c r="N160" s="78">
        <f t="shared" si="63"/>
        <v>0</v>
      </c>
      <c r="O160" s="78">
        <f>IFERROR(IF(K160=0,0, PPMT(NEW_I_Adj,'Loan Amort Table'!K160,NEW_Amort_Periods,NEW_Orig_Loan_Amount)),0)</f>
        <v>0</v>
      </c>
      <c r="P160" s="78">
        <f>IFERROR(IF(NEW_Amort = 0, -M160* NEW_I_Adj,IPMT(NEW_I_Adj,IF(K160 = 0, 1, K160),NEW_Amort_Periods,NEW_Orig_Loan_Amount)),0)</f>
        <v>0</v>
      </c>
      <c r="Q160" s="78">
        <f t="shared" si="64"/>
        <v>0</v>
      </c>
      <c r="S160">
        <f t="shared" si="57"/>
        <v>13</v>
      </c>
      <c r="T160">
        <f t="shared" si="65"/>
        <v>155</v>
      </c>
      <c r="U160" s="49">
        <f t="shared" si="70"/>
        <v>4689</v>
      </c>
      <c r="V160" s="78">
        <f t="shared" si="66"/>
        <v>0</v>
      </c>
      <c r="W160" s="78">
        <f t="shared" ca="1" si="71"/>
        <v>0</v>
      </c>
      <c r="X160" s="78">
        <f>IFERROR(IF(OR(T160=0, U160&gt;=Refi_Origination_Date),0, PPMT(Mezz_I_Adj,'Loan Amort Table'!T160,Mezz_Amort_Periods,Mezz_Orig_Loan_Amount)),0)</f>
        <v>0</v>
      </c>
      <c r="Y160" s="78" cm="1">
        <f t="array" aca="1" ref="Y160" ca="1">IFERROR(_xlfn.IFS(U160&gt;=Refi_Origination_Date,0, Mezz_Amort = 0, -V160 * Mezz_I_Adj, 1, IPMT(Mezz_I_Adj,IF(T160 = 0, 1, T160),Mezz_Amort_Periods,Mezz_Orig_Loan_Amount)),0)</f>
        <v>0</v>
      </c>
      <c r="Z160" s="78">
        <f t="shared" si="72"/>
        <v>0</v>
      </c>
      <c r="AB160">
        <f t="shared" si="58"/>
        <v>13</v>
      </c>
      <c r="AC160">
        <f t="shared" si="67"/>
        <v>155</v>
      </c>
      <c r="AD160" s="49">
        <f t="shared" si="73"/>
        <v>4689</v>
      </c>
      <c r="AE160" s="78">
        <f t="shared" si="68"/>
        <v>0</v>
      </c>
      <c r="AF160" s="78">
        <f t="shared" ca="1" si="74"/>
        <v>0</v>
      </c>
      <c r="AG160" s="78">
        <f ca="1">IFERROR(IF(AC160=0,0, PPMT(Refi_I_Adj,'Loan Amort Table'!AC160,Refi_Amort_Periods,Refi_Orig_Loan_Amount)),0)</f>
        <v>0</v>
      </c>
      <c r="AH160" s="78">
        <f t="shared" ca="1" si="59"/>
        <v>0</v>
      </c>
      <c r="AI160" s="78">
        <f t="shared" ca="1" si="75"/>
        <v>0</v>
      </c>
    </row>
    <row r="161" spans="1:35" x14ac:dyDescent="0.25">
      <c r="A161">
        <f t="shared" si="55"/>
        <v>13</v>
      </c>
      <c r="B161">
        <f t="shared" si="60"/>
        <v>156</v>
      </c>
      <c r="C161" s="49">
        <f t="shared" si="52"/>
        <v>4719</v>
      </c>
      <c r="D161" s="78">
        <f>IF(C161&gt;EDATE(DATE(YEAR(SED_Origination_Date)+ SED_Amort, MONTH(SED_Origination_Date), DAY(SED_Origination_Date)),SED_Interest_Only),0,H160)</f>
        <v>0</v>
      </c>
      <c r="E161" s="78">
        <f t="shared" si="61"/>
        <v>0</v>
      </c>
      <c r="F161" s="78">
        <f>IFERROR(IF(OR(B161=0, C161&gt;=Refi_Origination_Date),0, PPMT(SED_I_Adj,'Loan Amort Table'!B161,SED_Amort_Periods,SED_Orig_Loan_Amount)),0)</f>
        <v>0</v>
      </c>
      <c r="G161" s="78" cm="1">
        <f t="array" ref="G161">IFERROR(_xlfn.IFS(C161&gt;=Refi_Origination_Date, 0, SED_Amort = 0, -D161 * SED_I_Adj, 1, IPMT(SED_I_Adj,IF(B161 = 0, 1, B161),SED_Amort_Periods,SED_Orig_Loan_Amount)),0)</f>
        <v>0</v>
      </c>
      <c r="H161" s="78">
        <f t="shared" si="76"/>
        <v>0</v>
      </c>
      <c r="J161">
        <f t="shared" si="56"/>
        <v>13</v>
      </c>
      <c r="K161">
        <f t="shared" si="62"/>
        <v>156</v>
      </c>
      <c r="L161" s="49">
        <f t="shared" si="69"/>
        <v>4719</v>
      </c>
      <c r="M161" s="78">
        <f>IF(L161&gt;EDATE(DATE(YEAR(NEW_Origination_Date)+ NEW_Amort, MONTH(NEW_Origination_Date), DAY(NEW_Origination_Date)),NEW_Interest_Only),0,Q160)</f>
        <v>0</v>
      </c>
      <c r="N161" s="78">
        <f t="shared" si="63"/>
        <v>0</v>
      </c>
      <c r="O161" s="78">
        <f>IFERROR(IF(K161=0,0, PPMT(NEW_I_Adj,'Loan Amort Table'!K161,NEW_Amort_Periods,NEW_Orig_Loan_Amount)),0)</f>
        <v>0</v>
      </c>
      <c r="P161" s="78">
        <f>IFERROR(IF(NEW_Amort = 0, -M161* NEW_I_Adj,IPMT(NEW_I_Adj,IF(K161 = 0, 1, K161),NEW_Amort_Periods,NEW_Orig_Loan_Amount)),0)</f>
        <v>0</v>
      </c>
      <c r="Q161" s="78">
        <f t="shared" si="64"/>
        <v>0</v>
      </c>
      <c r="S161">
        <f t="shared" si="57"/>
        <v>13</v>
      </c>
      <c r="T161">
        <f t="shared" si="65"/>
        <v>156</v>
      </c>
      <c r="U161" s="49">
        <f t="shared" si="70"/>
        <v>4719</v>
      </c>
      <c r="V161" s="78">
        <f t="shared" si="66"/>
        <v>0</v>
      </c>
      <c r="W161" s="78">
        <f t="shared" ca="1" si="71"/>
        <v>0</v>
      </c>
      <c r="X161" s="78">
        <f>IFERROR(IF(OR(T161=0, U161&gt;=Refi_Origination_Date),0, PPMT(Mezz_I_Adj,'Loan Amort Table'!T161,Mezz_Amort_Periods,Mezz_Orig_Loan_Amount)),0)</f>
        <v>0</v>
      </c>
      <c r="Y161" s="78" cm="1">
        <f t="array" aca="1" ref="Y161" ca="1">IFERROR(_xlfn.IFS(U161&gt;=Refi_Origination_Date,0, Mezz_Amort = 0, -V161 * Mezz_I_Adj, 1, IPMT(Mezz_I_Adj,IF(T161 = 0, 1, T161),Mezz_Amort_Periods,Mezz_Orig_Loan_Amount)),0)</f>
        <v>0</v>
      </c>
      <c r="Z161" s="78">
        <f t="shared" si="72"/>
        <v>0</v>
      </c>
      <c r="AB161">
        <f t="shared" si="58"/>
        <v>13</v>
      </c>
      <c r="AC161">
        <f t="shared" si="67"/>
        <v>156</v>
      </c>
      <c r="AD161" s="49">
        <f t="shared" si="73"/>
        <v>4719</v>
      </c>
      <c r="AE161" s="78">
        <f t="shared" si="68"/>
        <v>0</v>
      </c>
      <c r="AF161" s="78">
        <f t="shared" ca="1" si="74"/>
        <v>0</v>
      </c>
      <c r="AG161" s="78">
        <f ca="1">IFERROR(IF(AC161=0,0, PPMT(Refi_I_Adj,'Loan Amort Table'!AC161,Refi_Amort_Periods,Refi_Orig_Loan_Amount)),0)</f>
        <v>0</v>
      </c>
      <c r="AH161" s="78">
        <f t="shared" ca="1" si="59"/>
        <v>0</v>
      </c>
      <c r="AI161" s="78">
        <f t="shared" ca="1" si="75"/>
        <v>0</v>
      </c>
    </row>
    <row r="162" spans="1:35" x14ac:dyDescent="0.25">
      <c r="A162">
        <f t="shared" si="55"/>
        <v>14</v>
      </c>
      <c r="B162">
        <f t="shared" si="60"/>
        <v>157</v>
      </c>
      <c r="C162" s="49">
        <f t="shared" si="52"/>
        <v>4750</v>
      </c>
      <c r="D162" s="78">
        <f>IF(C162&gt;EDATE(DATE(YEAR(SED_Origination_Date)+ SED_Amort, MONTH(SED_Origination_Date), DAY(SED_Origination_Date)),SED_Interest_Only),0,H161)</f>
        <v>0</v>
      </c>
      <c r="E162" s="78">
        <f t="shared" si="61"/>
        <v>0</v>
      </c>
      <c r="F162" s="78">
        <f>IFERROR(IF(OR(B162=0, C162&gt;=Refi_Origination_Date),0, PPMT(SED_I_Adj,'Loan Amort Table'!B162,SED_Amort_Periods,SED_Orig_Loan_Amount)),0)</f>
        <v>0</v>
      </c>
      <c r="G162" s="78" cm="1">
        <f t="array" ref="G162">IFERROR(_xlfn.IFS(C162&gt;=Refi_Origination_Date, 0, SED_Amort = 0, -D162 * SED_I_Adj, 1, IPMT(SED_I_Adj,IF(B162 = 0, 1, B162),SED_Amort_Periods,SED_Orig_Loan_Amount)),0)</f>
        <v>0</v>
      </c>
      <c r="H162" s="78">
        <f t="shared" si="76"/>
        <v>0</v>
      </c>
      <c r="J162">
        <f t="shared" si="56"/>
        <v>14</v>
      </c>
      <c r="K162">
        <f t="shared" si="62"/>
        <v>157</v>
      </c>
      <c r="L162" s="49">
        <f t="shared" si="69"/>
        <v>4750</v>
      </c>
      <c r="M162" s="78">
        <f>IF(L162&gt;EDATE(DATE(YEAR(NEW_Origination_Date)+ NEW_Amort, MONTH(NEW_Origination_Date), DAY(NEW_Origination_Date)),NEW_Interest_Only),0,Q161)</f>
        <v>0</v>
      </c>
      <c r="N162" s="78">
        <f t="shared" si="63"/>
        <v>0</v>
      </c>
      <c r="O162" s="78">
        <f>IFERROR(IF(K162=0,0, PPMT(NEW_I_Adj,'Loan Amort Table'!K162,NEW_Amort_Periods,NEW_Orig_Loan_Amount)),0)</f>
        <v>0</v>
      </c>
      <c r="P162" s="78">
        <f>IFERROR(IF(NEW_Amort = 0, -M162* NEW_I_Adj,IPMT(NEW_I_Adj,IF(K162 = 0, 1, K162),NEW_Amort_Periods,NEW_Orig_Loan_Amount)),0)</f>
        <v>0</v>
      </c>
      <c r="Q162" s="78">
        <f t="shared" si="64"/>
        <v>0</v>
      </c>
      <c r="S162">
        <f t="shared" si="57"/>
        <v>14</v>
      </c>
      <c r="T162">
        <f t="shared" si="65"/>
        <v>157</v>
      </c>
      <c r="U162" s="49">
        <f t="shared" si="70"/>
        <v>4750</v>
      </c>
      <c r="V162" s="78">
        <f t="shared" si="66"/>
        <v>0</v>
      </c>
      <c r="W162" s="78">
        <f t="shared" ca="1" si="71"/>
        <v>0</v>
      </c>
      <c r="X162" s="78">
        <f>IFERROR(IF(OR(T162=0, U162&gt;=Refi_Origination_Date),0, PPMT(Mezz_I_Adj,'Loan Amort Table'!T162,Mezz_Amort_Periods,Mezz_Orig_Loan_Amount)),0)</f>
        <v>0</v>
      </c>
      <c r="Y162" s="78" cm="1">
        <f t="array" aca="1" ref="Y162" ca="1">IFERROR(_xlfn.IFS(U162&gt;=Refi_Origination_Date,0, Mezz_Amort = 0, -V162 * Mezz_I_Adj, 1, IPMT(Mezz_I_Adj,IF(T162 = 0, 1, T162),Mezz_Amort_Periods,Mezz_Orig_Loan_Amount)),0)</f>
        <v>0</v>
      </c>
      <c r="Z162" s="78">
        <f t="shared" si="72"/>
        <v>0</v>
      </c>
      <c r="AB162">
        <f t="shared" si="58"/>
        <v>14</v>
      </c>
      <c r="AC162">
        <f t="shared" si="67"/>
        <v>157</v>
      </c>
      <c r="AD162" s="49">
        <f t="shared" si="73"/>
        <v>4750</v>
      </c>
      <c r="AE162" s="78">
        <f t="shared" si="68"/>
        <v>0</v>
      </c>
      <c r="AF162" s="78">
        <f t="shared" ca="1" si="74"/>
        <v>0</v>
      </c>
      <c r="AG162" s="78">
        <f ca="1">IFERROR(IF(AC162=0,0, PPMT(Refi_I_Adj,'Loan Amort Table'!AC162,Refi_Amort_Periods,Refi_Orig_Loan_Amount)),0)</f>
        <v>0</v>
      </c>
      <c r="AH162" s="78">
        <f t="shared" ca="1" si="59"/>
        <v>0</v>
      </c>
      <c r="AI162" s="78">
        <f t="shared" ca="1" si="75"/>
        <v>0</v>
      </c>
    </row>
    <row r="163" spans="1:35" x14ac:dyDescent="0.25">
      <c r="A163">
        <f t="shared" si="55"/>
        <v>14</v>
      </c>
      <c r="B163">
        <f t="shared" si="60"/>
        <v>158</v>
      </c>
      <c r="C163" s="49">
        <f t="shared" si="52"/>
        <v>4781</v>
      </c>
      <c r="D163" s="78">
        <f>IF(C163&gt;EDATE(DATE(YEAR(SED_Origination_Date)+ SED_Amort, MONTH(SED_Origination_Date), DAY(SED_Origination_Date)),SED_Interest_Only),0,H162)</f>
        <v>0</v>
      </c>
      <c r="E163" s="78">
        <f t="shared" si="61"/>
        <v>0</v>
      </c>
      <c r="F163" s="78">
        <f>IFERROR(IF(OR(B163=0, C163&gt;=Refi_Origination_Date),0, PPMT(SED_I_Adj,'Loan Amort Table'!B163,SED_Amort_Periods,SED_Orig_Loan_Amount)),0)</f>
        <v>0</v>
      </c>
      <c r="G163" s="78" cm="1">
        <f t="array" ref="G163">IFERROR(_xlfn.IFS(C163&gt;=Refi_Origination_Date, 0, SED_Amort = 0, -D163 * SED_I_Adj, 1, IPMT(SED_I_Adj,IF(B163 = 0, 1, B163),SED_Amort_Periods,SED_Orig_Loan_Amount)),0)</f>
        <v>0</v>
      </c>
      <c r="H163" s="78">
        <f t="shared" si="76"/>
        <v>0</v>
      </c>
      <c r="J163">
        <f t="shared" si="56"/>
        <v>14</v>
      </c>
      <c r="K163">
        <f t="shared" si="62"/>
        <v>158</v>
      </c>
      <c r="L163" s="49">
        <f t="shared" si="69"/>
        <v>4781</v>
      </c>
      <c r="M163" s="78">
        <f>IF(L163&gt;EDATE(DATE(YEAR(NEW_Origination_Date)+ NEW_Amort, MONTH(NEW_Origination_Date), DAY(NEW_Origination_Date)),NEW_Interest_Only),0,Q162)</f>
        <v>0</v>
      </c>
      <c r="N163" s="78">
        <f t="shared" si="63"/>
        <v>0</v>
      </c>
      <c r="O163" s="78">
        <f>IFERROR(IF(K163=0,0, PPMT(NEW_I_Adj,'Loan Amort Table'!K163,NEW_Amort_Periods,NEW_Orig_Loan_Amount)),0)</f>
        <v>0</v>
      </c>
      <c r="P163" s="78">
        <f>IFERROR(IF(NEW_Amort = 0, -M163* NEW_I_Adj,IPMT(NEW_I_Adj,IF(K163 = 0, 1, K163),NEW_Amort_Periods,NEW_Orig_Loan_Amount)),0)</f>
        <v>0</v>
      </c>
      <c r="Q163" s="78">
        <f t="shared" si="64"/>
        <v>0</v>
      </c>
      <c r="S163">
        <f t="shared" si="57"/>
        <v>14</v>
      </c>
      <c r="T163">
        <f t="shared" si="65"/>
        <v>158</v>
      </c>
      <c r="U163" s="49">
        <f t="shared" si="70"/>
        <v>4781</v>
      </c>
      <c r="V163" s="78">
        <f t="shared" si="66"/>
        <v>0</v>
      </c>
      <c r="W163" s="78">
        <f t="shared" ca="1" si="71"/>
        <v>0</v>
      </c>
      <c r="X163" s="78">
        <f>IFERROR(IF(OR(T163=0, U163&gt;=Refi_Origination_Date),0, PPMT(Mezz_I_Adj,'Loan Amort Table'!T163,Mezz_Amort_Periods,Mezz_Orig_Loan_Amount)),0)</f>
        <v>0</v>
      </c>
      <c r="Y163" s="78" cm="1">
        <f t="array" aca="1" ref="Y163" ca="1">IFERROR(_xlfn.IFS(U163&gt;=Refi_Origination_Date,0, Mezz_Amort = 0, -V163 * Mezz_I_Adj, 1, IPMT(Mezz_I_Adj,IF(T163 = 0, 1, T163),Mezz_Amort_Periods,Mezz_Orig_Loan_Amount)),0)</f>
        <v>0</v>
      </c>
      <c r="Z163" s="78">
        <f t="shared" si="72"/>
        <v>0</v>
      </c>
      <c r="AB163">
        <f t="shared" si="58"/>
        <v>14</v>
      </c>
      <c r="AC163">
        <f t="shared" si="67"/>
        <v>158</v>
      </c>
      <c r="AD163" s="49">
        <f t="shared" si="73"/>
        <v>4781</v>
      </c>
      <c r="AE163" s="78">
        <f t="shared" si="68"/>
        <v>0</v>
      </c>
      <c r="AF163" s="78">
        <f t="shared" ca="1" si="74"/>
        <v>0</v>
      </c>
      <c r="AG163" s="78">
        <f ca="1">IFERROR(IF(AC163=0,0, PPMT(Refi_I_Adj,'Loan Amort Table'!AC163,Refi_Amort_Periods,Refi_Orig_Loan_Amount)),0)</f>
        <v>0</v>
      </c>
      <c r="AH163" s="78">
        <f t="shared" ca="1" si="59"/>
        <v>0</v>
      </c>
      <c r="AI163" s="78">
        <f t="shared" ca="1" si="75"/>
        <v>0</v>
      </c>
    </row>
    <row r="164" spans="1:35" x14ac:dyDescent="0.25">
      <c r="A164">
        <f t="shared" si="55"/>
        <v>14</v>
      </c>
      <c r="B164">
        <f t="shared" si="60"/>
        <v>159</v>
      </c>
      <c r="C164" s="49">
        <f t="shared" si="52"/>
        <v>4809</v>
      </c>
      <c r="D164" s="78">
        <f>IF(C164&gt;EDATE(DATE(YEAR(SED_Origination_Date)+ SED_Amort, MONTH(SED_Origination_Date), DAY(SED_Origination_Date)),SED_Interest_Only),0,H163)</f>
        <v>0</v>
      </c>
      <c r="E164" s="78">
        <f t="shared" si="61"/>
        <v>0</v>
      </c>
      <c r="F164" s="78">
        <f>IFERROR(IF(OR(B164=0, C164&gt;=Refi_Origination_Date),0, PPMT(SED_I_Adj,'Loan Amort Table'!B164,SED_Amort_Periods,SED_Orig_Loan_Amount)),0)</f>
        <v>0</v>
      </c>
      <c r="G164" s="78" cm="1">
        <f t="array" ref="G164">IFERROR(_xlfn.IFS(C164&gt;=Refi_Origination_Date, 0, SED_Amort = 0, -D164 * SED_I_Adj, 1, IPMT(SED_I_Adj,IF(B164 = 0, 1, B164),SED_Amort_Periods,SED_Orig_Loan_Amount)),0)</f>
        <v>0</v>
      </c>
      <c r="H164" s="78">
        <f t="shared" si="76"/>
        <v>0</v>
      </c>
      <c r="J164">
        <f t="shared" si="56"/>
        <v>14</v>
      </c>
      <c r="K164">
        <f t="shared" si="62"/>
        <v>159</v>
      </c>
      <c r="L164" s="49">
        <f t="shared" si="69"/>
        <v>4809</v>
      </c>
      <c r="M164" s="78">
        <f>IF(L164&gt;EDATE(DATE(YEAR(NEW_Origination_Date)+ NEW_Amort, MONTH(NEW_Origination_Date), DAY(NEW_Origination_Date)),NEW_Interest_Only),0,Q163)</f>
        <v>0</v>
      </c>
      <c r="N164" s="78">
        <f t="shared" si="63"/>
        <v>0</v>
      </c>
      <c r="O164" s="78">
        <f>IFERROR(IF(K164=0,0, PPMT(NEW_I_Adj,'Loan Amort Table'!K164,NEW_Amort_Periods,NEW_Orig_Loan_Amount)),0)</f>
        <v>0</v>
      </c>
      <c r="P164" s="78">
        <f>IFERROR(IF(NEW_Amort = 0, -M164* NEW_I_Adj,IPMT(NEW_I_Adj,IF(K164 = 0, 1, K164),NEW_Amort_Periods,NEW_Orig_Loan_Amount)),0)</f>
        <v>0</v>
      </c>
      <c r="Q164" s="78">
        <f t="shared" si="64"/>
        <v>0</v>
      </c>
      <c r="S164">
        <f t="shared" si="57"/>
        <v>14</v>
      </c>
      <c r="T164">
        <f t="shared" si="65"/>
        <v>159</v>
      </c>
      <c r="U164" s="49">
        <f t="shared" si="70"/>
        <v>4809</v>
      </c>
      <c r="V164" s="78">
        <f t="shared" si="66"/>
        <v>0</v>
      </c>
      <c r="W164" s="78">
        <f t="shared" ca="1" si="71"/>
        <v>0</v>
      </c>
      <c r="X164" s="78">
        <f>IFERROR(IF(OR(T164=0, U164&gt;=Refi_Origination_Date),0, PPMT(Mezz_I_Adj,'Loan Amort Table'!T164,Mezz_Amort_Periods,Mezz_Orig_Loan_Amount)),0)</f>
        <v>0</v>
      </c>
      <c r="Y164" s="78" cm="1">
        <f t="array" aca="1" ref="Y164" ca="1">IFERROR(_xlfn.IFS(U164&gt;=Refi_Origination_Date,0, Mezz_Amort = 0, -V164 * Mezz_I_Adj, 1, IPMT(Mezz_I_Adj,IF(T164 = 0, 1, T164),Mezz_Amort_Periods,Mezz_Orig_Loan_Amount)),0)</f>
        <v>0</v>
      </c>
      <c r="Z164" s="78">
        <f t="shared" si="72"/>
        <v>0</v>
      </c>
      <c r="AB164">
        <f t="shared" si="58"/>
        <v>14</v>
      </c>
      <c r="AC164">
        <f t="shared" si="67"/>
        <v>159</v>
      </c>
      <c r="AD164" s="49">
        <f t="shared" si="73"/>
        <v>4809</v>
      </c>
      <c r="AE164" s="78">
        <f t="shared" si="68"/>
        <v>0</v>
      </c>
      <c r="AF164" s="78">
        <f t="shared" ca="1" si="74"/>
        <v>0</v>
      </c>
      <c r="AG164" s="78">
        <f ca="1">IFERROR(IF(AC164=0,0, PPMT(Refi_I_Adj,'Loan Amort Table'!AC164,Refi_Amort_Periods,Refi_Orig_Loan_Amount)),0)</f>
        <v>0</v>
      </c>
      <c r="AH164" s="78">
        <f t="shared" ca="1" si="59"/>
        <v>0</v>
      </c>
      <c r="AI164" s="78">
        <f t="shared" ca="1" si="75"/>
        <v>0</v>
      </c>
    </row>
    <row r="165" spans="1:35" x14ac:dyDescent="0.25">
      <c r="A165">
        <f t="shared" si="55"/>
        <v>14</v>
      </c>
      <c r="B165">
        <f t="shared" si="60"/>
        <v>160</v>
      </c>
      <c r="C165" s="49">
        <f t="shared" si="52"/>
        <v>4840</v>
      </c>
      <c r="D165" s="78">
        <f>IF(C165&gt;EDATE(DATE(YEAR(SED_Origination_Date)+ SED_Amort, MONTH(SED_Origination_Date), DAY(SED_Origination_Date)),SED_Interest_Only),0,H164)</f>
        <v>0</v>
      </c>
      <c r="E165" s="78">
        <f t="shared" si="61"/>
        <v>0</v>
      </c>
      <c r="F165" s="78">
        <f>IFERROR(IF(OR(B165=0, C165&gt;=Refi_Origination_Date),0, PPMT(SED_I_Adj,'Loan Amort Table'!B165,SED_Amort_Periods,SED_Orig_Loan_Amount)),0)</f>
        <v>0</v>
      </c>
      <c r="G165" s="78" cm="1">
        <f t="array" ref="G165">IFERROR(_xlfn.IFS(C165&gt;=Refi_Origination_Date, 0, SED_Amort = 0, -D165 * SED_I_Adj, 1, IPMT(SED_I_Adj,IF(B165 = 0, 1, B165),SED_Amort_Periods,SED_Orig_Loan_Amount)),0)</f>
        <v>0</v>
      </c>
      <c r="H165" s="78">
        <f t="shared" si="76"/>
        <v>0</v>
      </c>
      <c r="J165">
        <f t="shared" si="56"/>
        <v>14</v>
      </c>
      <c r="K165">
        <f t="shared" si="62"/>
        <v>160</v>
      </c>
      <c r="L165" s="49">
        <f t="shared" si="69"/>
        <v>4840</v>
      </c>
      <c r="M165" s="78">
        <f>IF(L165&gt;EDATE(DATE(YEAR(NEW_Origination_Date)+ NEW_Amort, MONTH(NEW_Origination_Date), DAY(NEW_Origination_Date)),NEW_Interest_Only),0,Q164)</f>
        <v>0</v>
      </c>
      <c r="N165" s="78">
        <f t="shared" si="63"/>
        <v>0</v>
      </c>
      <c r="O165" s="78">
        <f>IFERROR(IF(K165=0,0, PPMT(NEW_I_Adj,'Loan Amort Table'!K165,NEW_Amort_Periods,NEW_Orig_Loan_Amount)),0)</f>
        <v>0</v>
      </c>
      <c r="P165" s="78">
        <f>IFERROR(IF(NEW_Amort = 0, -M165* NEW_I_Adj,IPMT(NEW_I_Adj,IF(K165 = 0, 1, K165),NEW_Amort_Periods,NEW_Orig_Loan_Amount)),0)</f>
        <v>0</v>
      </c>
      <c r="Q165" s="78">
        <f t="shared" si="64"/>
        <v>0</v>
      </c>
      <c r="S165">
        <f t="shared" si="57"/>
        <v>14</v>
      </c>
      <c r="T165">
        <f t="shared" si="65"/>
        <v>160</v>
      </c>
      <c r="U165" s="49">
        <f t="shared" si="70"/>
        <v>4840</v>
      </c>
      <c r="V165" s="78">
        <f t="shared" si="66"/>
        <v>0</v>
      </c>
      <c r="W165" s="78">
        <f t="shared" ca="1" si="71"/>
        <v>0</v>
      </c>
      <c r="X165" s="78">
        <f>IFERROR(IF(OR(T165=0, U165&gt;=Refi_Origination_Date),0, PPMT(Mezz_I_Adj,'Loan Amort Table'!T165,Mezz_Amort_Periods,Mezz_Orig_Loan_Amount)),0)</f>
        <v>0</v>
      </c>
      <c r="Y165" s="78" cm="1">
        <f t="array" aca="1" ref="Y165" ca="1">IFERROR(_xlfn.IFS(U165&gt;=Refi_Origination_Date,0, Mezz_Amort = 0, -V165 * Mezz_I_Adj, 1, IPMT(Mezz_I_Adj,IF(T165 = 0, 1, T165),Mezz_Amort_Periods,Mezz_Orig_Loan_Amount)),0)</f>
        <v>0</v>
      </c>
      <c r="Z165" s="78">
        <f t="shared" si="72"/>
        <v>0</v>
      </c>
      <c r="AB165">
        <f t="shared" si="58"/>
        <v>14</v>
      </c>
      <c r="AC165">
        <f t="shared" si="67"/>
        <v>160</v>
      </c>
      <c r="AD165" s="49">
        <f t="shared" si="73"/>
        <v>4840</v>
      </c>
      <c r="AE165" s="78">
        <f t="shared" si="68"/>
        <v>0</v>
      </c>
      <c r="AF165" s="78">
        <f t="shared" ca="1" si="74"/>
        <v>0</v>
      </c>
      <c r="AG165" s="78">
        <f ca="1">IFERROR(IF(AC165=0,0, PPMT(Refi_I_Adj,'Loan Amort Table'!AC165,Refi_Amort_Periods,Refi_Orig_Loan_Amount)),0)</f>
        <v>0</v>
      </c>
      <c r="AH165" s="78">
        <f t="shared" ca="1" si="59"/>
        <v>0</v>
      </c>
      <c r="AI165" s="78">
        <f t="shared" ca="1" si="75"/>
        <v>0</v>
      </c>
    </row>
    <row r="166" spans="1:35" x14ac:dyDescent="0.25">
      <c r="A166">
        <f t="shared" si="55"/>
        <v>14</v>
      </c>
      <c r="B166">
        <f t="shared" si="60"/>
        <v>161</v>
      </c>
      <c r="C166" s="49">
        <f t="shared" si="52"/>
        <v>4870</v>
      </c>
      <c r="D166" s="78">
        <f>IF(C166&gt;EDATE(DATE(YEAR(SED_Origination_Date)+ SED_Amort, MONTH(SED_Origination_Date), DAY(SED_Origination_Date)),SED_Interest_Only),0,H165)</f>
        <v>0</v>
      </c>
      <c r="E166" s="78">
        <f t="shared" si="61"/>
        <v>0</v>
      </c>
      <c r="F166" s="78">
        <f>IFERROR(IF(OR(B166=0, C166&gt;=Refi_Origination_Date),0, PPMT(SED_I_Adj,'Loan Amort Table'!B166,SED_Amort_Periods,SED_Orig_Loan_Amount)),0)</f>
        <v>0</v>
      </c>
      <c r="G166" s="78" cm="1">
        <f t="array" ref="G166">IFERROR(_xlfn.IFS(C166&gt;=Refi_Origination_Date, 0, SED_Amort = 0, -D166 * SED_I_Adj, 1, IPMT(SED_I_Adj,IF(B166 = 0, 1, B166),SED_Amort_Periods,SED_Orig_Loan_Amount)),0)</f>
        <v>0</v>
      </c>
      <c r="H166" s="78">
        <f t="shared" si="76"/>
        <v>0</v>
      </c>
      <c r="J166">
        <f t="shared" si="56"/>
        <v>14</v>
      </c>
      <c r="K166">
        <f t="shared" si="62"/>
        <v>161</v>
      </c>
      <c r="L166" s="49">
        <f t="shared" si="69"/>
        <v>4870</v>
      </c>
      <c r="M166" s="78">
        <f>IF(L166&gt;EDATE(DATE(YEAR(NEW_Origination_Date)+ NEW_Amort, MONTH(NEW_Origination_Date), DAY(NEW_Origination_Date)),NEW_Interest_Only),0,Q165)</f>
        <v>0</v>
      </c>
      <c r="N166" s="78">
        <f t="shared" si="63"/>
        <v>0</v>
      </c>
      <c r="O166" s="78">
        <f>IFERROR(IF(K166=0,0, PPMT(NEW_I_Adj,'Loan Amort Table'!K166,NEW_Amort_Periods,NEW_Orig_Loan_Amount)),0)</f>
        <v>0</v>
      </c>
      <c r="P166" s="78">
        <f>IFERROR(IF(NEW_Amort = 0, -M166* NEW_I_Adj,IPMT(NEW_I_Adj,IF(K166 = 0, 1, K166),NEW_Amort_Periods,NEW_Orig_Loan_Amount)),0)</f>
        <v>0</v>
      </c>
      <c r="Q166" s="78">
        <f t="shared" si="64"/>
        <v>0</v>
      </c>
      <c r="S166">
        <f t="shared" si="57"/>
        <v>14</v>
      </c>
      <c r="T166">
        <f t="shared" si="65"/>
        <v>161</v>
      </c>
      <c r="U166" s="49">
        <f t="shared" si="70"/>
        <v>4870</v>
      </c>
      <c r="V166" s="78">
        <f t="shared" si="66"/>
        <v>0</v>
      </c>
      <c r="W166" s="78">
        <f t="shared" ca="1" si="71"/>
        <v>0</v>
      </c>
      <c r="X166" s="78">
        <f>IFERROR(IF(OR(T166=0, U166&gt;=Refi_Origination_Date),0, PPMT(Mezz_I_Adj,'Loan Amort Table'!T166,Mezz_Amort_Periods,Mezz_Orig_Loan_Amount)),0)</f>
        <v>0</v>
      </c>
      <c r="Y166" s="78" cm="1">
        <f t="array" aca="1" ref="Y166" ca="1">IFERROR(_xlfn.IFS(U166&gt;=Refi_Origination_Date,0, Mezz_Amort = 0, -V166 * Mezz_I_Adj, 1, IPMT(Mezz_I_Adj,IF(T166 = 0, 1, T166),Mezz_Amort_Periods,Mezz_Orig_Loan_Amount)),0)</f>
        <v>0</v>
      </c>
      <c r="Z166" s="78">
        <f t="shared" si="72"/>
        <v>0</v>
      </c>
      <c r="AB166">
        <f t="shared" si="58"/>
        <v>14</v>
      </c>
      <c r="AC166">
        <f t="shared" si="67"/>
        <v>161</v>
      </c>
      <c r="AD166" s="49">
        <f t="shared" si="73"/>
        <v>4870</v>
      </c>
      <c r="AE166" s="78">
        <f t="shared" si="68"/>
        <v>0</v>
      </c>
      <c r="AF166" s="78">
        <f t="shared" ca="1" si="74"/>
        <v>0</v>
      </c>
      <c r="AG166" s="78">
        <f ca="1">IFERROR(IF(AC166=0,0, PPMT(Refi_I_Adj,'Loan Amort Table'!AC166,Refi_Amort_Periods,Refi_Orig_Loan_Amount)),0)</f>
        <v>0</v>
      </c>
      <c r="AH166" s="78">
        <f t="shared" ca="1" si="59"/>
        <v>0</v>
      </c>
      <c r="AI166" s="78">
        <f t="shared" ca="1" si="75"/>
        <v>0</v>
      </c>
    </row>
    <row r="167" spans="1:35" x14ac:dyDescent="0.25">
      <c r="A167">
        <f t="shared" si="55"/>
        <v>14</v>
      </c>
      <c r="B167">
        <f t="shared" si="60"/>
        <v>162</v>
      </c>
      <c r="C167" s="49">
        <f t="shared" si="52"/>
        <v>4901</v>
      </c>
      <c r="D167" s="78">
        <f>IF(C167&gt;EDATE(DATE(YEAR(SED_Origination_Date)+ SED_Amort, MONTH(SED_Origination_Date), DAY(SED_Origination_Date)),SED_Interest_Only),0,H166)</f>
        <v>0</v>
      </c>
      <c r="E167" s="78">
        <f t="shared" si="61"/>
        <v>0</v>
      </c>
      <c r="F167" s="78">
        <f>IFERROR(IF(OR(B167=0, C167&gt;=Refi_Origination_Date),0, PPMT(SED_I_Adj,'Loan Amort Table'!B167,SED_Amort_Periods,SED_Orig_Loan_Amount)),0)</f>
        <v>0</v>
      </c>
      <c r="G167" s="78" cm="1">
        <f t="array" ref="G167">IFERROR(_xlfn.IFS(C167&gt;=Refi_Origination_Date, 0, SED_Amort = 0, -D167 * SED_I_Adj, 1, IPMT(SED_I_Adj,IF(B167 = 0, 1, B167),SED_Amort_Periods,SED_Orig_Loan_Amount)),0)</f>
        <v>0</v>
      </c>
      <c r="H167" s="78">
        <f t="shared" si="76"/>
        <v>0</v>
      </c>
      <c r="J167">
        <f t="shared" si="56"/>
        <v>14</v>
      </c>
      <c r="K167">
        <f t="shared" si="62"/>
        <v>162</v>
      </c>
      <c r="L167" s="49">
        <f t="shared" si="69"/>
        <v>4901</v>
      </c>
      <c r="M167" s="78">
        <f>IF(L167&gt;EDATE(DATE(YEAR(NEW_Origination_Date)+ NEW_Amort, MONTH(NEW_Origination_Date), DAY(NEW_Origination_Date)),NEW_Interest_Only),0,Q166)</f>
        <v>0</v>
      </c>
      <c r="N167" s="78">
        <f t="shared" si="63"/>
        <v>0</v>
      </c>
      <c r="O167" s="78">
        <f>IFERROR(IF(K167=0,0, PPMT(NEW_I_Adj,'Loan Amort Table'!K167,NEW_Amort_Periods,NEW_Orig_Loan_Amount)),0)</f>
        <v>0</v>
      </c>
      <c r="P167" s="78">
        <f>IFERROR(IF(NEW_Amort = 0, -M167* NEW_I_Adj,IPMT(NEW_I_Adj,IF(K167 = 0, 1, K167),NEW_Amort_Periods,NEW_Orig_Loan_Amount)),0)</f>
        <v>0</v>
      </c>
      <c r="Q167" s="78">
        <f t="shared" si="64"/>
        <v>0</v>
      </c>
      <c r="S167">
        <f t="shared" si="57"/>
        <v>14</v>
      </c>
      <c r="T167">
        <f t="shared" si="65"/>
        <v>162</v>
      </c>
      <c r="U167" s="49">
        <f t="shared" si="70"/>
        <v>4901</v>
      </c>
      <c r="V167" s="78">
        <f t="shared" si="66"/>
        <v>0</v>
      </c>
      <c r="W167" s="78">
        <f t="shared" ca="1" si="71"/>
        <v>0</v>
      </c>
      <c r="X167" s="78">
        <f>IFERROR(IF(OR(T167=0, U167&gt;=Refi_Origination_Date),0, PPMT(Mezz_I_Adj,'Loan Amort Table'!T167,Mezz_Amort_Periods,Mezz_Orig_Loan_Amount)),0)</f>
        <v>0</v>
      </c>
      <c r="Y167" s="78" cm="1">
        <f t="array" aca="1" ref="Y167" ca="1">IFERROR(_xlfn.IFS(U167&gt;=Refi_Origination_Date,0, Mezz_Amort = 0, -V167 * Mezz_I_Adj, 1, IPMT(Mezz_I_Adj,IF(T167 = 0, 1, T167),Mezz_Amort_Periods,Mezz_Orig_Loan_Amount)),0)</f>
        <v>0</v>
      </c>
      <c r="Z167" s="78">
        <f t="shared" si="72"/>
        <v>0</v>
      </c>
      <c r="AB167">
        <f t="shared" si="58"/>
        <v>14</v>
      </c>
      <c r="AC167">
        <f t="shared" si="67"/>
        <v>162</v>
      </c>
      <c r="AD167" s="49">
        <f t="shared" si="73"/>
        <v>4901</v>
      </c>
      <c r="AE167" s="78">
        <f t="shared" si="68"/>
        <v>0</v>
      </c>
      <c r="AF167" s="78">
        <f t="shared" ca="1" si="74"/>
        <v>0</v>
      </c>
      <c r="AG167" s="78">
        <f ca="1">IFERROR(IF(AC167=0,0, PPMT(Refi_I_Adj,'Loan Amort Table'!AC167,Refi_Amort_Periods,Refi_Orig_Loan_Amount)),0)</f>
        <v>0</v>
      </c>
      <c r="AH167" s="78">
        <f t="shared" ca="1" si="59"/>
        <v>0</v>
      </c>
      <c r="AI167" s="78">
        <f t="shared" ca="1" si="75"/>
        <v>0</v>
      </c>
    </row>
    <row r="168" spans="1:35" x14ac:dyDescent="0.25">
      <c r="A168">
        <f t="shared" si="55"/>
        <v>14</v>
      </c>
      <c r="B168">
        <f t="shared" si="60"/>
        <v>163</v>
      </c>
      <c r="C168" s="49">
        <f t="shared" si="52"/>
        <v>4931</v>
      </c>
      <c r="D168" s="78">
        <f>IF(C168&gt;EDATE(DATE(YEAR(SED_Origination_Date)+ SED_Amort, MONTH(SED_Origination_Date), DAY(SED_Origination_Date)),SED_Interest_Only),0,H167)</f>
        <v>0</v>
      </c>
      <c r="E168" s="78">
        <f t="shared" si="61"/>
        <v>0</v>
      </c>
      <c r="F168" s="78">
        <f>IFERROR(IF(OR(B168=0, C168&gt;=Refi_Origination_Date),0, PPMT(SED_I_Adj,'Loan Amort Table'!B168,SED_Amort_Periods,SED_Orig_Loan_Amount)),0)</f>
        <v>0</v>
      </c>
      <c r="G168" s="78" cm="1">
        <f t="array" ref="G168">IFERROR(_xlfn.IFS(C168&gt;=Refi_Origination_Date, 0, SED_Amort = 0, -D168 * SED_I_Adj, 1, IPMT(SED_I_Adj,IF(B168 = 0, 1, B168),SED_Amort_Periods,SED_Orig_Loan_Amount)),0)</f>
        <v>0</v>
      </c>
      <c r="H168" s="78">
        <f t="shared" si="76"/>
        <v>0</v>
      </c>
      <c r="J168">
        <f t="shared" si="56"/>
        <v>14</v>
      </c>
      <c r="K168">
        <f t="shared" si="62"/>
        <v>163</v>
      </c>
      <c r="L168" s="49">
        <f t="shared" si="69"/>
        <v>4931</v>
      </c>
      <c r="M168" s="78">
        <f>IF(L168&gt;EDATE(DATE(YEAR(NEW_Origination_Date)+ NEW_Amort, MONTH(NEW_Origination_Date), DAY(NEW_Origination_Date)),NEW_Interest_Only),0,Q167)</f>
        <v>0</v>
      </c>
      <c r="N168" s="78">
        <f t="shared" si="63"/>
        <v>0</v>
      </c>
      <c r="O168" s="78">
        <f>IFERROR(IF(K168=0,0, PPMT(NEW_I_Adj,'Loan Amort Table'!K168,NEW_Amort_Periods,NEW_Orig_Loan_Amount)),0)</f>
        <v>0</v>
      </c>
      <c r="P168" s="78">
        <f>IFERROR(IF(NEW_Amort = 0, -M168* NEW_I_Adj,IPMT(NEW_I_Adj,IF(K168 = 0, 1, K168),NEW_Amort_Periods,NEW_Orig_Loan_Amount)),0)</f>
        <v>0</v>
      </c>
      <c r="Q168" s="78">
        <f t="shared" si="64"/>
        <v>0</v>
      </c>
      <c r="S168">
        <f t="shared" si="57"/>
        <v>14</v>
      </c>
      <c r="T168">
        <f t="shared" si="65"/>
        <v>163</v>
      </c>
      <c r="U168" s="49">
        <f t="shared" si="70"/>
        <v>4931</v>
      </c>
      <c r="V168" s="78">
        <f t="shared" si="66"/>
        <v>0</v>
      </c>
      <c r="W168" s="78">
        <f t="shared" ca="1" si="71"/>
        <v>0</v>
      </c>
      <c r="X168" s="78">
        <f>IFERROR(IF(OR(T168=0, U168&gt;=Refi_Origination_Date),0, PPMT(Mezz_I_Adj,'Loan Amort Table'!T168,Mezz_Amort_Periods,Mezz_Orig_Loan_Amount)),0)</f>
        <v>0</v>
      </c>
      <c r="Y168" s="78" cm="1">
        <f t="array" aca="1" ref="Y168" ca="1">IFERROR(_xlfn.IFS(U168&gt;=Refi_Origination_Date,0, Mezz_Amort = 0, -V168 * Mezz_I_Adj, 1, IPMT(Mezz_I_Adj,IF(T168 = 0, 1, T168),Mezz_Amort_Periods,Mezz_Orig_Loan_Amount)),0)</f>
        <v>0</v>
      </c>
      <c r="Z168" s="78">
        <f t="shared" si="72"/>
        <v>0</v>
      </c>
      <c r="AB168">
        <f t="shared" si="58"/>
        <v>14</v>
      </c>
      <c r="AC168">
        <f t="shared" si="67"/>
        <v>163</v>
      </c>
      <c r="AD168" s="49">
        <f t="shared" si="73"/>
        <v>4931</v>
      </c>
      <c r="AE168" s="78">
        <f t="shared" si="68"/>
        <v>0</v>
      </c>
      <c r="AF168" s="78">
        <f t="shared" ca="1" si="74"/>
        <v>0</v>
      </c>
      <c r="AG168" s="78">
        <f ca="1">IFERROR(IF(AC168=0,0, PPMT(Refi_I_Adj,'Loan Amort Table'!AC168,Refi_Amort_Periods,Refi_Orig_Loan_Amount)),0)</f>
        <v>0</v>
      </c>
      <c r="AH168" s="78">
        <f t="shared" ca="1" si="59"/>
        <v>0</v>
      </c>
      <c r="AI168" s="78">
        <f t="shared" ca="1" si="75"/>
        <v>0</v>
      </c>
    </row>
    <row r="169" spans="1:35" x14ac:dyDescent="0.25">
      <c r="A169">
        <f t="shared" si="55"/>
        <v>14</v>
      </c>
      <c r="B169">
        <f t="shared" si="60"/>
        <v>164</v>
      </c>
      <c r="C169" s="49">
        <f t="shared" si="52"/>
        <v>4962</v>
      </c>
      <c r="D169" s="78">
        <f>IF(C169&gt;EDATE(DATE(YEAR(SED_Origination_Date)+ SED_Amort, MONTH(SED_Origination_Date), DAY(SED_Origination_Date)),SED_Interest_Only),0,H168)</f>
        <v>0</v>
      </c>
      <c r="E169" s="78">
        <f t="shared" si="61"/>
        <v>0</v>
      </c>
      <c r="F169" s="78">
        <f>IFERROR(IF(OR(B169=0, C169&gt;=Refi_Origination_Date),0, PPMT(SED_I_Adj,'Loan Amort Table'!B169,SED_Amort_Periods,SED_Orig_Loan_Amount)),0)</f>
        <v>0</v>
      </c>
      <c r="G169" s="78" cm="1">
        <f t="array" ref="G169">IFERROR(_xlfn.IFS(C169&gt;=Refi_Origination_Date, 0, SED_Amort = 0, -D169 * SED_I_Adj, 1, IPMT(SED_I_Adj,IF(B169 = 0, 1, B169),SED_Amort_Periods,SED_Orig_Loan_Amount)),0)</f>
        <v>0</v>
      </c>
      <c r="H169" s="78">
        <f t="shared" si="76"/>
        <v>0</v>
      </c>
      <c r="J169">
        <f t="shared" si="56"/>
        <v>14</v>
      </c>
      <c r="K169">
        <f t="shared" si="62"/>
        <v>164</v>
      </c>
      <c r="L169" s="49">
        <f t="shared" si="69"/>
        <v>4962</v>
      </c>
      <c r="M169" s="78">
        <f>IF(L169&gt;EDATE(DATE(YEAR(NEW_Origination_Date)+ NEW_Amort, MONTH(NEW_Origination_Date), DAY(NEW_Origination_Date)),NEW_Interest_Only),0,Q168)</f>
        <v>0</v>
      </c>
      <c r="N169" s="78">
        <f t="shared" si="63"/>
        <v>0</v>
      </c>
      <c r="O169" s="78">
        <f>IFERROR(IF(K169=0,0, PPMT(NEW_I_Adj,'Loan Amort Table'!K169,NEW_Amort_Periods,NEW_Orig_Loan_Amount)),0)</f>
        <v>0</v>
      </c>
      <c r="P169" s="78">
        <f>IFERROR(IF(NEW_Amort = 0, -M169* NEW_I_Adj,IPMT(NEW_I_Adj,IF(K169 = 0, 1, K169),NEW_Amort_Periods,NEW_Orig_Loan_Amount)),0)</f>
        <v>0</v>
      </c>
      <c r="Q169" s="78">
        <f t="shared" si="64"/>
        <v>0</v>
      </c>
      <c r="S169">
        <f t="shared" si="57"/>
        <v>14</v>
      </c>
      <c r="T169">
        <f t="shared" si="65"/>
        <v>164</v>
      </c>
      <c r="U169" s="49">
        <f t="shared" si="70"/>
        <v>4962</v>
      </c>
      <c r="V169" s="78">
        <f t="shared" si="66"/>
        <v>0</v>
      </c>
      <c r="W169" s="78">
        <f t="shared" ca="1" si="71"/>
        <v>0</v>
      </c>
      <c r="X169" s="78">
        <f>IFERROR(IF(OR(T169=0, U169&gt;=Refi_Origination_Date),0, PPMT(Mezz_I_Adj,'Loan Amort Table'!T169,Mezz_Amort_Periods,Mezz_Orig_Loan_Amount)),0)</f>
        <v>0</v>
      </c>
      <c r="Y169" s="78" cm="1">
        <f t="array" aca="1" ref="Y169" ca="1">IFERROR(_xlfn.IFS(U169&gt;=Refi_Origination_Date,0, Mezz_Amort = 0, -V169 * Mezz_I_Adj, 1, IPMT(Mezz_I_Adj,IF(T169 = 0, 1, T169),Mezz_Amort_Periods,Mezz_Orig_Loan_Amount)),0)</f>
        <v>0</v>
      </c>
      <c r="Z169" s="78">
        <f t="shared" si="72"/>
        <v>0</v>
      </c>
      <c r="AB169">
        <f t="shared" si="58"/>
        <v>14</v>
      </c>
      <c r="AC169">
        <f t="shared" si="67"/>
        <v>164</v>
      </c>
      <c r="AD169" s="49">
        <f t="shared" si="73"/>
        <v>4962</v>
      </c>
      <c r="AE169" s="78">
        <f t="shared" si="68"/>
        <v>0</v>
      </c>
      <c r="AF169" s="78">
        <f t="shared" ca="1" si="74"/>
        <v>0</v>
      </c>
      <c r="AG169" s="78">
        <f ca="1">IFERROR(IF(AC169=0,0, PPMT(Refi_I_Adj,'Loan Amort Table'!AC169,Refi_Amort_Periods,Refi_Orig_Loan_Amount)),0)</f>
        <v>0</v>
      </c>
      <c r="AH169" s="78">
        <f t="shared" ca="1" si="59"/>
        <v>0</v>
      </c>
      <c r="AI169" s="78">
        <f t="shared" ca="1" si="75"/>
        <v>0</v>
      </c>
    </row>
    <row r="170" spans="1:35" x14ac:dyDescent="0.25">
      <c r="A170">
        <f t="shared" si="55"/>
        <v>14</v>
      </c>
      <c r="B170">
        <f t="shared" si="60"/>
        <v>165</v>
      </c>
      <c r="C170" s="49">
        <f t="shared" si="52"/>
        <v>4993</v>
      </c>
      <c r="D170" s="78">
        <f>IF(C170&gt;EDATE(DATE(YEAR(SED_Origination_Date)+ SED_Amort, MONTH(SED_Origination_Date), DAY(SED_Origination_Date)),SED_Interest_Only),0,H169)</f>
        <v>0</v>
      </c>
      <c r="E170" s="78">
        <f t="shared" si="61"/>
        <v>0</v>
      </c>
      <c r="F170" s="78">
        <f>IFERROR(IF(OR(B170=0, C170&gt;=Refi_Origination_Date),0, PPMT(SED_I_Adj,'Loan Amort Table'!B170,SED_Amort_Periods,SED_Orig_Loan_Amount)),0)</f>
        <v>0</v>
      </c>
      <c r="G170" s="78" cm="1">
        <f t="array" ref="G170">IFERROR(_xlfn.IFS(C170&gt;=Refi_Origination_Date, 0, SED_Amort = 0, -D170 * SED_I_Adj, 1, IPMT(SED_I_Adj,IF(B170 = 0, 1, B170),SED_Amort_Periods,SED_Orig_Loan_Amount)),0)</f>
        <v>0</v>
      </c>
      <c r="H170" s="78">
        <f t="shared" si="76"/>
        <v>0</v>
      </c>
      <c r="J170">
        <f t="shared" si="56"/>
        <v>14</v>
      </c>
      <c r="K170">
        <f t="shared" si="62"/>
        <v>165</v>
      </c>
      <c r="L170" s="49">
        <f t="shared" si="69"/>
        <v>4993</v>
      </c>
      <c r="M170" s="78">
        <f>IF(L170&gt;EDATE(DATE(YEAR(NEW_Origination_Date)+ NEW_Amort, MONTH(NEW_Origination_Date), DAY(NEW_Origination_Date)),NEW_Interest_Only),0,Q169)</f>
        <v>0</v>
      </c>
      <c r="N170" s="78">
        <f t="shared" si="63"/>
        <v>0</v>
      </c>
      <c r="O170" s="78">
        <f>IFERROR(IF(K170=0,0, PPMT(NEW_I_Adj,'Loan Amort Table'!K170,NEW_Amort_Periods,NEW_Orig_Loan_Amount)),0)</f>
        <v>0</v>
      </c>
      <c r="P170" s="78">
        <f>IFERROR(IF(NEW_Amort = 0, -M170* NEW_I_Adj,IPMT(NEW_I_Adj,IF(K170 = 0, 1, K170),NEW_Amort_Periods,NEW_Orig_Loan_Amount)),0)</f>
        <v>0</v>
      </c>
      <c r="Q170" s="78">
        <f t="shared" si="64"/>
        <v>0</v>
      </c>
      <c r="S170">
        <f t="shared" si="57"/>
        <v>14</v>
      </c>
      <c r="T170">
        <f t="shared" si="65"/>
        <v>165</v>
      </c>
      <c r="U170" s="49">
        <f t="shared" si="70"/>
        <v>4993</v>
      </c>
      <c r="V170" s="78">
        <f t="shared" si="66"/>
        <v>0</v>
      </c>
      <c r="W170" s="78">
        <f t="shared" ca="1" si="71"/>
        <v>0</v>
      </c>
      <c r="X170" s="78">
        <f>IFERROR(IF(OR(T170=0, U170&gt;=Refi_Origination_Date),0, PPMT(Mezz_I_Adj,'Loan Amort Table'!T170,Mezz_Amort_Periods,Mezz_Orig_Loan_Amount)),0)</f>
        <v>0</v>
      </c>
      <c r="Y170" s="78" cm="1">
        <f t="array" aca="1" ref="Y170" ca="1">IFERROR(_xlfn.IFS(U170&gt;=Refi_Origination_Date,0, Mezz_Amort = 0, -V170 * Mezz_I_Adj, 1, IPMT(Mezz_I_Adj,IF(T170 = 0, 1, T170),Mezz_Amort_Periods,Mezz_Orig_Loan_Amount)),0)</f>
        <v>0</v>
      </c>
      <c r="Z170" s="78">
        <f t="shared" si="72"/>
        <v>0</v>
      </c>
      <c r="AB170">
        <f t="shared" si="58"/>
        <v>14</v>
      </c>
      <c r="AC170">
        <f t="shared" si="67"/>
        <v>165</v>
      </c>
      <c r="AD170" s="49">
        <f t="shared" si="73"/>
        <v>4993</v>
      </c>
      <c r="AE170" s="78">
        <f t="shared" si="68"/>
        <v>0</v>
      </c>
      <c r="AF170" s="78">
        <f t="shared" ca="1" si="74"/>
        <v>0</v>
      </c>
      <c r="AG170" s="78">
        <f ca="1">IFERROR(IF(AC170=0,0, PPMT(Refi_I_Adj,'Loan Amort Table'!AC170,Refi_Amort_Periods,Refi_Orig_Loan_Amount)),0)</f>
        <v>0</v>
      </c>
      <c r="AH170" s="78">
        <f t="shared" ca="1" si="59"/>
        <v>0</v>
      </c>
      <c r="AI170" s="78">
        <f t="shared" ca="1" si="75"/>
        <v>0</v>
      </c>
    </row>
    <row r="171" spans="1:35" x14ac:dyDescent="0.25">
      <c r="A171">
        <f t="shared" si="55"/>
        <v>14</v>
      </c>
      <c r="B171">
        <f t="shared" si="60"/>
        <v>166</v>
      </c>
      <c r="C171" s="49">
        <f t="shared" si="52"/>
        <v>5023</v>
      </c>
      <c r="D171" s="78">
        <f>IF(C171&gt;EDATE(DATE(YEAR(SED_Origination_Date)+ SED_Amort, MONTH(SED_Origination_Date), DAY(SED_Origination_Date)),SED_Interest_Only),0,H170)</f>
        <v>0</v>
      </c>
      <c r="E171" s="78">
        <f t="shared" si="61"/>
        <v>0</v>
      </c>
      <c r="F171" s="78">
        <f>IFERROR(IF(OR(B171=0, C171&gt;=Refi_Origination_Date),0, PPMT(SED_I_Adj,'Loan Amort Table'!B171,SED_Amort_Periods,SED_Orig_Loan_Amount)),0)</f>
        <v>0</v>
      </c>
      <c r="G171" s="78" cm="1">
        <f t="array" ref="G171">IFERROR(_xlfn.IFS(C171&gt;=Refi_Origination_Date, 0, SED_Amort = 0, -D171 * SED_I_Adj, 1, IPMT(SED_I_Adj,IF(B171 = 0, 1, B171),SED_Amort_Periods,SED_Orig_Loan_Amount)),0)</f>
        <v>0</v>
      </c>
      <c r="H171" s="78">
        <f t="shared" si="76"/>
        <v>0</v>
      </c>
      <c r="J171">
        <f t="shared" si="56"/>
        <v>14</v>
      </c>
      <c r="K171">
        <f t="shared" si="62"/>
        <v>166</v>
      </c>
      <c r="L171" s="49">
        <f t="shared" si="69"/>
        <v>5023</v>
      </c>
      <c r="M171" s="78">
        <f>IF(L171&gt;EDATE(DATE(YEAR(NEW_Origination_Date)+ NEW_Amort, MONTH(NEW_Origination_Date), DAY(NEW_Origination_Date)),NEW_Interest_Only),0,Q170)</f>
        <v>0</v>
      </c>
      <c r="N171" s="78">
        <f t="shared" si="63"/>
        <v>0</v>
      </c>
      <c r="O171" s="78">
        <f>IFERROR(IF(K171=0,0, PPMT(NEW_I_Adj,'Loan Amort Table'!K171,NEW_Amort_Periods,NEW_Orig_Loan_Amount)),0)</f>
        <v>0</v>
      </c>
      <c r="P171" s="78">
        <f>IFERROR(IF(NEW_Amort = 0, -M171* NEW_I_Adj,IPMT(NEW_I_Adj,IF(K171 = 0, 1, K171),NEW_Amort_Periods,NEW_Orig_Loan_Amount)),0)</f>
        <v>0</v>
      </c>
      <c r="Q171" s="78">
        <f t="shared" si="64"/>
        <v>0</v>
      </c>
      <c r="S171">
        <f t="shared" si="57"/>
        <v>14</v>
      </c>
      <c r="T171">
        <f t="shared" si="65"/>
        <v>166</v>
      </c>
      <c r="U171" s="49">
        <f t="shared" si="70"/>
        <v>5023</v>
      </c>
      <c r="V171" s="78">
        <f t="shared" si="66"/>
        <v>0</v>
      </c>
      <c r="W171" s="78">
        <f t="shared" ca="1" si="71"/>
        <v>0</v>
      </c>
      <c r="X171" s="78">
        <f>IFERROR(IF(OR(T171=0, U171&gt;=Refi_Origination_Date),0, PPMT(Mezz_I_Adj,'Loan Amort Table'!T171,Mezz_Amort_Periods,Mezz_Orig_Loan_Amount)),0)</f>
        <v>0</v>
      </c>
      <c r="Y171" s="78" cm="1">
        <f t="array" aca="1" ref="Y171" ca="1">IFERROR(_xlfn.IFS(U171&gt;=Refi_Origination_Date,0, Mezz_Amort = 0, -V171 * Mezz_I_Adj, 1, IPMT(Mezz_I_Adj,IF(T171 = 0, 1, T171),Mezz_Amort_Periods,Mezz_Orig_Loan_Amount)),0)</f>
        <v>0</v>
      </c>
      <c r="Z171" s="78">
        <f t="shared" si="72"/>
        <v>0</v>
      </c>
      <c r="AB171">
        <f t="shared" si="58"/>
        <v>14</v>
      </c>
      <c r="AC171">
        <f t="shared" si="67"/>
        <v>166</v>
      </c>
      <c r="AD171" s="49">
        <f t="shared" si="73"/>
        <v>5023</v>
      </c>
      <c r="AE171" s="78">
        <f t="shared" si="68"/>
        <v>0</v>
      </c>
      <c r="AF171" s="78">
        <f t="shared" ca="1" si="74"/>
        <v>0</v>
      </c>
      <c r="AG171" s="78">
        <f ca="1">IFERROR(IF(AC171=0,0, PPMT(Refi_I_Adj,'Loan Amort Table'!AC171,Refi_Amort_Periods,Refi_Orig_Loan_Amount)),0)</f>
        <v>0</v>
      </c>
      <c r="AH171" s="78">
        <f t="shared" ca="1" si="59"/>
        <v>0</v>
      </c>
      <c r="AI171" s="78">
        <f t="shared" ca="1" si="75"/>
        <v>0</v>
      </c>
    </row>
    <row r="172" spans="1:35" x14ac:dyDescent="0.25">
      <c r="A172">
        <f t="shared" si="55"/>
        <v>14</v>
      </c>
      <c r="B172">
        <f t="shared" si="60"/>
        <v>167</v>
      </c>
      <c r="C172" s="49">
        <f t="shared" si="52"/>
        <v>5054</v>
      </c>
      <c r="D172" s="78">
        <f>IF(C172&gt;EDATE(DATE(YEAR(SED_Origination_Date)+ SED_Amort, MONTH(SED_Origination_Date), DAY(SED_Origination_Date)),SED_Interest_Only),0,H171)</f>
        <v>0</v>
      </c>
      <c r="E172" s="78">
        <f t="shared" si="61"/>
        <v>0</v>
      </c>
      <c r="F172" s="78">
        <f>IFERROR(IF(OR(B172=0, C172&gt;=Refi_Origination_Date),0, PPMT(SED_I_Adj,'Loan Amort Table'!B172,SED_Amort_Periods,SED_Orig_Loan_Amount)),0)</f>
        <v>0</v>
      </c>
      <c r="G172" s="78" cm="1">
        <f t="array" ref="G172">IFERROR(_xlfn.IFS(C172&gt;=Refi_Origination_Date, 0, SED_Amort = 0, -D172 * SED_I_Adj, 1, IPMT(SED_I_Adj,IF(B172 = 0, 1, B172),SED_Amort_Periods,SED_Orig_Loan_Amount)),0)</f>
        <v>0</v>
      </c>
      <c r="H172" s="78">
        <f t="shared" si="76"/>
        <v>0</v>
      </c>
      <c r="J172">
        <f t="shared" si="56"/>
        <v>14</v>
      </c>
      <c r="K172">
        <f t="shared" si="62"/>
        <v>167</v>
      </c>
      <c r="L172" s="49">
        <f t="shared" si="69"/>
        <v>5054</v>
      </c>
      <c r="M172" s="78">
        <f>IF(L172&gt;EDATE(DATE(YEAR(NEW_Origination_Date)+ NEW_Amort, MONTH(NEW_Origination_Date), DAY(NEW_Origination_Date)),NEW_Interest_Only),0,Q171)</f>
        <v>0</v>
      </c>
      <c r="N172" s="78">
        <f t="shared" si="63"/>
        <v>0</v>
      </c>
      <c r="O172" s="78">
        <f>IFERROR(IF(K172=0,0, PPMT(NEW_I_Adj,'Loan Amort Table'!K172,NEW_Amort_Periods,NEW_Orig_Loan_Amount)),0)</f>
        <v>0</v>
      </c>
      <c r="P172" s="78">
        <f>IFERROR(IF(NEW_Amort = 0, -M172* NEW_I_Adj,IPMT(NEW_I_Adj,IF(K172 = 0, 1, K172),NEW_Amort_Periods,NEW_Orig_Loan_Amount)),0)</f>
        <v>0</v>
      </c>
      <c r="Q172" s="78">
        <f t="shared" si="64"/>
        <v>0</v>
      </c>
      <c r="S172">
        <f t="shared" si="57"/>
        <v>14</v>
      </c>
      <c r="T172">
        <f t="shared" si="65"/>
        <v>167</v>
      </c>
      <c r="U172" s="49">
        <f t="shared" si="70"/>
        <v>5054</v>
      </c>
      <c r="V172" s="78">
        <f t="shared" si="66"/>
        <v>0</v>
      </c>
      <c r="W172" s="78">
        <f t="shared" ca="1" si="71"/>
        <v>0</v>
      </c>
      <c r="X172" s="78">
        <f>IFERROR(IF(OR(T172=0, U172&gt;=Refi_Origination_Date),0, PPMT(Mezz_I_Adj,'Loan Amort Table'!T172,Mezz_Amort_Periods,Mezz_Orig_Loan_Amount)),0)</f>
        <v>0</v>
      </c>
      <c r="Y172" s="78" cm="1">
        <f t="array" aca="1" ref="Y172" ca="1">IFERROR(_xlfn.IFS(U172&gt;=Refi_Origination_Date,0, Mezz_Amort = 0, -V172 * Mezz_I_Adj, 1, IPMT(Mezz_I_Adj,IF(T172 = 0, 1, T172),Mezz_Amort_Periods,Mezz_Orig_Loan_Amount)),0)</f>
        <v>0</v>
      </c>
      <c r="Z172" s="78">
        <f t="shared" si="72"/>
        <v>0</v>
      </c>
      <c r="AB172">
        <f t="shared" si="58"/>
        <v>14</v>
      </c>
      <c r="AC172">
        <f t="shared" si="67"/>
        <v>167</v>
      </c>
      <c r="AD172" s="49">
        <f t="shared" si="73"/>
        <v>5054</v>
      </c>
      <c r="AE172" s="78">
        <f t="shared" si="68"/>
        <v>0</v>
      </c>
      <c r="AF172" s="78">
        <f t="shared" ca="1" si="74"/>
        <v>0</v>
      </c>
      <c r="AG172" s="78">
        <f ca="1">IFERROR(IF(AC172=0,0, PPMT(Refi_I_Adj,'Loan Amort Table'!AC172,Refi_Amort_Periods,Refi_Orig_Loan_Amount)),0)</f>
        <v>0</v>
      </c>
      <c r="AH172" s="78">
        <f t="shared" ca="1" si="59"/>
        <v>0</v>
      </c>
      <c r="AI172" s="78">
        <f t="shared" ca="1" si="75"/>
        <v>0</v>
      </c>
    </row>
    <row r="173" spans="1:35" x14ac:dyDescent="0.25">
      <c r="A173">
        <f t="shared" si="55"/>
        <v>14</v>
      </c>
      <c r="B173">
        <f t="shared" si="60"/>
        <v>168</v>
      </c>
      <c r="C173" s="49">
        <f t="shared" si="52"/>
        <v>5084</v>
      </c>
      <c r="D173" s="78">
        <f>IF(C173&gt;EDATE(DATE(YEAR(SED_Origination_Date)+ SED_Amort, MONTH(SED_Origination_Date), DAY(SED_Origination_Date)),SED_Interest_Only),0,H172)</f>
        <v>0</v>
      </c>
      <c r="E173" s="78">
        <f t="shared" si="61"/>
        <v>0</v>
      </c>
      <c r="F173" s="78">
        <f>IFERROR(IF(OR(B173=0, C173&gt;=Refi_Origination_Date),0, PPMT(SED_I_Adj,'Loan Amort Table'!B173,SED_Amort_Periods,SED_Orig_Loan_Amount)),0)</f>
        <v>0</v>
      </c>
      <c r="G173" s="78" cm="1">
        <f t="array" ref="G173">IFERROR(_xlfn.IFS(C173&gt;=Refi_Origination_Date, 0, SED_Amort = 0, -D173 * SED_I_Adj, 1, IPMT(SED_I_Adj,IF(B173 = 0, 1, B173),SED_Amort_Periods,SED_Orig_Loan_Amount)),0)</f>
        <v>0</v>
      </c>
      <c r="H173" s="78">
        <f t="shared" si="76"/>
        <v>0</v>
      </c>
      <c r="J173">
        <f t="shared" si="56"/>
        <v>14</v>
      </c>
      <c r="K173">
        <f t="shared" si="62"/>
        <v>168</v>
      </c>
      <c r="L173" s="49">
        <f t="shared" si="69"/>
        <v>5084</v>
      </c>
      <c r="M173" s="78">
        <f>IF(L173&gt;EDATE(DATE(YEAR(NEW_Origination_Date)+ NEW_Amort, MONTH(NEW_Origination_Date), DAY(NEW_Origination_Date)),NEW_Interest_Only),0,Q172)</f>
        <v>0</v>
      </c>
      <c r="N173" s="78">
        <f t="shared" si="63"/>
        <v>0</v>
      </c>
      <c r="O173" s="78">
        <f>IFERROR(IF(K173=0,0, PPMT(NEW_I_Adj,'Loan Amort Table'!K173,NEW_Amort_Periods,NEW_Orig_Loan_Amount)),0)</f>
        <v>0</v>
      </c>
      <c r="P173" s="78">
        <f>IFERROR(IF(NEW_Amort = 0, -M173* NEW_I_Adj,IPMT(NEW_I_Adj,IF(K173 = 0, 1, K173),NEW_Amort_Periods,NEW_Orig_Loan_Amount)),0)</f>
        <v>0</v>
      </c>
      <c r="Q173" s="78">
        <f t="shared" si="64"/>
        <v>0</v>
      </c>
      <c r="S173">
        <f t="shared" si="57"/>
        <v>14</v>
      </c>
      <c r="T173">
        <f t="shared" si="65"/>
        <v>168</v>
      </c>
      <c r="U173" s="49">
        <f t="shared" si="70"/>
        <v>5084</v>
      </c>
      <c r="V173" s="78">
        <f t="shared" si="66"/>
        <v>0</v>
      </c>
      <c r="W173" s="78">
        <f t="shared" ca="1" si="71"/>
        <v>0</v>
      </c>
      <c r="X173" s="78">
        <f>IFERROR(IF(OR(T173=0, U173&gt;=Refi_Origination_Date),0, PPMT(Mezz_I_Adj,'Loan Amort Table'!T173,Mezz_Amort_Periods,Mezz_Orig_Loan_Amount)),0)</f>
        <v>0</v>
      </c>
      <c r="Y173" s="78" cm="1">
        <f t="array" aca="1" ref="Y173" ca="1">IFERROR(_xlfn.IFS(U173&gt;=Refi_Origination_Date,0, Mezz_Amort = 0, -V173 * Mezz_I_Adj, 1, IPMT(Mezz_I_Adj,IF(T173 = 0, 1, T173),Mezz_Amort_Periods,Mezz_Orig_Loan_Amount)),0)</f>
        <v>0</v>
      </c>
      <c r="Z173" s="78">
        <f t="shared" si="72"/>
        <v>0</v>
      </c>
      <c r="AB173">
        <f t="shared" si="58"/>
        <v>14</v>
      </c>
      <c r="AC173">
        <f t="shared" si="67"/>
        <v>168</v>
      </c>
      <c r="AD173" s="49">
        <f t="shared" si="73"/>
        <v>5084</v>
      </c>
      <c r="AE173" s="78">
        <f t="shared" si="68"/>
        <v>0</v>
      </c>
      <c r="AF173" s="78">
        <f t="shared" ca="1" si="74"/>
        <v>0</v>
      </c>
      <c r="AG173" s="78">
        <f ca="1">IFERROR(IF(AC173=0,0, PPMT(Refi_I_Adj,'Loan Amort Table'!AC173,Refi_Amort_Periods,Refi_Orig_Loan_Amount)),0)</f>
        <v>0</v>
      </c>
      <c r="AH173" s="78">
        <f t="shared" ca="1" si="59"/>
        <v>0</v>
      </c>
      <c r="AI173" s="78">
        <f t="shared" ca="1" si="75"/>
        <v>0</v>
      </c>
    </row>
    <row r="174" spans="1:35" x14ac:dyDescent="0.25">
      <c r="A174">
        <f t="shared" si="55"/>
        <v>15</v>
      </c>
      <c r="B174">
        <f t="shared" si="60"/>
        <v>169</v>
      </c>
      <c r="C174" s="49">
        <f t="shared" si="52"/>
        <v>5115</v>
      </c>
      <c r="D174" s="78">
        <f>IF(C174&gt;EDATE(DATE(YEAR(SED_Origination_Date)+ SED_Amort, MONTH(SED_Origination_Date), DAY(SED_Origination_Date)),SED_Interest_Only),0,H173)</f>
        <v>0</v>
      </c>
      <c r="E174" s="78">
        <f t="shared" si="61"/>
        <v>0</v>
      </c>
      <c r="F174" s="78">
        <f>IFERROR(IF(OR(B174=0, C174&gt;=Refi_Origination_Date),0, PPMT(SED_I_Adj,'Loan Amort Table'!B174,SED_Amort_Periods,SED_Orig_Loan_Amount)),0)</f>
        <v>0</v>
      </c>
      <c r="G174" s="78" cm="1">
        <f t="array" ref="G174">IFERROR(_xlfn.IFS(C174&gt;=Refi_Origination_Date, 0, SED_Amort = 0, -D174 * SED_I_Adj, 1, IPMT(SED_I_Adj,IF(B174 = 0, 1, B174),SED_Amort_Periods,SED_Orig_Loan_Amount)),0)</f>
        <v>0</v>
      </c>
      <c r="H174" s="78">
        <f t="shared" si="76"/>
        <v>0</v>
      </c>
      <c r="J174">
        <f t="shared" si="56"/>
        <v>15</v>
      </c>
      <c r="K174">
        <f t="shared" si="62"/>
        <v>169</v>
      </c>
      <c r="L174" s="49">
        <f t="shared" si="69"/>
        <v>5115</v>
      </c>
      <c r="M174" s="78">
        <f>IF(L174&gt;EDATE(DATE(YEAR(NEW_Origination_Date)+ NEW_Amort, MONTH(NEW_Origination_Date), DAY(NEW_Origination_Date)),NEW_Interest_Only),0,Q173)</f>
        <v>0</v>
      </c>
      <c r="N174" s="78">
        <f t="shared" si="63"/>
        <v>0</v>
      </c>
      <c r="O174" s="78">
        <f>IFERROR(IF(K174=0,0, PPMT(NEW_I_Adj,'Loan Amort Table'!K174,NEW_Amort_Periods,NEW_Orig_Loan_Amount)),0)</f>
        <v>0</v>
      </c>
      <c r="P174" s="78">
        <f>IFERROR(IF(NEW_Amort = 0, -M174* NEW_I_Adj,IPMT(NEW_I_Adj,IF(K174 = 0, 1, K174),NEW_Amort_Periods,NEW_Orig_Loan_Amount)),0)</f>
        <v>0</v>
      </c>
      <c r="Q174" s="78">
        <f t="shared" si="64"/>
        <v>0</v>
      </c>
      <c r="S174">
        <f t="shared" si="57"/>
        <v>15</v>
      </c>
      <c r="T174">
        <f t="shared" si="65"/>
        <v>169</v>
      </c>
      <c r="U174" s="49">
        <f t="shared" si="70"/>
        <v>5115</v>
      </c>
      <c r="V174" s="78">
        <f t="shared" si="66"/>
        <v>0</v>
      </c>
      <c r="W174" s="78">
        <f t="shared" ca="1" si="71"/>
        <v>0</v>
      </c>
      <c r="X174" s="78">
        <f>IFERROR(IF(OR(T174=0, U174&gt;=Refi_Origination_Date),0, PPMT(Mezz_I_Adj,'Loan Amort Table'!T174,Mezz_Amort_Periods,Mezz_Orig_Loan_Amount)),0)</f>
        <v>0</v>
      </c>
      <c r="Y174" s="78" cm="1">
        <f t="array" aca="1" ref="Y174" ca="1">IFERROR(_xlfn.IFS(U174&gt;=Refi_Origination_Date,0, Mezz_Amort = 0, -V174 * Mezz_I_Adj, 1, IPMT(Mezz_I_Adj,IF(T174 = 0, 1, T174),Mezz_Amort_Periods,Mezz_Orig_Loan_Amount)),0)</f>
        <v>0</v>
      </c>
      <c r="Z174" s="78">
        <f t="shared" si="72"/>
        <v>0</v>
      </c>
      <c r="AB174">
        <f t="shared" si="58"/>
        <v>15</v>
      </c>
      <c r="AC174">
        <f t="shared" si="67"/>
        <v>169</v>
      </c>
      <c r="AD174" s="49">
        <f t="shared" si="73"/>
        <v>5115</v>
      </c>
      <c r="AE174" s="78">
        <f t="shared" si="68"/>
        <v>0</v>
      </c>
      <c r="AF174" s="78">
        <f t="shared" ca="1" si="74"/>
        <v>0</v>
      </c>
      <c r="AG174" s="78">
        <f ca="1">IFERROR(IF(AC174=0,0, PPMT(Refi_I_Adj,'Loan Amort Table'!AC174,Refi_Amort_Periods,Refi_Orig_Loan_Amount)),0)</f>
        <v>0</v>
      </c>
      <c r="AH174" s="78">
        <f t="shared" ca="1" si="59"/>
        <v>0</v>
      </c>
      <c r="AI174" s="78">
        <f t="shared" ca="1" si="75"/>
        <v>0</v>
      </c>
    </row>
    <row r="175" spans="1:35" x14ac:dyDescent="0.25">
      <c r="A175">
        <f t="shared" si="55"/>
        <v>15</v>
      </c>
      <c r="B175">
        <f t="shared" si="60"/>
        <v>170</v>
      </c>
      <c r="C175" s="49">
        <f t="shared" si="52"/>
        <v>5146</v>
      </c>
      <c r="D175" s="78">
        <f>IF(C175&gt;EDATE(DATE(YEAR(SED_Origination_Date)+ SED_Amort, MONTH(SED_Origination_Date), DAY(SED_Origination_Date)),SED_Interest_Only),0,H174)</f>
        <v>0</v>
      </c>
      <c r="E175" s="78">
        <f t="shared" si="61"/>
        <v>0</v>
      </c>
      <c r="F175" s="78">
        <f>IFERROR(IF(OR(B175=0, C175&gt;=Refi_Origination_Date),0, PPMT(SED_I_Adj,'Loan Amort Table'!B175,SED_Amort_Periods,SED_Orig_Loan_Amount)),0)</f>
        <v>0</v>
      </c>
      <c r="G175" s="78" cm="1">
        <f t="array" ref="G175">IFERROR(_xlfn.IFS(C175&gt;=Refi_Origination_Date, 0, SED_Amort = 0, -D175 * SED_I_Adj, 1, IPMT(SED_I_Adj,IF(B175 = 0, 1, B175),SED_Amort_Periods,SED_Orig_Loan_Amount)),0)</f>
        <v>0</v>
      </c>
      <c r="H175" s="78">
        <f t="shared" si="76"/>
        <v>0</v>
      </c>
      <c r="J175">
        <f t="shared" si="56"/>
        <v>15</v>
      </c>
      <c r="K175">
        <f t="shared" si="62"/>
        <v>170</v>
      </c>
      <c r="L175" s="49">
        <f t="shared" si="69"/>
        <v>5146</v>
      </c>
      <c r="M175" s="78">
        <f>IF(L175&gt;EDATE(DATE(YEAR(NEW_Origination_Date)+ NEW_Amort, MONTH(NEW_Origination_Date), DAY(NEW_Origination_Date)),NEW_Interest_Only),0,Q174)</f>
        <v>0</v>
      </c>
      <c r="N175" s="78">
        <f t="shared" si="63"/>
        <v>0</v>
      </c>
      <c r="O175" s="78">
        <f>IFERROR(IF(K175=0,0, PPMT(NEW_I_Adj,'Loan Amort Table'!K175,NEW_Amort_Periods,NEW_Orig_Loan_Amount)),0)</f>
        <v>0</v>
      </c>
      <c r="P175" s="78">
        <f>IFERROR(IF(NEW_Amort = 0, -M175* NEW_I_Adj,IPMT(NEW_I_Adj,IF(K175 = 0, 1, K175),NEW_Amort_Periods,NEW_Orig_Loan_Amount)),0)</f>
        <v>0</v>
      </c>
      <c r="Q175" s="78">
        <f t="shared" si="64"/>
        <v>0</v>
      </c>
      <c r="S175">
        <f t="shared" si="57"/>
        <v>15</v>
      </c>
      <c r="T175">
        <f t="shared" si="65"/>
        <v>170</v>
      </c>
      <c r="U175" s="49">
        <f t="shared" si="70"/>
        <v>5146</v>
      </c>
      <c r="V175" s="78">
        <f t="shared" si="66"/>
        <v>0</v>
      </c>
      <c r="W175" s="78">
        <f t="shared" ca="1" si="71"/>
        <v>0</v>
      </c>
      <c r="X175" s="78">
        <f>IFERROR(IF(OR(T175=0, U175&gt;=Refi_Origination_Date),0, PPMT(Mezz_I_Adj,'Loan Amort Table'!T175,Mezz_Amort_Periods,Mezz_Orig_Loan_Amount)),0)</f>
        <v>0</v>
      </c>
      <c r="Y175" s="78" cm="1">
        <f t="array" aca="1" ref="Y175" ca="1">IFERROR(_xlfn.IFS(U175&gt;=Refi_Origination_Date,0, Mezz_Amort = 0, -V175 * Mezz_I_Adj, 1, IPMT(Mezz_I_Adj,IF(T175 = 0, 1, T175),Mezz_Amort_Periods,Mezz_Orig_Loan_Amount)),0)</f>
        <v>0</v>
      </c>
      <c r="Z175" s="78">
        <f t="shared" si="72"/>
        <v>0</v>
      </c>
      <c r="AB175">
        <f t="shared" si="58"/>
        <v>15</v>
      </c>
      <c r="AC175">
        <f t="shared" si="67"/>
        <v>170</v>
      </c>
      <c r="AD175" s="49">
        <f t="shared" si="73"/>
        <v>5146</v>
      </c>
      <c r="AE175" s="78">
        <f t="shared" si="68"/>
        <v>0</v>
      </c>
      <c r="AF175" s="78">
        <f t="shared" ca="1" si="74"/>
        <v>0</v>
      </c>
      <c r="AG175" s="78">
        <f ca="1">IFERROR(IF(AC175=0,0, PPMT(Refi_I_Adj,'Loan Amort Table'!AC175,Refi_Amort_Periods,Refi_Orig_Loan_Amount)),0)</f>
        <v>0</v>
      </c>
      <c r="AH175" s="78">
        <f t="shared" ca="1" si="59"/>
        <v>0</v>
      </c>
      <c r="AI175" s="78">
        <f t="shared" ca="1" si="75"/>
        <v>0</v>
      </c>
    </row>
    <row r="176" spans="1:35" x14ac:dyDescent="0.25">
      <c r="A176">
        <f t="shared" si="55"/>
        <v>15</v>
      </c>
      <c r="B176">
        <f t="shared" si="60"/>
        <v>171</v>
      </c>
      <c r="C176" s="49">
        <f t="shared" si="52"/>
        <v>5174</v>
      </c>
      <c r="D176" s="78">
        <f>IF(C176&gt;EDATE(DATE(YEAR(SED_Origination_Date)+ SED_Amort, MONTH(SED_Origination_Date), DAY(SED_Origination_Date)),SED_Interest_Only),0,H175)</f>
        <v>0</v>
      </c>
      <c r="E176" s="78">
        <f t="shared" si="61"/>
        <v>0</v>
      </c>
      <c r="F176" s="78">
        <f>IFERROR(IF(OR(B176=0, C176&gt;=Refi_Origination_Date),0, PPMT(SED_I_Adj,'Loan Amort Table'!B176,SED_Amort_Periods,SED_Orig_Loan_Amount)),0)</f>
        <v>0</v>
      </c>
      <c r="G176" s="78" cm="1">
        <f t="array" ref="G176">IFERROR(_xlfn.IFS(C176&gt;=Refi_Origination_Date, 0, SED_Amort = 0, -D176 * SED_I_Adj, 1, IPMT(SED_I_Adj,IF(B176 = 0, 1, B176),SED_Amort_Periods,SED_Orig_Loan_Amount)),0)</f>
        <v>0</v>
      </c>
      <c r="H176" s="78">
        <f t="shared" si="76"/>
        <v>0</v>
      </c>
      <c r="J176">
        <f t="shared" si="56"/>
        <v>15</v>
      </c>
      <c r="K176">
        <f t="shared" si="62"/>
        <v>171</v>
      </c>
      <c r="L176" s="49">
        <f t="shared" si="69"/>
        <v>5174</v>
      </c>
      <c r="M176" s="78">
        <f>IF(L176&gt;EDATE(DATE(YEAR(NEW_Origination_Date)+ NEW_Amort, MONTH(NEW_Origination_Date), DAY(NEW_Origination_Date)),NEW_Interest_Only),0,Q175)</f>
        <v>0</v>
      </c>
      <c r="N176" s="78">
        <f t="shared" si="63"/>
        <v>0</v>
      </c>
      <c r="O176" s="78">
        <f>IFERROR(IF(K176=0,0, PPMT(NEW_I_Adj,'Loan Amort Table'!K176,NEW_Amort_Periods,NEW_Orig_Loan_Amount)),0)</f>
        <v>0</v>
      </c>
      <c r="P176" s="78">
        <f>IFERROR(IF(NEW_Amort = 0, -M176* NEW_I_Adj,IPMT(NEW_I_Adj,IF(K176 = 0, 1, K176),NEW_Amort_Periods,NEW_Orig_Loan_Amount)),0)</f>
        <v>0</v>
      </c>
      <c r="Q176" s="78">
        <f t="shared" si="64"/>
        <v>0</v>
      </c>
      <c r="S176">
        <f t="shared" si="57"/>
        <v>15</v>
      </c>
      <c r="T176">
        <f t="shared" si="65"/>
        <v>171</v>
      </c>
      <c r="U176" s="49">
        <f t="shared" si="70"/>
        <v>5174</v>
      </c>
      <c r="V176" s="78">
        <f t="shared" si="66"/>
        <v>0</v>
      </c>
      <c r="W176" s="78">
        <f t="shared" ca="1" si="71"/>
        <v>0</v>
      </c>
      <c r="X176" s="78">
        <f>IFERROR(IF(OR(T176=0, U176&gt;=Refi_Origination_Date),0, PPMT(Mezz_I_Adj,'Loan Amort Table'!T176,Mezz_Amort_Periods,Mezz_Orig_Loan_Amount)),0)</f>
        <v>0</v>
      </c>
      <c r="Y176" s="78" cm="1">
        <f t="array" aca="1" ref="Y176" ca="1">IFERROR(_xlfn.IFS(U176&gt;=Refi_Origination_Date,0, Mezz_Amort = 0, -V176 * Mezz_I_Adj, 1, IPMT(Mezz_I_Adj,IF(T176 = 0, 1, T176),Mezz_Amort_Periods,Mezz_Orig_Loan_Amount)),0)</f>
        <v>0</v>
      </c>
      <c r="Z176" s="78">
        <f t="shared" si="72"/>
        <v>0</v>
      </c>
      <c r="AB176">
        <f t="shared" si="58"/>
        <v>15</v>
      </c>
      <c r="AC176">
        <f t="shared" si="67"/>
        <v>171</v>
      </c>
      <c r="AD176" s="49">
        <f t="shared" si="73"/>
        <v>5174</v>
      </c>
      <c r="AE176" s="78">
        <f t="shared" si="68"/>
        <v>0</v>
      </c>
      <c r="AF176" s="78">
        <f t="shared" ca="1" si="74"/>
        <v>0</v>
      </c>
      <c r="AG176" s="78">
        <f ca="1">IFERROR(IF(AC176=0,0, PPMT(Refi_I_Adj,'Loan Amort Table'!AC176,Refi_Amort_Periods,Refi_Orig_Loan_Amount)),0)</f>
        <v>0</v>
      </c>
      <c r="AH176" s="78">
        <f t="shared" ca="1" si="59"/>
        <v>0</v>
      </c>
      <c r="AI176" s="78">
        <f t="shared" ca="1" si="75"/>
        <v>0</v>
      </c>
    </row>
    <row r="177" spans="1:35" x14ac:dyDescent="0.25">
      <c r="A177">
        <f t="shared" si="55"/>
        <v>15</v>
      </c>
      <c r="B177">
        <f t="shared" si="60"/>
        <v>172</v>
      </c>
      <c r="C177" s="49">
        <f t="shared" si="52"/>
        <v>5205</v>
      </c>
      <c r="D177" s="78">
        <f>IF(C177&gt;EDATE(DATE(YEAR(SED_Origination_Date)+ SED_Amort, MONTH(SED_Origination_Date), DAY(SED_Origination_Date)),SED_Interest_Only),0,H176)</f>
        <v>0</v>
      </c>
      <c r="E177" s="78">
        <f t="shared" si="61"/>
        <v>0</v>
      </c>
      <c r="F177" s="78">
        <f>IFERROR(IF(OR(B177=0, C177&gt;=Refi_Origination_Date),0, PPMT(SED_I_Adj,'Loan Amort Table'!B177,SED_Amort_Periods,SED_Orig_Loan_Amount)),0)</f>
        <v>0</v>
      </c>
      <c r="G177" s="78" cm="1">
        <f t="array" ref="G177">IFERROR(_xlfn.IFS(C177&gt;=Refi_Origination_Date, 0, SED_Amort = 0, -D177 * SED_I_Adj, 1, IPMT(SED_I_Adj,IF(B177 = 0, 1, B177),SED_Amort_Periods,SED_Orig_Loan_Amount)),0)</f>
        <v>0</v>
      </c>
      <c r="H177" s="78">
        <f t="shared" si="76"/>
        <v>0</v>
      </c>
      <c r="J177">
        <f t="shared" si="56"/>
        <v>15</v>
      </c>
      <c r="K177">
        <f t="shared" si="62"/>
        <v>172</v>
      </c>
      <c r="L177" s="49">
        <f t="shared" si="69"/>
        <v>5205</v>
      </c>
      <c r="M177" s="78">
        <f>IF(L177&gt;EDATE(DATE(YEAR(NEW_Origination_Date)+ NEW_Amort, MONTH(NEW_Origination_Date), DAY(NEW_Origination_Date)),NEW_Interest_Only),0,Q176)</f>
        <v>0</v>
      </c>
      <c r="N177" s="78">
        <f t="shared" si="63"/>
        <v>0</v>
      </c>
      <c r="O177" s="78">
        <f>IFERROR(IF(K177=0,0, PPMT(NEW_I_Adj,'Loan Amort Table'!K177,NEW_Amort_Periods,NEW_Orig_Loan_Amount)),0)</f>
        <v>0</v>
      </c>
      <c r="P177" s="78">
        <f>IFERROR(IF(NEW_Amort = 0, -M177* NEW_I_Adj,IPMT(NEW_I_Adj,IF(K177 = 0, 1, K177),NEW_Amort_Periods,NEW_Orig_Loan_Amount)),0)</f>
        <v>0</v>
      </c>
      <c r="Q177" s="78">
        <f t="shared" si="64"/>
        <v>0</v>
      </c>
      <c r="S177">
        <f t="shared" si="57"/>
        <v>15</v>
      </c>
      <c r="T177">
        <f t="shared" si="65"/>
        <v>172</v>
      </c>
      <c r="U177" s="49">
        <f t="shared" si="70"/>
        <v>5205</v>
      </c>
      <c r="V177" s="78">
        <f t="shared" si="66"/>
        <v>0</v>
      </c>
      <c r="W177" s="78">
        <f t="shared" ca="1" si="71"/>
        <v>0</v>
      </c>
      <c r="X177" s="78">
        <f>IFERROR(IF(OR(T177=0, U177&gt;=Refi_Origination_Date),0, PPMT(Mezz_I_Adj,'Loan Amort Table'!T177,Mezz_Amort_Periods,Mezz_Orig_Loan_Amount)),0)</f>
        <v>0</v>
      </c>
      <c r="Y177" s="78" cm="1">
        <f t="array" aca="1" ref="Y177" ca="1">IFERROR(_xlfn.IFS(U177&gt;=Refi_Origination_Date,0, Mezz_Amort = 0, -V177 * Mezz_I_Adj, 1, IPMT(Mezz_I_Adj,IF(T177 = 0, 1, T177),Mezz_Amort_Periods,Mezz_Orig_Loan_Amount)),0)</f>
        <v>0</v>
      </c>
      <c r="Z177" s="78">
        <f t="shared" si="72"/>
        <v>0</v>
      </c>
      <c r="AB177">
        <f t="shared" si="58"/>
        <v>15</v>
      </c>
      <c r="AC177">
        <f t="shared" si="67"/>
        <v>172</v>
      </c>
      <c r="AD177" s="49">
        <f t="shared" si="73"/>
        <v>5205</v>
      </c>
      <c r="AE177" s="78">
        <f t="shared" si="68"/>
        <v>0</v>
      </c>
      <c r="AF177" s="78">
        <f t="shared" ca="1" si="74"/>
        <v>0</v>
      </c>
      <c r="AG177" s="78">
        <f ca="1">IFERROR(IF(AC177=0,0, PPMT(Refi_I_Adj,'Loan Amort Table'!AC177,Refi_Amort_Periods,Refi_Orig_Loan_Amount)),0)</f>
        <v>0</v>
      </c>
      <c r="AH177" s="78">
        <f t="shared" ca="1" si="59"/>
        <v>0</v>
      </c>
      <c r="AI177" s="78">
        <f t="shared" ca="1" si="75"/>
        <v>0</v>
      </c>
    </row>
    <row r="178" spans="1:35" x14ac:dyDescent="0.25">
      <c r="A178">
        <f t="shared" si="55"/>
        <v>15</v>
      </c>
      <c r="B178">
        <f t="shared" si="60"/>
        <v>173</v>
      </c>
      <c r="C178" s="49">
        <f t="shared" si="52"/>
        <v>5235</v>
      </c>
      <c r="D178" s="78">
        <f>IF(C178&gt;EDATE(DATE(YEAR(SED_Origination_Date)+ SED_Amort, MONTH(SED_Origination_Date), DAY(SED_Origination_Date)),SED_Interest_Only),0,H177)</f>
        <v>0</v>
      </c>
      <c r="E178" s="78">
        <f t="shared" si="61"/>
        <v>0</v>
      </c>
      <c r="F178" s="78">
        <f>IFERROR(IF(OR(B178=0, C178&gt;=Refi_Origination_Date),0, PPMT(SED_I_Adj,'Loan Amort Table'!B178,SED_Amort_Periods,SED_Orig_Loan_Amount)),0)</f>
        <v>0</v>
      </c>
      <c r="G178" s="78" cm="1">
        <f t="array" ref="G178">IFERROR(_xlfn.IFS(C178&gt;=Refi_Origination_Date, 0, SED_Amort = 0, -D178 * SED_I_Adj, 1, IPMT(SED_I_Adj,IF(B178 = 0, 1, B178),SED_Amort_Periods,SED_Orig_Loan_Amount)),0)</f>
        <v>0</v>
      </c>
      <c r="H178" s="78">
        <f t="shared" si="76"/>
        <v>0</v>
      </c>
      <c r="J178">
        <f t="shared" si="56"/>
        <v>15</v>
      </c>
      <c r="K178">
        <f t="shared" si="62"/>
        <v>173</v>
      </c>
      <c r="L178" s="49">
        <f t="shared" si="69"/>
        <v>5235</v>
      </c>
      <c r="M178" s="78">
        <f>IF(L178&gt;EDATE(DATE(YEAR(NEW_Origination_Date)+ NEW_Amort, MONTH(NEW_Origination_Date), DAY(NEW_Origination_Date)),NEW_Interest_Only),0,Q177)</f>
        <v>0</v>
      </c>
      <c r="N178" s="78">
        <f t="shared" si="63"/>
        <v>0</v>
      </c>
      <c r="O178" s="78">
        <f>IFERROR(IF(K178=0,0, PPMT(NEW_I_Adj,'Loan Amort Table'!K178,NEW_Amort_Periods,NEW_Orig_Loan_Amount)),0)</f>
        <v>0</v>
      </c>
      <c r="P178" s="78">
        <f>IFERROR(IF(NEW_Amort = 0, -M178* NEW_I_Adj,IPMT(NEW_I_Adj,IF(K178 = 0, 1, K178),NEW_Amort_Periods,NEW_Orig_Loan_Amount)),0)</f>
        <v>0</v>
      </c>
      <c r="Q178" s="78">
        <f t="shared" si="64"/>
        <v>0</v>
      </c>
      <c r="S178">
        <f t="shared" si="57"/>
        <v>15</v>
      </c>
      <c r="T178">
        <f t="shared" si="65"/>
        <v>173</v>
      </c>
      <c r="U178" s="49">
        <f t="shared" si="70"/>
        <v>5235</v>
      </c>
      <c r="V178" s="78">
        <f t="shared" si="66"/>
        <v>0</v>
      </c>
      <c r="W178" s="78">
        <f t="shared" ca="1" si="71"/>
        <v>0</v>
      </c>
      <c r="X178" s="78">
        <f>IFERROR(IF(OR(T178=0, U178&gt;=Refi_Origination_Date),0, PPMT(Mezz_I_Adj,'Loan Amort Table'!T178,Mezz_Amort_Periods,Mezz_Orig_Loan_Amount)),0)</f>
        <v>0</v>
      </c>
      <c r="Y178" s="78" cm="1">
        <f t="array" aca="1" ref="Y178" ca="1">IFERROR(_xlfn.IFS(U178&gt;=Refi_Origination_Date,0, Mezz_Amort = 0, -V178 * Mezz_I_Adj, 1, IPMT(Mezz_I_Adj,IF(T178 = 0, 1, T178),Mezz_Amort_Periods,Mezz_Orig_Loan_Amount)),0)</f>
        <v>0</v>
      </c>
      <c r="Z178" s="78">
        <f t="shared" si="72"/>
        <v>0</v>
      </c>
      <c r="AB178">
        <f t="shared" si="58"/>
        <v>15</v>
      </c>
      <c r="AC178">
        <f t="shared" si="67"/>
        <v>173</v>
      </c>
      <c r="AD178" s="49">
        <f t="shared" si="73"/>
        <v>5235</v>
      </c>
      <c r="AE178" s="78">
        <f t="shared" si="68"/>
        <v>0</v>
      </c>
      <c r="AF178" s="78">
        <f t="shared" ca="1" si="74"/>
        <v>0</v>
      </c>
      <c r="AG178" s="78">
        <f ca="1">IFERROR(IF(AC178=0,0, PPMT(Refi_I_Adj,'Loan Amort Table'!AC178,Refi_Amort_Periods,Refi_Orig_Loan_Amount)),0)</f>
        <v>0</v>
      </c>
      <c r="AH178" s="78">
        <f t="shared" ca="1" si="59"/>
        <v>0</v>
      </c>
      <c r="AI178" s="78">
        <f t="shared" ca="1" si="75"/>
        <v>0</v>
      </c>
    </row>
    <row r="179" spans="1:35" x14ac:dyDescent="0.25">
      <c r="A179">
        <f t="shared" si="55"/>
        <v>15</v>
      </c>
      <c r="B179">
        <f t="shared" si="60"/>
        <v>174</v>
      </c>
      <c r="C179" s="49">
        <f t="shared" si="52"/>
        <v>5266</v>
      </c>
      <c r="D179" s="78">
        <f>IF(C179&gt;EDATE(DATE(YEAR(SED_Origination_Date)+ SED_Amort, MONTH(SED_Origination_Date), DAY(SED_Origination_Date)),SED_Interest_Only),0,H178)</f>
        <v>0</v>
      </c>
      <c r="E179" s="78">
        <f t="shared" si="61"/>
        <v>0</v>
      </c>
      <c r="F179" s="78">
        <f>IFERROR(IF(OR(B179=0, C179&gt;=Refi_Origination_Date),0, PPMT(SED_I_Adj,'Loan Amort Table'!B179,SED_Amort_Periods,SED_Orig_Loan_Amount)),0)</f>
        <v>0</v>
      </c>
      <c r="G179" s="78" cm="1">
        <f t="array" ref="G179">IFERROR(_xlfn.IFS(C179&gt;=Refi_Origination_Date, 0, SED_Amort = 0, -D179 * SED_I_Adj, 1, IPMT(SED_I_Adj,IF(B179 = 0, 1, B179),SED_Amort_Periods,SED_Orig_Loan_Amount)),0)</f>
        <v>0</v>
      </c>
      <c r="H179" s="78">
        <f t="shared" si="76"/>
        <v>0</v>
      </c>
      <c r="J179">
        <f t="shared" si="56"/>
        <v>15</v>
      </c>
      <c r="K179">
        <f t="shared" si="62"/>
        <v>174</v>
      </c>
      <c r="L179" s="49">
        <f t="shared" si="69"/>
        <v>5266</v>
      </c>
      <c r="M179" s="78">
        <f>IF(L179&gt;EDATE(DATE(YEAR(NEW_Origination_Date)+ NEW_Amort, MONTH(NEW_Origination_Date), DAY(NEW_Origination_Date)),NEW_Interest_Only),0,Q178)</f>
        <v>0</v>
      </c>
      <c r="N179" s="78">
        <f t="shared" si="63"/>
        <v>0</v>
      </c>
      <c r="O179" s="78">
        <f>IFERROR(IF(K179=0,0, PPMT(NEW_I_Adj,'Loan Amort Table'!K179,NEW_Amort_Periods,NEW_Orig_Loan_Amount)),0)</f>
        <v>0</v>
      </c>
      <c r="P179" s="78">
        <f>IFERROR(IF(NEW_Amort = 0, -M179* NEW_I_Adj,IPMT(NEW_I_Adj,IF(K179 = 0, 1, K179),NEW_Amort_Periods,NEW_Orig_Loan_Amount)),0)</f>
        <v>0</v>
      </c>
      <c r="Q179" s="78">
        <f t="shared" si="64"/>
        <v>0</v>
      </c>
      <c r="S179">
        <f t="shared" si="57"/>
        <v>15</v>
      </c>
      <c r="T179">
        <f t="shared" si="65"/>
        <v>174</v>
      </c>
      <c r="U179" s="49">
        <f t="shared" si="70"/>
        <v>5266</v>
      </c>
      <c r="V179" s="78">
        <f t="shared" si="66"/>
        <v>0</v>
      </c>
      <c r="W179" s="78">
        <f t="shared" ca="1" si="71"/>
        <v>0</v>
      </c>
      <c r="X179" s="78">
        <f>IFERROR(IF(OR(T179=0, U179&gt;=Refi_Origination_Date),0, PPMT(Mezz_I_Adj,'Loan Amort Table'!T179,Mezz_Amort_Periods,Mezz_Orig_Loan_Amount)),0)</f>
        <v>0</v>
      </c>
      <c r="Y179" s="78" cm="1">
        <f t="array" aca="1" ref="Y179" ca="1">IFERROR(_xlfn.IFS(U179&gt;=Refi_Origination_Date,0, Mezz_Amort = 0, -V179 * Mezz_I_Adj, 1, IPMT(Mezz_I_Adj,IF(T179 = 0, 1, T179),Mezz_Amort_Periods,Mezz_Orig_Loan_Amount)),0)</f>
        <v>0</v>
      </c>
      <c r="Z179" s="78">
        <f t="shared" si="72"/>
        <v>0</v>
      </c>
      <c r="AB179">
        <f t="shared" si="58"/>
        <v>15</v>
      </c>
      <c r="AC179">
        <f t="shared" si="67"/>
        <v>174</v>
      </c>
      <c r="AD179" s="49">
        <f t="shared" si="73"/>
        <v>5266</v>
      </c>
      <c r="AE179" s="78">
        <f t="shared" si="68"/>
        <v>0</v>
      </c>
      <c r="AF179" s="78">
        <f t="shared" ca="1" si="74"/>
        <v>0</v>
      </c>
      <c r="AG179" s="78">
        <f ca="1">IFERROR(IF(AC179=0,0, PPMT(Refi_I_Adj,'Loan Amort Table'!AC179,Refi_Amort_Periods,Refi_Orig_Loan_Amount)),0)</f>
        <v>0</v>
      </c>
      <c r="AH179" s="78">
        <f t="shared" ca="1" si="59"/>
        <v>0</v>
      </c>
      <c r="AI179" s="78">
        <f t="shared" ca="1" si="75"/>
        <v>0</v>
      </c>
    </row>
    <row r="180" spans="1:35" x14ac:dyDescent="0.25">
      <c r="A180">
        <f t="shared" si="55"/>
        <v>15</v>
      </c>
      <c r="B180">
        <f t="shared" si="60"/>
        <v>175</v>
      </c>
      <c r="C180" s="49">
        <f t="shared" si="52"/>
        <v>5296</v>
      </c>
      <c r="D180" s="78">
        <f>IF(C180&gt;EDATE(DATE(YEAR(SED_Origination_Date)+ SED_Amort, MONTH(SED_Origination_Date), DAY(SED_Origination_Date)),SED_Interest_Only),0,H179)</f>
        <v>0</v>
      </c>
      <c r="E180" s="78">
        <f t="shared" si="61"/>
        <v>0</v>
      </c>
      <c r="F180" s="78">
        <f>IFERROR(IF(OR(B180=0, C180&gt;=Refi_Origination_Date),0, PPMT(SED_I_Adj,'Loan Amort Table'!B180,SED_Amort_Periods,SED_Orig_Loan_Amount)),0)</f>
        <v>0</v>
      </c>
      <c r="G180" s="78" cm="1">
        <f t="array" ref="G180">IFERROR(_xlfn.IFS(C180&gt;=Refi_Origination_Date, 0, SED_Amort = 0, -D180 * SED_I_Adj, 1, IPMT(SED_I_Adj,IF(B180 = 0, 1, B180),SED_Amort_Periods,SED_Orig_Loan_Amount)),0)</f>
        <v>0</v>
      </c>
      <c r="H180" s="78">
        <f t="shared" si="76"/>
        <v>0</v>
      </c>
      <c r="J180">
        <f t="shared" si="56"/>
        <v>15</v>
      </c>
      <c r="K180">
        <f t="shared" si="62"/>
        <v>175</v>
      </c>
      <c r="L180" s="49">
        <f t="shared" si="69"/>
        <v>5296</v>
      </c>
      <c r="M180" s="78">
        <f>IF(L180&gt;EDATE(DATE(YEAR(NEW_Origination_Date)+ NEW_Amort, MONTH(NEW_Origination_Date), DAY(NEW_Origination_Date)),NEW_Interest_Only),0,Q179)</f>
        <v>0</v>
      </c>
      <c r="N180" s="78">
        <f t="shared" si="63"/>
        <v>0</v>
      </c>
      <c r="O180" s="78">
        <f>IFERROR(IF(K180=0,0, PPMT(NEW_I_Adj,'Loan Amort Table'!K180,NEW_Amort_Periods,NEW_Orig_Loan_Amount)),0)</f>
        <v>0</v>
      </c>
      <c r="P180" s="78">
        <f>IFERROR(IF(NEW_Amort = 0, -M180* NEW_I_Adj,IPMT(NEW_I_Adj,IF(K180 = 0, 1, K180),NEW_Amort_Periods,NEW_Orig_Loan_Amount)),0)</f>
        <v>0</v>
      </c>
      <c r="Q180" s="78">
        <f t="shared" si="64"/>
        <v>0</v>
      </c>
      <c r="S180">
        <f t="shared" si="57"/>
        <v>15</v>
      </c>
      <c r="T180">
        <f t="shared" si="65"/>
        <v>175</v>
      </c>
      <c r="U180" s="49">
        <f t="shared" si="70"/>
        <v>5296</v>
      </c>
      <c r="V180" s="78">
        <f t="shared" si="66"/>
        <v>0</v>
      </c>
      <c r="W180" s="78">
        <f t="shared" ca="1" si="71"/>
        <v>0</v>
      </c>
      <c r="X180" s="78">
        <f>IFERROR(IF(OR(T180=0, U180&gt;=Refi_Origination_Date),0, PPMT(Mezz_I_Adj,'Loan Amort Table'!T180,Mezz_Amort_Periods,Mezz_Orig_Loan_Amount)),0)</f>
        <v>0</v>
      </c>
      <c r="Y180" s="78" cm="1">
        <f t="array" aca="1" ref="Y180" ca="1">IFERROR(_xlfn.IFS(U180&gt;=Refi_Origination_Date,0, Mezz_Amort = 0, -V180 * Mezz_I_Adj, 1, IPMT(Mezz_I_Adj,IF(T180 = 0, 1, T180),Mezz_Amort_Periods,Mezz_Orig_Loan_Amount)),0)</f>
        <v>0</v>
      </c>
      <c r="Z180" s="78">
        <f t="shared" si="72"/>
        <v>0</v>
      </c>
      <c r="AB180">
        <f t="shared" si="58"/>
        <v>15</v>
      </c>
      <c r="AC180">
        <f t="shared" si="67"/>
        <v>175</v>
      </c>
      <c r="AD180" s="49">
        <f t="shared" si="73"/>
        <v>5296</v>
      </c>
      <c r="AE180" s="78">
        <f t="shared" si="68"/>
        <v>0</v>
      </c>
      <c r="AF180" s="78">
        <f t="shared" ca="1" si="74"/>
        <v>0</v>
      </c>
      <c r="AG180" s="78">
        <f ca="1">IFERROR(IF(AC180=0,0, PPMT(Refi_I_Adj,'Loan Amort Table'!AC180,Refi_Amort_Periods,Refi_Orig_Loan_Amount)),0)</f>
        <v>0</v>
      </c>
      <c r="AH180" s="78">
        <f t="shared" ca="1" si="59"/>
        <v>0</v>
      </c>
      <c r="AI180" s="78">
        <f t="shared" ca="1" si="75"/>
        <v>0</v>
      </c>
    </row>
    <row r="181" spans="1:35" x14ac:dyDescent="0.25">
      <c r="A181">
        <f t="shared" si="55"/>
        <v>15</v>
      </c>
      <c r="B181">
        <f t="shared" si="60"/>
        <v>176</v>
      </c>
      <c r="C181" s="49">
        <f t="shared" si="52"/>
        <v>5327</v>
      </c>
      <c r="D181" s="78">
        <f>IF(C181&gt;EDATE(DATE(YEAR(SED_Origination_Date)+ SED_Amort, MONTH(SED_Origination_Date), DAY(SED_Origination_Date)),SED_Interest_Only),0,H180)</f>
        <v>0</v>
      </c>
      <c r="E181" s="78">
        <f t="shared" si="61"/>
        <v>0</v>
      </c>
      <c r="F181" s="78">
        <f>IFERROR(IF(OR(B181=0, C181&gt;=Refi_Origination_Date),0, PPMT(SED_I_Adj,'Loan Amort Table'!B181,SED_Amort_Periods,SED_Orig_Loan_Amount)),0)</f>
        <v>0</v>
      </c>
      <c r="G181" s="78" cm="1">
        <f t="array" ref="G181">IFERROR(_xlfn.IFS(C181&gt;=Refi_Origination_Date, 0, SED_Amort = 0, -D181 * SED_I_Adj, 1, IPMT(SED_I_Adj,IF(B181 = 0, 1, B181),SED_Amort_Periods,SED_Orig_Loan_Amount)),0)</f>
        <v>0</v>
      </c>
      <c r="H181" s="78">
        <f t="shared" si="76"/>
        <v>0</v>
      </c>
      <c r="J181">
        <f t="shared" si="56"/>
        <v>15</v>
      </c>
      <c r="K181">
        <f t="shared" si="62"/>
        <v>176</v>
      </c>
      <c r="L181" s="49">
        <f t="shared" si="69"/>
        <v>5327</v>
      </c>
      <c r="M181" s="78">
        <f>IF(L181&gt;EDATE(DATE(YEAR(NEW_Origination_Date)+ NEW_Amort, MONTH(NEW_Origination_Date), DAY(NEW_Origination_Date)),NEW_Interest_Only),0,Q180)</f>
        <v>0</v>
      </c>
      <c r="N181" s="78">
        <f t="shared" si="63"/>
        <v>0</v>
      </c>
      <c r="O181" s="78">
        <f>IFERROR(IF(K181=0,0, PPMT(NEW_I_Adj,'Loan Amort Table'!K181,NEW_Amort_Periods,NEW_Orig_Loan_Amount)),0)</f>
        <v>0</v>
      </c>
      <c r="P181" s="78">
        <f>IFERROR(IF(NEW_Amort = 0, -M181* NEW_I_Adj,IPMT(NEW_I_Adj,IF(K181 = 0, 1, K181),NEW_Amort_Periods,NEW_Orig_Loan_Amount)),0)</f>
        <v>0</v>
      </c>
      <c r="Q181" s="78">
        <f t="shared" si="64"/>
        <v>0</v>
      </c>
      <c r="S181">
        <f t="shared" si="57"/>
        <v>15</v>
      </c>
      <c r="T181">
        <f t="shared" si="65"/>
        <v>176</v>
      </c>
      <c r="U181" s="49">
        <f t="shared" si="70"/>
        <v>5327</v>
      </c>
      <c r="V181" s="78">
        <f t="shared" si="66"/>
        <v>0</v>
      </c>
      <c r="W181" s="78">
        <f t="shared" ca="1" si="71"/>
        <v>0</v>
      </c>
      <c r="X181" s="78">
        <f>IFERROR(IF(OR(T181=0, U181&gt;=Refi_Origination_Date),0, PPMT(Mezz_I_Adj,'Loan Amort Table'!T181,Mezz_Amort_Periods,Mezz_Orig_Loan_Amount)),0)</f>
        <v>0</v>
      </c>
      <c r="Y181" s="78" cm="1">
        <f t="array" aca="1" ref="Y181" ca="1">IFERROR(_xlfn.IFS(U181&gt;=Refi_Origination_Date,0, Mezz_Amort = 0, -V181 * Mezz_I_Adj, 1, IPMT(Mezz_I_Adj,IF(T181 = 0, 1, T181),Mezz_Amort_Periods,Mezz_Orig_Loan_Amount)),0)</f>
        <v>0</v>
      </c>
      <c r="Z181" s="78">
        <f t="shared" si="72"/>
        <v>0</v>
      </c>
      <c r="AB181">
        <f t="shared" si="58"/>
        <v>15</v>
      </c>
      <c r="AC181">
        <f t="shared" si="67"/>
        <v>176</v>
      </c>
      <c r="AD181" s="49">
        <f t="shared" si="73"/>
        <v>5327</v>
      </c>
      <c r="AE181" s="78">
        <f t="shared" si="68"/>
        <v>0</v>
      </c>
      <c r="AF181" s="78">
        <f t="shared" ca="1" si="74"/>
        <v>0</v>
      </c>
      <c r="AG181" s="78">
        <f ca="1">IFERROR(IF(AC181=0,0, PPMT(Refi_I_Adj,'Loan Amort Table'!AC181,Refi_Amort_Periods,Refi_Orig_Loan_Amount)),0)</f>
        <v>0</v>
      </c>
      <c r="AH181" s="78">
        <f t="shared" ca="1" si="59"/>
        <v>0</v>
      </c>
      <c r="AI181" s="78">
        <f t="shared" ca="1" si="75"/>
        <v>0</v>
      </c>
    </row>
    <row r="182" spans="1:35" x14ac:dyDescent="0.25">
      <c r="A182">
        <f t="shared" si="55"/>
        <v>15</v>
      </c>
      <c r="B182">
        <f t="shared" si="60"/>
        <v>177</v>
      </c>
      <c r="C182" s="49">
        <f t="shared" si="52"/>
        <v>5358</v>
      </c>
      <c r="D182" s="78">
        <f>IF(C182&gt;EDATE(DATE(YEAR(SED_Origination_Date)+ SED_Amort, MONTH(SED_Origination_Date), DAY(SED_Origination_Date)),SED_Interest_Only),0,H181)</f>
        <v>0</v>
      </c>
      <c r="E182" s="78">
        <f t="shared" si="61"/>
        <v>0</v>
      </c>
      <c r="F182" s="78">
        <f>IFERROR(IF(OR(B182=0, C182&gt;=Refi_Origination_Date),0, PPMT(SED_I_Adj,'Loan Amort Table'!B182,SED_Amort_Periods,SED_Orig_Loan_Amount)),0)</f>
        <v>0</v>
      </c>
      <c r="G182" s="78" cm="1">
        <f t="array" ref="G182">IFERROR(_xlfn.IFS(C182&gt;=Refi_Origination_Date, 0, SED_Amort = 0, -D182 * SED_I_Adj, 1, IPMT(SED_I_Adj,IF(B182 = 0, 1, B182),SED_Amort_Periods,SED_Orig_Loan_Amount)),0)</f>
        <v>0</v>
      </c>
      <c r="H182" s="78">
        <f t="shared" si="76"/>
        <v>0</v>
      </c>
      <c r="J182">
        <f t="shared" si="56"/>
        <v>15</v>
      </c>
      <c r="K182">
        <f t="shared" si="62"/>
        <v>177</v>
      </c>
      <c r="L182" s="49">
        <f t="shared" si="69"/>
        <v>5358</v>
      </c>
      <c r="M182" s="78">
        <f>IF(L182&gt;EDATE(DATE(YEAR(NEW_Origination_Date)+ NEW_Amort, MONTH(NEW_Origination_Date), DAY(NEW_Origination_Date)),NEW_Interest_Only),0,Q181)</f>
        <v>0</v>
      </c>
      <c r="N182" s="78">
        <f t="shared" si="63"/>
        <v>0</v>
      </c>
      <c r="O182" s="78">
        <f>IFERROR(IF(K182=0,0, PPMT(NEW_I_Adj,'Loan Amort Table'!K182,NEW_Amort_Periods,NEW_Orig_Loan_Amount)),0)</f>
        <v>0</v>
      </c>
      <c r="P182" s="78">
        <f>IFERROR(IF(NEW_Amort = 0, -M182* NEW_I_Adj,IPMT(NEW_I_Adj,IF(K182 = 0, 1, K182),NEW_Amort_Periods,NEW_Orig_Loan_Amount)),0)</f>
        <v>0</v>
      </c>
      <c r="Q182" s="78">
        <f t="shared" si="64"/>
        <v>0</v>
      </c>
      <c r="S182">
        <f t="shared" si="57"/>
        <v>15</v>
      </c>
      <c r="T182">
        <f t="shared" si="65"/>
        <v>177</v>
      </c>
      <c r="U182" s="49">
        <f t="shared" si="70"/>
        <v>5358</v>
      </c>
      <c r="V182" s="78">
        <f t="shared" si="66"/>
        <v>0</v>
      </c>
      <c r="W182" s="78">
        <f t="shared" ca="1" si="71"/>
        <v>0</v>
      </c>
      <c r="X182" s="78">
        <f>IFERROR(IF(OR(T182=0, U182&gt;=Refi_Origination_Date),0, PPMT(Mezz_I_Adj,'Loan Amort Table'!T182,Mezz_Amort_Periods,Mezz_Orig_Loan_Amount)),0)</f>
        <v>0</v>
      </c>
      <c r="Y182" s="78" cm="1">
        <f t="array" aca="1" ref="Y182" ca="1">IFERROR(_xlfn.IFS(U182&gt;=Refi_Origination_Date,0, Mezz_Amort = 0, -V182 * Mezz_I_Adj, 1, IPMT(Mezz_I_Adj,IF(T182 = 0, 1, T182),Mezz_Amort_Periods,Mezz_Orig_Loan_Amount)),0)</f>
        <v>0</v>
      </c>
      <c r="Z182" s="78">
        <f t="shared" si="72"/>
        <v>0</v>
      </c>
      <c r="AB182">
        <f t="shared" si="58"/>
        <v>15</v>
      </c>
      <c r="AC182">
        <f t="shared" si="67"/>
        <v>177</v>
      </c>
      <c r="AD182" s="49">
        <f t="shared" si="73"/>
        <v>5358</v>
      </c>
      <c r="AE182" s="78">
        <f t="shared" si="68"/>
        <v>0</v>
      </c>
      <c r="AF182" s="78">
        <f t="shared" ca="1" si="74"/>
        <v>0</v>
      </c>
      <c r="AG182" s="78">
        <f ca="1">IFERROR(IF(AC182=0,0, PPMT(Refi_I_Adj,'Loan Amort Table'!AC182,Refi_Amort_Periods,Refi_Orig_Loan_Amount)),0)</f>
        <v>0</v>
      </c>
      <c r="AH182" s="78">
        <f t="shared" ca="1" si="59"/>
        <v>0</v>
      </c>
      <c r="AI182" s="78">
        <f t="shared" ca="1" si="75"/>
        <v>0</v>
      </c>
    </row>
    <row r="183" spans="1:35" x14ac:dyDescent="0.25">
      <c r="A183">
        <f t="shared" si="55"/>
        <v>15</v>
      </c>
      <c r="B183">
        <f t="shared" si="60"/>
        <v>178</v>
      </c>
      <c r="C183" s="49">
        <f t="shared" si="52"/>
        <v>5388</v>
      </c>
      <c r="D183" s="78">
        <f>IF(C183&gt;EDATE(DATE(YEAR(SED_Origination_Date)+ SED_Amort, MONTH(SED_Origination_Date), DAY(SED_Origination_Date)),SED_Interest_Only),0,H182)</f>
        <v>0</v>
      </c>
      <c r="E183" s="78">
        <f t="shared" si="61"/>
        <v>0</v>
      </c>
      <c r="F183" s="78">
        <f>IFERROR(IF(OR(B183=0, C183&gt;=Refi_Origination_Date),0, PPMT(SED_I_Adj,'Loan Amort Table'!B183,SED_Amort_Periods,SED_Orig_Loan_Amount)),0)</f>
        <v>0</v>
      </c>
      <c r="G183" s="78" cm="1">
        <f t="array" ref="G183">IFERROR(_xlfn.IFS(C183&gt;=Refi_Origination_Date, 0, SED_Amort = 0, -D183 * SED_I_Adj, 1, IPMT(SED_I_Adj,IF(B183 = 0, 1, B183),SED_Amort_Periods,SED_Orig_Loan_Amount)),0)</f>
        <v>0</v>
      </c>
      <c r="H183" s="78">
        <f t="shared" si="76"/>
        <v>0</v>
      </c>
      <c r="J183">
        <f t="shared" si="56"/>
        <v>15</v>
      </c>
      <c r="K183">
        <f t="shared" si="62"/>
        <v>178</v>
      </c>
      <c r="L183" s="49">
        <f t="shared" si="69"/>
        <v>5388</v>
      </c>
      <c r="M183" s="78">
        <f>IF(L183&gt;EDATE(DATE(YEAR(NEW_Origination_Date)+ NEW_Amort, MONTH(NEW_Origination_Date), DAY(NEW_Origination_Date)),NEW_Interest_Only),0,Q182)</f>
        <v>0</v>
      </c>
      <c r="N183" s="78">
        <f t="shared" si="63"/>
        <v>0</v>
      </c>
      <c r="O183" s="78">
        <f>IFERROR(IF(K183=0,0, PPMT(NEW_I_Adj,'Loan Amort Table'!K183,NEW_Amort_Periods,NEW_Orig_Loan_Amount)),0)</f>
        <v>0</v>
      </c>
      <c r="P183" s="78">
        <f>IFERROR(IF(NEW_Amort = 0, -M183* NEW_I_Adj,IPMT(NEW_I_Adj,IF(K183 = 0, 1, K183),NEW_Amort_Periods,NEW_Orig_Loan_Amount)),0)</f>
        <v>0</v>
      </c>
      <c r="Q183" s="78">
        <f t="shared" si="64"/>
        <v>0</v>
      </c>
      <c r="S183">
        <f t="shared" si="57"/>
        <v>15</v>
      </c>
      <c r="T183">
        <f t="shared" si="65"/>
        <v>178</v>
      </c>
      <c r="U183" s="49">
        <f t="shared" si="70"/>
        <v>5388</v>
      </c>
      <c r="V183" s="78">
        <f t="shared" si="66"/>
        <v>0</v>
      </c>
      <c r="W183" s="78">
        <f t="shared" ca="1" si="71"/>
        <v>0</v>
      </c>
      <c r="X183" s="78">
        <f>IFERROR(IF(OR(T183=0, U183&gt;=Refi_Origination_Date),0, PPMT(Mezz_I_Adj,'Loan Amort Table'!T183,Mezz_Amort_Periods,Mezz_Orig_Loan_Amount)),0)</f>
        <v>0</v>
      </c>
      <c r="Y183" s="78" cm="1">
        <f t="array" aca="1" ref="Y183" ca="1">IFERROR(_xlfn.IFS(U183&gt;=Refi_Origination_Date,0, Mezz_Amort = 0, -V183 * Mezz_I_Adj, 1, IPMT(Mezz_I_Adj,IF(T183 = 0, 1, T183),Mezz_Amort_Periods,Mezz_Orig_Loan_Amount)),0)</f>
        <v>0</v>
      </c>
      <c r="Z183" s="78">
        <f t="shared" si="72"/>
        <v>0</v>
      </c>
      <c r="AB183">
        <f t="shared" si="58"/>
        <v>15</v>
      </c>
      <c r="AC183">
        <f t="shared" si="67"/>
        <v>178</v>
      </c>
      <c r="AD183" s="49">
        <f t="shared" si="73"/>
        <v>5388</v>
      </c>
      <c r="AE183" s="78">
        <f t="shared" si="68"/>
        <v>0</v>
      </c>
      <c r="AF183" s="78">
        <f t="shared" ca="1" si="74"/>
        <v>0</v>
      </c>
      <c r="AG183" s="78">
        <f ca="1">IFERROR(IF(AC183=0,0, PPMT(Refi_I_Adj,'Loan Amort Table'!AC183,Refi_Amort_Periods,Refi_Orig_Loan_Amount)),0)</f>
        <v>0</v>
      </c>
      <c r="AH183" s="78">
        <f t="shared" ca="1" si="59"/>
        <v>0</v>
      </c>
      <c r="AI183" s="78">
        <f t="shared" ca="1" si="75"/>
        <v>0</v>
      </c>
    </row>
    <row r="184" spans="1:35" x14ac:dyDescent="0.25">
      <c r="A184">
        <f t="shared" si="55"/>
        <v>15</v>
      </c>
      <c r="B184">
        <f t="shared" si="60"/>
        <v>179</v>
      </c>
      <c r="C184" s="49">
        <f t="shared" ref="C184:C247" si="77">EDATE(C183,1)</f>
        <v>5419</v>
      </c>
      <c r="D184" s="78">
        <f>IF(C184&gt;EDATE(DATE(YEAR(SED_Origination_Date)+ SED_Amort, MONTH(SED_Origination_Date), DAY(SED_Origination_Date)),SED_Interest_Only),0,H183)</f>
        <v>0</v>
      </c>
      <c r="E184" s="78">
        <f t="shared" si="61"/>
        <v>0</v>
      </c>
      <c r="F184" s="78">
        <f>IFERROR(IF(OR(B184=0, C184&gt;=Refi_Origination_Date),0, PPMT(SED_I_Adj,'Loan Amort Table'!B184,SED_Amort_Periods,SED_Orig_Loan_Amount)),0)</f>
        <v>0</v>
      </c>
      <c r="G184" s="78" cm="1">
        <f t="array" ref="G184">IFERROR(_xlfn.IFS(C184&gt;=Refi_Origination_Date, 0, SED_Amort = 0, -D184 * SED_I_Adj, 1, IPMT(SED_I_Adj,IF(B184 = 0, 1, B184),SED_Amort_Periods,SED_Orig_Loan_Amount)),0)</f>
        <v>0</v>
      </c>
      <c r="H184" s="78">
        <f t="shared" si="76"/>
        <v>0</v>
      </c>
      <c r="J184">
        <f t="shared" si="56"/>
        <v>15</v>
      </c>
      <c r="K184">
        <f t="shared" si="62"/>
        <v>179</v>
      </c>
      <c r="L184" s="49">
        <f t="shared" si="69"/>
        <v>5419</v>
      </c>
      <c r="M184" s="78">
        <f>IF(L184&gt;EDATE(DATE(YEAR(NEW_Origination_Date)+ NEW_Amort, MONTH(NEW_Origination_Date), DAY(NEW_Origination_Date)),NEW_Interest_Only),0,Q183)</f>
        <v>0</v>
      </c>
      <c r="N184" s="78">
        <f t="shared" si="63"/>
        <v>0</v>
      </c>
      <c r="O184" s="78">
        <f>IFERROR(IF(K184=0,0, PPMT(NEW_I_Adj,'Loan Amort Table'!K184,NEW_Amort_Periods,NEW_Orig_Loan_Amount)),0)</f>
        <v>0</v>
      </c>
      <c r="P184" s="78">
        <f>IFERROR(IF(NEW_Amort = 0, -M184* NEW_I_Adj,IPMT(NEW_I_Adj,IF(K184 = 0, 1, K184),NEW_Amort_Periods,NEW_Orig_Loan_Amount)),0)</f>
        <v>0</v>
      </c>
      <c r="Q184" s="78">
        <f t="shared" si="64"/>
        <v>0</v>
      </c>
      <c r="S184">
        <f t="shared" si="57"/>
        <v>15</v>
      </c>
      <c r="T184">
        <f t="shared" si="65"/>
        <v>179</v>
      </c>
      <c r="U184" s="49">
        <f t="shared" si="70"/>
        <v>5419</v>
      </c>
      <c r="V184" s="78">
        <f t="shared" si="66"/>
        <v>0</v>
      </c>
      <c r="W184" s="78">
        <f t="shared" ca="1" si="71"/>
        <v>0</v>
      </c>
      <c r="X184" s="78">
        <f>IFERROR(IF(OR(T184=0, U184&gt;=Refi_Origination_Date),0, PPMT(Mezz_I_Adj,'Loan Amort Table'!T184,Mezz_Amort_Periods,Mezz_Orig_Loan_Amount)),0)</f>
        <v>0</v>
      </c>
      <c r="Y184" s="78" cm="1">
        <f t="array" aca="1" ref="Y184" ca="1">IFERROR(_xlfn.IFS(U184&gt;=Refi_Origination_Date,0, Mezz_Amort = 0, -V184 * Mezz_I_Adj, 1, IPMT(Mezz_I_Adj,IF(T184 = 0, 1, T184),Mezz_Amort_Periods,Mezz_Orig_Loan_Amount)),0)</f>
        <v>0</v>
      </c>
      <c r="Z184" s="78">
        <f t="shared" si="72"/>
        <v>0</v>
      </c>
      <c r="AB184">
        <f t="shared" si="58"/>
        <v>15</v>
      </c>
      <c r="AC184">
        <f t="shared" si="67"/>
        <v>179</v>
      </c>
      <c r="AD184" s="49">
        <f t="shared" si="73"/>
        <v>5419</v>
      </c>
      <c r="AE184" s="78">
        <f t="shared" si="68"/>
        <v>0</v>
      </c>
      <c r="AF184" s="78">
        <f t="shared" ca="1" si="74"/>
        <v>0</v>
      </c>
      <c r="AG184" s="78">
        <f ca="1">IFERROR(IF(AC184=0,0, PPMT(Refi_I_Adj,'Loan Amort Table'!AC184,Refi_Amort_Periods,Refi_Orig_Loan_Amount)),0)</f>
        <v>0</v>
      </c>
      <c r="AH184" s="78">
        <f t="shared" ca="1" si="59"/>
        <v>0</v>
      </c>
      <c r="AI184" s="78">
        <f t="shared" ca="1" si="75"/>
        <v>0</v>
      </c>
    </row>
    <row r="185" spans="1:35" x14ac:dyDescent="0.25">
      <c r="A185">
        <f t="shared" si="55"/>
        <v>15</v>
      </c>
      <c r="B185">
        <f t="shared" si="60"/>
        <v>180</v>
      </c>
      <c r="C185" s="49">
        <f t="shared" si="77"/>
        <v>5449</v>
      </c>
      <c r="D185" s="78">
        <f>IF(C185&gt;EDATE(DATE(YEAR(SED_Origination_Date)+ SED_Amort, MONTH(SED_Origination_Date), DAY(SED_Origination_Date)),SED_Interest_Only),0,H184)</f>
        <v>0</v>
      </c>
      <c r="E185" s="78">
        <f t="shared" si="61"/>
        <v>0</v>
      </c>
      <c r="F185" s="78">
        <f>IFERROR(IF(OR(B185=0, C185&gt;=Refi_Origination_Date),0, PPMT(SED_I_Adj,'Loan Amort Table'!B185,SED_Amort_Periods,SED_Orig_Loan_Amount)),0)</f>
        <v>0</v>
      </c>
      <c r="G185" s="78" cm="1">
        <f t="array" ref="G185">IFERROR(_xlfn.IFS(C185&gt;=Refi_Origination_Date, 0, SED_Amort = 0, -D185 * SED_I_Adj, 1, IPMT(SED_I_Adj,IF(B185 = 0, 1, B185),SED_Amort_Periods,SED_Orig_Loan_Amount)),0)</f>
        <v>0</v>
      </c>
      <c r="H185" s="78">
        <f t="shared" si="76"/>
        <v>0</v>
      </c>
      <c r="J185">
        <f t="shared" si="56"/>
        <v>15</v>
      </c>
      <c r="K185">
        <f t="shared" si="62"/>
        <v>180</v>
      </c>
      <c r="L185" s="49">
        <f t="shared" si="69"/>
        <v>5449</v>
      </c>
      <c r="M185" s="78">
        <f>IF(L185&gt;EDATE(DATE(YEAR(NEW_Origination_Date)+ NEW_Amort, MONTH(NEW_Origination_Date), DAY(NEW_Origination_Date)),NEW_Interest_Only),0,Q184)</f>
        <v>0</v>
      </c>
      <c r="N185" s="78">
        <f t="shared" si="63"/>
        <v>0</v>
      </c>
      <c r="O185" s="78">
        <f>IFERROR(IF(K185=0,0, PPMT(NEW_I_Adj,'Loan Amort Table'!K185,NEW_Amort_Periods,NEW_Orig_Loan_Amount)),0)</f>
        <v>0</v>
      </c>
      <c r="P185" s="78">
        <f>IFERROR(IF(NEW_Amort = 0, -M185* NEW_I_Adj,IPMT(NEW_I_Adj,IF(K185 = 0, 1, K185),NEW_Amort_Periods,NEW_Orig_Loan_Amount)),0)</f>
        <v>0</v>
      </c>
      <c r="Q185" s="78">
        <f t="shared" si="64"/>
        <v>0</v>
      </c>
      <c r="S185">
        <f t="shared" si="57"/>
        <v>15</v>
      </c>
      <c r="T185">
        <f t="shared" si="65"/>
        <v>180</v>
      </c>
      <c r="U185" s="49">
        <f t="shared" si="70"/>
        <v>5449</v>
      </c>
      <c r="V185" s="78">
        <f t="shared" si="66"/>
        <v>0</v>
      </c>
      <c r="W185" s="78">
        <f t="shared" ca="1" si="71"/>
        <v>0</v>
      </c>
      <c r="X185" s="78">
        <f>IFERROR(IF(OR(T185=0, U185&gt;=Refi_Origination_Date),0, PPMT(Mezz_I_Adj,'Loan Amort Table'!T185,Mezz_Amort_Periods,Mezz_Orig_Loan_Amount)),0)</f>
        <v>0</v>
      </c>
      <c r="Y185" s="78" cm="1">
        <f t="array" aca="1" ref="Y185" ca="1">IFERROR(_xlfn.IFS(U185&gt;=Refi_Origination_Date,0, Mezz_Amort = 0, -V185 * Mezz_I_Adj, 1, IPMT(Mezz_I_Adj,IF(T185 = 0, 1, T185),Mezz_Amort_Periods,Mezz_Orig_Loan_Amount)),0)</f>
        <v>0</v>
      </c>
      <c r="Z185" s="78">
        <f t="shared" si="72"/>
        <v>0</v>
      </c>
      <c r="AB185">
        <f t="shared" si="58"/>
        <v>15</v>
      </c>
      <c r="AC185">
        <f t="shared" si="67"/>
        <v>180</v>
      </c>
      <c r="AD185" s="49">
        <f t="shared" si="73"/>
        <v>5449</v>
      </c>
      <c r="AE185" s="78">
        <f t="shared" si="68"/>
        <v>0</v>
      </c>
      <c r="AF185" s="78">
        <f t="shared" ca="1" si="74"/>
        <v>0</v>
      </c>
      <c r="AG185" s="78">
        <f ca="1">IFERROR(IF(AC185=0,0, PPMT(Refi_I_Adj,'Loan Amort Table'!AC185,Refi_Amort_Periods,Refi_Orig_Loan_Amount)),0)</f>
        <v>0</v>
      </c>
      <c r="AH185" s="78">
        <f t="shared" ca="1" si="59"/>
        <v>0</v>
      </c>
      <c r="AI185" s="78">
        <f t="shared" ca="1" si="75"/>
        <v>0</v>
      </c>
    </row>
    <row r="186" spans="1:35" x14ac:dyDescent="0.25">
      <c r="A186">
        <f t="shared" si="55"/>
        <v>16</v>
      </c>
      <c r="B186">
        <f t="shared" si="60"/>
        <v>181</v>
      </c>
      <c r="C186" s="49">
        <f t="shared" si="77"/>
        <v>5480</v>
      </c>
      <c r="D186" s="78">
        <f>IF(C186&gt;EDATE(DATE(YEAR(SED_Origination_Date)+ SED_Amort, MONTH(SED_Origination_Date), DAY(SED_Origination_Date)),SED_Interest_Only),0,H185)</f>
        <v>0</v>
      </c>
      <c r="E186" s="78">
        <f t="shared" si="61"/>
        <v>0</v>
      </c>
      <c r="F186" s="78">
        <f>IFERROR(IF(OR(B186=0, C186&gt;=Refi_Origination_Date),0, PPMT(SED_I_Adj,'Loan Amort Table'!B186,SED_Amort_Periods,SED_Orig_Loan_Amount)),0)</f>
        <v>0</v>
      </c>
      <c r="G186" s="78" cm="1">
        <f t="array" ref="G186">IFERROR(_xlfn.IFS(C186&gt;=Refi_Origination_Date, 0, SED_Amort = 0, -D186 * SED_I_Adj, 1, IPMT(SED_I_Adj,IF(B186 = 0, 1, B186),SED_Amort_Periods,SED_Orig_Loan_Amount)),0)</f>
        <v>0</v>
      </c>
      <c r="H186" s="78">
        <f t="shared" si="76"/>
        <v>0</v>
      </c>
      <c r="J186">
        <f t="shared" si="56"/>
        <v>16</v>
      </c>
      <c r="K186">
        <f t="shared" si="62"/>
        <v>181</v>
      </c>
      <c r="L186" s="49">
        <f t="shared" si="69"/>
        <v>5480</v>
      </c>
      <c r="M186" s="78">
        <f>IF(L186&gt;EDATE(DATE(YEAR(NEW_Origination_Date)+ NEW_Amort, MONTH(NEW_Origination_Date), DAY(NEW_Origination_Date)),NEW_Interest_Only),0,Q185)</f>
        <v>0</v>
      </c>
      <c r="N186" s="78">
        <f t="shared" si="63"/>
        <v>0</v>
      </c>
      <c r="O186" s="78">
        <f>IFERROR(IF(K186=0,0, PPMT(NEW_I_Adj,'Loan Amort Table'!K186,NEW_Amort_Periods,NEW_Orig_Loan_Amount)),0)</f>
        <v>0</v>
      </c>
      <c r="P186" s="78">
        <f>IFERROR(IF(NEW_Amort = 0, -M186* NEW_I_Adj,IPMT(NEW_I_Adj,IF(K186 = 0, 1, K186),NEW_Amort_Periods,NEW_Orig_Loan_Amount)),0)</f>
        <v>0</v>
      </c>
      <c r="Q186" s="78">
        <f t="shared" si="64"/>
        <v>0</v>
      </c>
      <c r="S186">
        <f t="shared" si="57"/>
        <v>16</v>
      </c>
      <c r="T186">
        <f t="shared" si="65"/>
        <v>181</v>
      </c>
      <c r="U186" s="49">
        <f t="shared" si="70"/>
        <v>5480</v>
      </c>
      <c r="V186" s="78">
        <f t="shared" si="66"/>
        <v>0</v>
      </c>
      <c r="W186" s="78">
        <f t="shared" ca="1" si="71"/>
        <v>0</v>
      </c>
      <c r="X186" s="78">
        <f>IFERROR(IF(OR(T186=0, U186&gt;=Refi_Origination_Date),0, PPMT(Mezz_I_Adj,'Loan Amort Table'!T186,Mezz_Amort_Periods,Mezz_Orig_Loan_Amount)),0)</f>
        <v>0</v>
      </c>
      <c r="Y186" s="78" cm="1">
        <f t="array" aca="1" ref="Y186" ca="1">IFERROR(_xlfn.IFS(U186&gt;=Refi_Origination_Date,0, Mezz_Amort = 0, -V186 * Mezz_I_Adj, 1, IPMT(Mezz_I_Adj,IF(T186 = 0, 1, T186),Mezz_Amort_Periods,Mezz_Orig_Loan_Amount)),0)</f>
        <v>0</v>
      </c>
      <c r="Z186" s="78">
        <f t="shared" si="72"/>
        <v>0</v>
      </c>
      <c r="AB186">
        <f t="shared" si="58"/>
        <v>16</v>
      </c>
      <c r="AC186">
        <f t="shared" si="67"/>
        <v>181</v>
      </c>
      <c r="AD186" s="49">
        <f t="shared" si="73"/>
        <v>5480</v>
      </c>
      <c r="AE186" s="78">
        <f t="shared" si="68"/>
        <v>0</v>
      </c>
      <c r="AF186" s="78">
        <f t="shared" ca="1" si="74"/>
        <v>0</v>
      </c>
      <c r="AG186" s="78">
        <f ca="1">IFERROR(IF(AC186=0,0, PPMT(Refi_I_Adj,'Loan Amort Table'!AC186,Refi_Amort_Periods,Refi_Orig_Loan_Amount)),0)</f>
        <v>0</v>
      </c>
      <c r="AH186" s="78">
        <f t="shared" ca="1" si="59"/>
        <v>0</v>
      </c>
      <c r="AI186" s="78">
        <f t="shared" ca="1" si="75"/>
        <v>0</v>
      </c>
    </row>
    <row r="187" spans="1:35" x14ac:dyDescent="0.25">
      <c r="A187">
        <f t="shared" si="55"/>
        <v>16</v>
      </c>
      <c r="B187">
        <f t="shared" si="60"/>
        <v>182</v>
      </c>
      <c r="C187" s="49">
        <f t="shared" si="77"/>
        <v>5511</v>
      </c>
      <c r="D187" s="78">
        <f>IF(C187&gt;EDATE(DATE(YEAR(SED_Origination_Date)+ SED_Amort, MONTH(SED_Origination_Date), DAY(SED_Origination_Date)),SED_Interest_Only),0,H186)</f>
        <v>0</v>
      </c>
      <c r="E187" s="78">
        <f t="shared" si="61"/>
        <v>0</v>
      </c>
      <c r="F187" s="78">
        <f>IFERROR(IF(OR(B187=0, C187&gt;=Refi_Origination_Date),0, PPMT(SED_I_Adj,'Loan Amort Table'!B187,SED_Amort_Periods,SED_Orig_Loan_Amount)),0)</f>
        <v>0</v>
      </c>
      <c r="G187" s="78" cm="1">
        <f t="array" ref="G187">IFERROR(_xlfn.IFS(C187&gt;=Refi_Origination_Date, 0, SED_Amort = 0, -D187 * SED_I_Adj, 1, IPMT(SED_I_Adj,IF(B187 = 0, 1, B187),SED_Amort_Periods,SED_Orig_Loan_Amount)),0)</f>
        <v>0</v>
      </c>
      <c r="H187" s="78">
        <f t="shared" si="76"/>
        <v>0</v>
      </c>
      <c r="J187">
        <f t="shared" si="56"/>
        <v>16</v>
      </c>
      <c r="K187">
        <f t="shared" si="62"/>
        <v>182</v>
      </c>
      <c r="L187" s="49">
        <f t="shared" si="69"/>
        <v>5511</v>
      </c>
      <c r="M187" s="78">
        <f>IF(L187&gt;EDATE(DATE(YEAR(NEW_Origination_Date)+ NEW_Amort, MONTH(NEW_Origination_Date), DAY(NEW_Origination_Date)),NEW_Interest_Only),0,Q186)</f>
        <v>0</v>
      </c>
      <c r="N187" s="78">
        <f t="shared" si="63"/>
        <v>0</v>
      </c>
      <c r="O187" s="78">
        <f>IFERROR(IF(K187=0,0, PPMT(NEW_I_Adj,'Loan Amort Table'!K187,NEW_Amort_Periods,NEW_Orig_Loan_Amount)),0)</f>
        <v>0</v>
      </c>
      <c r="P187" s="78">
        <f>IFERROR(IF(NEW_Amort = 0, -M187* NEW_I_Adj,IPMT(NEW_I_Adj,IF(K187 = 0, 1, K187),NEW_Amort_Periods,NEW_Orig_Loan_Amount)),0)</f>
        <v>0</v>
      </c>
      <c r="Q187" s="78">
        <f t="shared" si="64"/>
        <v>0</v>
      </c>
      <c r="S187">
        <f t="shared" si="57"/>
        <v>16</v>
      </c>
      <c r="T187">
        <f t="shared" si="65"/>
        <v>182</v>
      </c>
      <c r="U187" s="49">
        <f t="shared" si="70"/>
        <v>5511</v>
      </c>
      <c r="V187" s="78">
        <f t="shared" si="66"/>
        <v>0</v>
      </c>
      <c r="W187" s="78">
        <f t="shared" ca="1" si="71"/>
        <v>0</v>
      </c>
      <c r="X187" s="78">
        <f>IFERROR(IF(OR(T187=0, U187&gt;=Refi_Origination_Date),0, PPMT(Mezz_I_Adj,'Loan Amort Table'!T187,Mezz_Amort_Periods,Mezz_Orig_Loan_Amount)),0)</f>
        <v>0</v>
      </c>
      <c r="Y187" s="78" cm="1">
        <f t="array" aca="1" ref="Y187" ca="1">IFERROR(_xlfn.IFS(U187&gt;=Refi_Origination_Date,0, Mezz_Amort = 0, -V187 * Mezz_I_Adj, 1, IPMT(Mezz_I_Adj,IF(T187 = 0, 1, T187),Mezz_Amort_Periods,Mezz_Orig_Loan_Amount)),0)</f>
        <v>0</v>
      </c>
      <c r="Z187" s="78">
        <f t="shared" si="72"/>
        <v>0</v>
      </c>
      <c r="AB187">
        <f t="shared" si="58"/>
        <v>16</v>
      </c>
      <c r="AC187">
        <f t="shared" si="67"/>
        <v>182</v>
      </c>
      <c r="AD187" s="49">
        <f t="shared" si="73"/>
        <v>5511</v>
      </c>
      <c r="AE187" s="78">
        <f t="shared" si="68"/>
        <v>0</v>
      </c>
      <c r="AF187" s="78">
        <f t="shared" ca="1" si="74"/>
        <v>0</v>
      </c>
      <c r="AG187" s="78">
        <f ca="1">IFERROR(IF(AC187=0,0, PPMT(Refi_I_Adj,'Loan Amort Table'!AC187,Refi_Amort_Periods,Refi_Orig_Loan_Amount)),0)</f>
        <v>0</v>
      </c>
      <c r="AH187" s="78">
        <f t="shared" ca="1" si="59"/>
        <v>0</v>
      </c>
      <c r="AI187" s="78">
        <f t="shared" ca="1" si="75"/>
        <v>0</v>
      </c>
    </row>
    <row r="188" spans="1:35" x14ac:dyDescent="0.25">
      <c r="A188">
        <f t="shared" si="55"/>
        <v>16</v>
      </c>
      <c r="B188">
        <f t="shared" si="60"/>
        <v>183</v>
      </c>
      <c r="C188" s="49">
        <f t="shared" si="77"/>
        <v>5539</v>
      </c>
      <c r="D188" s="78">
        <f>IF(C188&gt;EDATE(DATE(YEAR(SED_Origination_Date)+ SED_Amort, MONTH(SED_Origination_Date), DAY(SED_Origination_Date)),SED_Interest_Only),0,H187)</f>
        <v>0</v>
      </c>
      <c r="E188" s="78">
        <f t="shared" si="61"/>
        <v>0</v>
      </c>
      <c r="F188" s="78">
        <f>IFERROR(IF(OR(B188=0, C188&gt;=Refi_Origination_Date),0, PPMT(SED_I_Adj,'Loan Amort Table'!B188,SED_Amort_Periods,SED_Orig_Loan_Amount)),0)</f>
        <v>0</v>
      </c>
      <c r="G188" s="78" cm="1">
        <f t="array" ref="G188">IFERROR(_xlfn.IFS(C188&gt;=Refi_Origination_Date, 0, SED_Amort = 0, -D188 * SED_I_Adj, 1, IPMT(SED_I_Adj,IF(B188 = 0, 1, B188),SED_Amort_Periods,SED_Orig_Loan_Amount)),0)</f>
        <v>0</v>
      </c>
      <c r="H188" s="78">
        <f t="shared" si="76"/>
        <v>0</v>
      </c>
      <c r="J188">
        <f t="shared" si="56"/>
        <v>16</v>
      </c>
      <c r="K188">
        <f t="shared" si="62"/>
        <v>183</v>
      </c>
      <c r="L188" s="49">
        <f t="shared" si="69"/>
        <v>5539</v>
      </c>
      <c r="M188" s="78">
        <f>IF(L188&gt;EDATE(DATE(YEAR(NEW_Origination_Date)+ NEW_Amort, MONTH(NEW_Origination_Date), DAY(NEW_Origination_Date)),NEW_Interest_Only),0,Q187)</f>
        <v>0</v>
      </c>
      <c r="N188" s="78">
        <f t="shared" si="63"/>
        <v>0</v>
      </c>
      <c r="O188" s="78">
        <f>IFERROR(IF(K188=0,0, PPMT(NEW_I_Adj,'Loan Amort Table'!K188,NEW_Amort_Periods,NEW_Orig_Loan_Amount)),0)</f>
        <v>0</v>
      </c>
      <c r="P188" s="78">
        <f>IFERROR(IF(NEW_Amort = 0, -M188* NEW_I_Adj,IPMT(NEW_I_Adj,IF(K188 = 0, 1, K188),NEW_Amort_Periods,NEW_Orig_Loan_Amount)),0)</f>
        <v>0</v>
      </c>
      <c r="Q188" s="78">
        <f t="shared" si="64"/>
        <v>0</v>
      </c>
      <c r="S188">
        <f t="shared" si="57"/>
        <v>16</v>
      </c>
      <c r="T188">
        <f t="shared" si="65"/>
        <v>183</v>
      </c>
      <c r="U188" s="49">
        <f t="shared" si="70"/>
        <v>5539</v>
      </c>
      <c r="V188" s="78">
        <f t="shared" si="66"/>
        <v>0</v>
      </c>
      <c r="W188" s="78">
        <f t="shared" ca="1" si="71"/>
        <v>0</v>
      </c>
      <c r="X188" s="78">
        <f>IFERROR(IF(OR(T188=0, U188&gt;=Refi_Origination_Date),0, PPMT(Mezz_I_Adj,'Loan Amort Table'!T188,Mezz_Amort_Periods,Mezz_Orig_Loan_Amount)),0)</f>
        <v>0</v>
      </c>
      <c r="Y188" s="78" cm="1">
        <f t="array" aca="1" ref="Y188" ca="1">IFERROR(_xlfn.IFS(U188&gt;=Refi_Origination_Date,0, Mezz_Amort = 0, -V188 * Mezz_I_Adj, 1, IPMT(Mezz_I_Adj,IF(T188 = 0, 1, T188),Mezz_Amort_Periods,Mezz_Orig_Loan_Amount)),0)</f>
        <v>0</v>
      </c>
      <c r="Z188" s="78">
        <f t="shared" si="72"/>
        <v>0</v>
      </c>
      <c r="AB188">
        <f t="shared" si="58"/>
        <v>16</v>
      </c>
      <c r="AC188">
        <f t="shared" si="67"/>
        <v>183</v>
      </c>
      <c r="AD188" s="49">
        <f t="shared" si="73"/>
        <v>5539</v>
      </c>
      <c r="AE188" s="78">
        <f t="shared" si="68"/>
        <v>0</v>
      </c>
      <c r="AF188" s="78">
        <f t="shared" ca="1" si="74"/>
        <v>0</v>
      </c>
      <c r="AG188" s="78">
        <f ca="1">IFERROR(IF(AC188=0,0, PPMT(Refi_I_Adj,'Loan Amort Table'!AC188,Refi_Amort_Periods,Refi_Orig_Loan_Amount)),0)</f>
        <v>0</v>
      </c>
      <c r="AH188" s="78">
        <f t="shared" ca="1" si="59"/>
        <v>0</v>
      </c>
      <c r="AI188" s="78">
        <f t="shared" ca="1" si="75"/>
        <v>0</v>
      </c>
    </row>
    <row r="189" spans="1:35" x14ac:dyDescent="0.25">
      <c r="A189">
        <f t="shared" si="55"/>
        <v>16</v>
      </c>
      <c r="B189">
        <f t="shared" si="60"/>
        <v>184</v>
      </c>
      <c r="C189" s="49">
        <f t="shared" si="77"/>
        <v>5570</v>
      </c>
      <c r="D189" s="78">
        <f>IF(C189&gt;EDATE(DATE(YEAR(SED_Origination_Date)+ SED_Amort, MONTH(SED_Origination_Date), DAY(SED_Origination_Date)),SED_Interest_Only),0,H188)</f>
        <v>0</v>
      </c>
      <c r="E189" s="78">
        <f t="shared" si="61"/>
        <v>0</v>
      </c>
      <c r="F189" s="78">
        <f>IFERROR(IF(OR(B189=0, C189&gt;=Refi_Origination_Date),0, PPMT(SED_I_Adj,'Loan Amort Table'!B189,SED_Amort_Periods,SED_Orig_Loan_Amount)),0)</f>
        <v>0</v>
      </c>
      <c r="G189" s="78" cm="1">
        <f t="array" ref="G189">IFERROR(_xlfn.IFS(C189&gt;=Refi_Origination_Date, 0, SED_Amort = 0, -D189 * SED_I_Adj, 1, IPMT(SED_I_Adj,IF(B189 = 0, 1, B189),SED_Amort_Periods,SED_Orig_Loan_Amount)),0)</f>
        <v>0</v>
      </c>
      <c r="H189" s="78">
        <f t="shared" si="76"/>
        <v>0</v>
      </c>
      <c r="J189">
        <f t="shared" si="56"/>
        <v>16</v>
      </c>
      <c r="K189">
        <f t="shared" si="62"/>
        <v>184</v>
      </c>
      <c r="L189" s="49">
        <f t="shared" si="69"/>
        <v>5570</v>
      </c>
      <c r="M189" s="78">
        <f>IF(L189&gt;EDATE(DATE(YEAR(NEW_Origination_Date)+ NEW_Amort, MONTH(NEW_Origination_Date), DAY(NEW_Origination_Date)),NEW_Interest_Only),0,Q188)</f>
        <v>0</v>
      </c>
      <c r="N189" s="78">
        <f t="shared" si="63"/>
        <v>0</v>
      </c>
      <c r="O189" s="78">
        <f>IFERROR(IF(K189=0,0, PPMT(NEW_I_Adj,'Loan Amort Table'!K189,NEW_Amort_Periods,NEW_Orig_Loan_Amount)),0)</f>
        <v>0</v>
      </c>
      <c r="P189" s="78">
        <f>IFERROR(IF(NEW_Amort = 0, -M189* NEW_I_Adj,IPMT(NEW_I_Adj,IF(K189 = 0, 1, K189),NEW_Amort_Periods,NEW_Orig_Loan_Amount)),0)</f>
        <v>0</v>
      </c>
      <c r="Q189" s="78">
        <f t="shared" si="64"/>
        <v>0</v>
      </c>
      <c r="S189">
        <f t="shared" si="57"/>
        <v>16</v>
      </c>
      <c r="T189">
        <f t="shared" si="65"/>
        <v>184</v>
      </c>
      <c r="U189" s="49">
        <f t="shared" si="70"/>
        <v>5570</v>
      </c>
      <c r="V189" s="78">
        <f t="shared" si="66"/>
        <v>0</v>
      </c>
      <c r="W189" s="78">
        <f t="shared" ca="1" si="71"/>
        <v>0</v>
      </c>
      <c r="X189" s="78">
        <f>IFERROR(IF(OR(T189=0, U189&gt;=Refi_Origination_Date),0, PPMT(Mezz_I_Adj,'Loan Amort Table'!T189,Mezz_Amort_Periods,Mezz_Orig_Loan_Amount)),0)</f>
        <v>0</v>
      </c>
      <c r="Y189" s="78" cm="1">
        <f t="array" aca="1" ref="Y189" ca="1">IFERROR(_xlfn.IFS(U189&gt;=Refi_Origination_Date,0, Mezz_Amort = 0, -V189 * Mezz_I_Adj, 1, IPMT(Mezz_I_Adj,IF(T189 = 0, 1, T189),Mezz_Amort_Periods,Mezz_Orig_Loan_Amount)),0)</f>
        <v>0</v>
      </c>
      <c r="Z189" s="78">
        <f t="shared" si="72"/>
        <v>0</v>
      </c>
      <c r="AB189">
        <f t="shared" si="58"/>
        <v>16</v>
      </c>
      <c r="AC189">
        <f t="shared" si="67"/>
        <v>184</v>
      </c>
      <c r="AD189" s="49">
        <f t="shared" si="73"/>
        <v>5570</v>
      </c>
      <c r="AE189" s="78">
        <f t="shared" si="68"/>
        <v>0</v>
      </c>
      <c r="AF189" s="78">
        <f t="shared" ca="1" si="74"/>
        <v>0</v>
      </c>
      <c r="AG189" s="78">
        <f ca="1">IFERROR(IF(AC189=0,0, PPMT(Refi_I_Adj,'Loan Amort Table'!AC189,Refi_Amort_Periods,Refi_Orig_Loan_Amount)),0)</f>
        <v>0</v>
      </c>
      <c r="AH189" s="78">
        <f t="shared" ca="1" si="59"/>
        <v>0</v>
      </c>
      <c r="AI189" s="78">
        <f t="shared" ca="1" si="75"/>
        <v>0</v>
      </c>
    </row>
    <row r="190" spans="1:35" x14ac:dyDescent="0.25">
      <c r="A190">
        <f t="shared" si="55"/>
        <v>16</v>
      </c>
      <c r="B190">
        <f t="shared" si="60"/>
        <v>185</v>
      </c>
      <c r="C190" s="49">
        <f t="shared" si="77"/>
        <v>5600</v>
      </c>
      <c r="D190" s="78">
        <f>IF(C190&gt;EDATE(DATE(YEAR(SED_Origination_Date)+ SED_Amort, MONTH(SED_Origination_Date), DAY(SED_Origination_Date)),SED_Interest_Only),0,H189)</f>
        <v>0</v>
      </c>
      <c r="E190" s="78">
        <f t="shared" si="61"/>
        <v>0</v>
      </c>
      <c r="F190" s="78">
        <f>IFERROR(IF(OR(B190=0, C190&gt;=Refi_Origination_Date),0, PPMT(SED_I_Adj,'Loan Amort Table'!B190,SED_Amort_Periods,SED_Orig_Loan_Amount)),0)</f>
        <v>0</v>
      </c>
      <c r="G190" s="78" cm="1">
        <f t="array" ref="G190">IFERROR(_xlfn.IFS(C190&gt;=Refi_Origination_Date, 0, SED_Amort = 0, -D190 * SED_I_Adj, 1, IPMT(SED_I_Adj,IF(B190 = 0, 1, B190),SED_Amort_Periods,SED_Orig_Loan_Amount)),0)</f>
        <v>0</v>
      </c>
      <c r="H190" s="78">
        <f t="shared" si="76"/>
        <v>0</v>
      </c>
      <c r="J190">
        <f t="shared" si="56"/>
        <v>16</v>
      </c>
      <c r="K190">
        <f t="shared" si="62"/>
        <v>185</v>
      </c>
      <c r="L190" s="49">
        <f t="shared" si="69"/>
        <v>5600</v>
      </c>
      <c r="M190" s="78">
        <f>IF(L190&gt;EDATE(DATE(YEAR(NEW_Origination_Date)+ NEW_Amort, MONTH(NEW_Origination_Date), DAY(NEW_Origination_Date)),NEW_Interest_Only),0,Q189)</f>
        <v>0</v>
      </c>
      <c r="N190" s="78">
        <f t="shared" si="63"/>
        <v>0</v>
      </c>
      <c r="O190" s="78">
        <f>IFERROR(IF(K190=0,0, PPMT(NEW_I_Adj,'Loan Amort Table'!K190,NEW_Amort_Periods,NEW_Orig_Loan_Amount)),0)</f>
        <v>0</v>
      </c>
      <c r="P190" s="78">
        <f>IFERROR(IF(NEW_Amort = 0, -M190* NEW_I_Adj,IPMT(NEW_I_Adj,IF(K190 = 0, 1, K190),NEW_Amort_Periods,NEW_Orig_Loan_Amount)),0)</f>
        <v>0</v>
      </c>
      <c r="Q190" s="78">
        <f t="shared" si="64"/>
        <v>0</v>
      </c>
      <c r="S190">
        <f t="shared" si="57"/>
        <v>16</v>
      </c>
      <c r="T190">
        <f t="shared" si="65"/>
        <v>185</v>
      </c>
      <c r="U190" s="49">
        <f t="shared" si="70"/>
        <v>5600</v>
      </c>
      <c r="V190" s="78">
        <f t="shared" si="66"/>
        <v>0</v>
      </c>
      <c r="W190" s="78">
        <f t="shared" ca="1" si="71"/>
        <v>0</v>
      </c>
      <c r="X190" s="78">
        <f>IFERROR(IF(OR(T190=0, U190&gt;=Refi_Origination_Date),0, PPMT(Mezz_I_Adj,'Loan Amort Table'!T190,Mezz_Amort_Periods,Mezz_Orig_Loan_Amount)),0)</f>
        <v>0</v>
      </c>
      <c r="Y190" s="78" cm="1">
        <f t="array" aca="1" ref="Y190" ca="1">IFERROR(_xlfn.IFS(U190&gt;=Refi_Origination_Date,0, Mezz_Amort = 0, -V190 * Mezz_I_Adj, 1, IPMT(Mezz_I_Adj,IF(T190 = 0, 1, T190),Mezz_Amort_Periods,Mezz_Orig_Loan_Amount)),0)</f>
        <v>0</v>
      </c>
      <c r="Z190" s="78">
        <f t="shared" si="72"/>
        <v>0</v>
      </c>
      <c r="AB190">
        <f t="shared" si="58"/>
        <v>16</v>
      </c>
      <c r="AC190">
        <f t="shared" si="67"/>
        <v>185</v>
      </c>
      <c r="AD190" s="49">
        <f t="shared" si="73"/>
        <v>5600</v>
      </c>
      <c r="AE190" s="78">
        <f t="shared" si="68"/>
        <v>0</v>
      </c>
      <c r="AF190" s="78">
        <f t="shared" ca="1" si="74"/>
        <v>0</v>
      </c>
      <c r="AG190" s="78">
        <f ca="1">IFERROR(IF(AC190=0,0, PPMT(Refi_I_Adj,'Loan Amort Table'!AC190,Refi_Amort_Periods,Refi_Orig_Loan_Amount)),0)</f>
        <v>0</v>
      </c>
      <c r="AH190" s="78">
        <f t="shared" ca="1" si="59"/>
        <v>0</v>
      </c>
      <c r="AI190" s="78">
        <f t="shared" ca="1" si="75"/>
        <v>0</v>
      </c>
    </row>
    <row r="191" spans="1:35" x14ac:dyDescent="0.25">
      <c r="A191">
        <f t="shared" si="55"/>
        <v>16</v>
      </c>
      <c r="B191">
        <f t="shared" si="60"/>
        <v>186</v>
      </c>
      <c r="C191" s="49">
        <f t="shared" si="77"/>
        <v>5631</v>
      </c>
      <c r="D191" s="78">
        <f>IF(C191&gt;EDATE(DATE(YEAR(SED_Origination_Date)+ SED_Amort, MONTH(SED_Origination_Date), DAY(SED_Origination_Date)),SED_Interest_Only),0,H190)</f>
        <v>0</v>
      </c>
      <c r="E191" s="78">
        <f t="shared" si="61"/>
        <v>0</v>
      </c>
      <c r="F191" s="78">
        <f>IFERROR(IF(OR(B191=0, C191&gt;=Refi_Origination_Date),0, PPMT(SED_I_Adj,'Loan Amort Table'!B191,SED_Amort_Periods,SED_Orig_Loan_Amount)),0)</f>
        <v>0</v>
      </c>
      <c r="G191" s="78" cm="1">
        <f t="array" ref="G191">IFERROR(_xlfn.IFS(C191&gt;=Refi_Origination_Date, 0, SED_Amort = 0, -D191 * SED_I_Adj, 1, IPMT(SED_I_Adj,IF(B191 = 0, 1, B191),SED_Amort_Periods,SED_Orig_Loan_Amount)),0)</f>
        <v>0</v>
      </c>
      <c r="H191" s="78">
        <f t="shared" si="76"/>
        <v>0</v>
      </c>
      <c r="J191">
        <f t="shared" si="56"/>
        <v>16</v>
      </c>
      <c r="K191">
        <f t="shared" si="62"/>
        <v>186</v>
      </c>
      <c r="L191" s="49">
        <f t="shared" si="69"/>
        <v>5631</v>
      </c>
      <c r="M191" s="78">
        <f>IF(L191&gt;EDATE(DATE(YEAR(NEW_Origination_Date)+ NEW_Amort, MONTH(NEW_Origination_Date), DAY(NEW_Origination_Date)),NEW_Interest_Only),0,Q190)</f>
        <v>0</v>
      </c>
      <c r="N191" s="78">
        <f t="shared" si="63"/>
        <v>0</v>
      </c>
      <c r="O191" s="78">
        <f>IFERROR(IF(K191=0,0, PPMT(NEW_I_Adj,'Loan Amort Table'!K191,NEW_Amort_Periods,NEW_Orig_Loan_Amount)),0)</f>
        <v>0</v>
      </c>
      <c r="P191" s="78">
        <f>IFERROR(IF(NEW_Amort = 0, -M191* NEW_I_Adj,IPMT(NEW_I_Adj,IF(K191 = 0, 1, K191),NEW_Amort_Periods,NEW_Orig_Loan_Amount)),0)</f>
        <v>0</v>
      </c>
      <c r="Q191" s="78">
        <f t="shared" si="64"/>
        <v>0</v>
      </c>
      <c r="S191">
        <f t="shared" si="57"/>
        <v>16</v>
      </c>
      <c r="T191">
        <f t="shared" si="65"/>
        <v>186</v>
      </c>
      <c r="U191" s="49">
        <f t="shared" si="70"/>
        <v>5631</v>
      </c>
      <c r="V191" s="78">
        <f t="shared" si="66"/>
        <v>0</v>
      </c>
      <c r="W191" s="78">
        <f t="shared" ca="1" si="71"/>
        <v>0</v>
      </c>
      <c r="X191" s="78">
        <f>IFERROR(IF(OR(T191=0, U191&gt;=Refi_Origination_Date),0, PPMT(Mezz_I_Adj,'Loan Amort Table'!T191,Mezz_Amort_Periods,Mezz_Orig_Loan_Amount)),0)</f>
        <v>0</v>
      </c>
      <c r="Y191" s="78" cm="1">
        <f t="array" aca="1" ref="Y191" ca="1">IFERROR(_xlfn.IFS(U191&gt;=Refi_Origination_Date,0, Mezz_Amort = 0, -V191 * Mezz_I_Adj, 1, IPMT(Mezz_I_Adj,IF(T191 = 0, 1, T191),Mezz_Amort_Periods,Mezz_Orig_Loan_Amount)),0)</f>
        <v>0</v>
      </c>
      <c r="Z191" s="78">
        <f t="shared" si="72"/>
        <v>0</v>
      </c>
      <c r="AB191">
        <f t="shared" si="58"/>
        <v>16</v>
      </c>
      <c r="AC191">
        <f t="shared" si="67"/>
        <v>186</v>
      </c>
      <c r="AD191" s="49">
        <f t="shared" si="73"/>
        <v>5631</v>
      </c>
      <c r="AE191" s="78">
        <f t="shared" si="68"/>
        <v>0</v>
      </c>
      <c r="AF191" s="78">
        <f t="shared" ca="1" si="74"/>
        <v>0</v>
      </c>
      <c r="AG191" s="78">
        <f ca="1">IFERROR(IF(AC191=0,0, PPMT(Refi_I_Adj,'Loan Amort Table'!AC191,Refi_Amort_Periods,Refi_Orig_Loan_Amount)),0)</f>
        <v>0</v>
      </c>
      <c r="AH191" s="78">
        <f t="shared" ca="1" si="59"/>
        <v>0</v>
      </c>
      <c r="AI191" s="78">
        <f t="shared" ca="1" si="75"/>
        <v>0</v>
      </c>
    </row>
    <row r="192" spans="1:35" x14ac:dyDescent="0.25">
      <c r="A192">
        <f t="shared" si="55"/>
        <v>16</v>
      </c>
      <c r="B192">
        <f t="shared" si="60"/>
        <v>187</v>
      </c>
      <c r="C192" s="49">
        <f t="shared" si="77"/>
        <v>5661</v>
      </c>
      <c r="D192" s="78">
        <f>IF(C192&gt;EDATE(DATE(YEAR(SED_Origination_Date)+ SED_Amort, MONTH(SED_Origination_Date), DAY(SED_Origination_Date)),SED_Interest_Only),0,H191)</f>
        <v>0</v>
      </c>
      <c r="E192" s="78">
        <f t="shared" si="61"/>
        <v>0</v>
      </c>
      <c r="F192" s="78">
        <f>IFERROR(IF(OR(B192=0, C192&gt;=Refi_Origination_Date),0, PPMT(SED_I_Adj,'Loan Amort Table'!B192,SED_Amort_Periods,SED_Orig_Loan_Amount)),0)</f>
        <v>0</v>
      </c>
      <c r="G192" s="78" cm="1">
        <f t="array" ref="G192">IFERROR(_xlfn.IFS(C192&gt;=Refi_Origination_Date, 0, SED_Amort = 0, -D192 * SED_I_Adj, 1, IPMT(SED_I_Adj,IF(B192 = 0, 1, B192),SED_Amort_Periods,SED_Orig_Loan_Amount)),0)</f>
        <v>0</v>
      </c>
      <c r="H192" s="78">
        <f t="shared" si="76"/>
        <v>0</v>
      </c>
      <c r="J192">
        <f t="shared" si="56"/>
        <v>16</v>
      </c>
      <c r="K192">
        <f t="shared" si="62"/>
        <v>187</v>
      </c>
      <c r="L192" s="49">
        <f t="shared" si="69"/>
        <v>5661</v>
      </c>
      <c r="M192" s="78">
        <f>IF(L192&gt;EDATE(DATE(YEAR(NEW_Origination_Date)+ NEW_Amort, MONTH(NEW_Origination_Date), DAY(NEW_Origination_Date)),NEW_Interest_Only),0,Q191)</f>
        <v>0</v>
      </c>
      <c r="N192" s="78">
        <f t="shared" si="63"/>
        <v>0</v>
      </c>
      <c r="O192" s="78">
        <f>IFERROR(IF(K192=0,0, PPMT(NEW_I_Adj,'Loan Amort Table'!K192,NEW_Amort_Periods,NEW_Orig_Loan_Amount)),0)</f>
        <v>0</v>
      </c>
      <c r="P192" s="78">
        <f>IFERROR(IF(NEW_Amort = 0, -M192* NEW_I_Adj,IPMT(NEW_I_Adj,IF(K192 = 0, 1, K192),NEW_Amort_Periods,NEW_Orig_Loan_Amount)),0)</f>
        <v>0</v>
      </c>
      <c r="Q192" s="78">
        <f t="shared" si="64"/>
        <v>0</v>
      </c>
      <c r="S192">
        <f t="shared" si="57"/>
        <v>16</v>
      </c>
      <c r="T192">
        <f t="shared" si="65"/>
        <v>187</v>
      </c>
      <c r="U192" s="49">
        <f t="shared" si="70"/>
        <v>5661</v>
      </c>
      <c r="V192" s="78">
        <f t="shared" si="66"/>
        <v>0</v>
      </c>
      <c r="W192" s="78">
        <f t="shared" ca="1" si="71"/>
        <v>0</v>
      </c>
      <c r="X192" s="78">
        <f>IFERROR(IF(OR(T192=0, U192&gt;=Refi_Origination_Date),0, PPMT(Mezz_I_Adj,'Loan Amort Table'!T192,Mezz_Amort_Periods,Mezz_Orig_Loan_Amount)),0)</f>
        <v>0</v>
      </c>
      <c r="Y192" s="78" cm="1">
        <f t="array" aca="1" ref="Y192" ca="1">IFERROR(_xlfn.IFS(U192&gt;=Refi_Origination_Date,0, Mezz_Amort = 0, -V192 * Mezz_I_Adj, 1, IPMT(Mezz_I_Adj,IF(T192 = 0, 1, T192),Mezz_Amort_Periods,Mezz_Orig_Loan_Amount)),0)</f>
        <v>0</v>
      </c>
      <c r="Z192" s="78">
        <f t="shared" si="72"/>
        <v>0</v>
      </c>
      <c r="AB192">
        <f t="shared" si="58"/>
        <v>16</v>
      </c>
      <c r="AC192">
        <f t="shared" si="67"/>
        <v>187</v>
      </c>
      <c r="AD192" s="49">
        <f t="shared" si="73"/>
        <v>5661</v>
      </c>
      <c r="AE192" s="78">
        <f t="shared" si="68"/>
        <v>0</v>
      </c>
      <c r="AF192" s="78">
        <f t="shared" ca="1" si="74"/>
        <v>0</v>
      </c>
      <c r="AG192" s="78">
        <f ca="1">IFERROR(IF(AC192=0,0, PPMT(Refi_I_Adj,'Loan Amort Table'!AC192,Refi_Amort_Periods,Refi_Orig_Loan_Amount)),0)</f>
        <v>0</v>
      </c>
      <c r="AH192" s="78">
        <f t="shared" ca="1" si="59"/>
        <v>0</v>
      </c>
      <c r="AI192" s="78">
        <f t="shared" ca="1" si="75"/>
        <v>0</v>
      </c>
    </row>
    <row r="193" spans="1:35" x14ac:dyDescent="0.25">
      <c r="A193">
        <f t="shared" si="55"/>
        <v>16</v>
      </c>
      <c r="B193">
        <f t="shared" si="60"/>
        <v>188</v>
      </c>
      <c r="C193" s="49">
        <f t="shared" si="77"/>
        <v>5692</v>
      </c>
      <c r="D193" s="78">
        <f>IF(C193&gt;EDATE(DATE(YEAR(SED_Origination_Date)+ SED_Amort, MONTH(SED_Origination_Date), DAY(SED_Origination_Date)),SED_Interest_Only),0,H192)</f>
        <v>0</v>
      </c>
      <c r="E193" s="78">
        <f t="shared" si="61"/>
        <v>0</v>
      </c>
      <c r="F193" s="78">
        <f>IFERROR(IF(OR(B193=0, C193&gt;=Refi_Origination_Date),0, PPMT(SED_I_Adj,'Loan Amort Table'!B193,SED_Amort_Periods,SED_Orig_Loan_Amount)),0)</f>
        <v>0</v>
      </c>
      <c r="G193" s="78" cm="1">
        <f t="array" ref="G193">IFERROR(_xlfn.IFS(C193&gt;=Refi_Origination_Date, 0, SED_Amort = 0, -D193 * SED_I_Adj, 1, IPMT(SED_I_Adj,IF(B193 = 0, 1, B193),SED_Amort_Periods,SED_Orig_Loan_Amount)),0)</f>
        <v>0</v>
      </c>
      <c r="H193" s="78">
        <f t="shared" si="76"/>
        <v>0</v>
      </c>
      <c r="J193">
        <f t="shared" si="56"/>
        <v>16</v>
      </c>
      <c r="K193">
        <f t="shared" si="62"/>
        <v>188</v>
      </c>
      <c r="L193" s="49">
        <f t="shared" si="69"/>
        <v>5692</v>
      </c>
      <c r="M193" s="78">
        <f>IF(L193&gt;EDATE(DATE(YEAR(NEW_Origination_Date)+ NEW_Amort, MONTH(NEW_Origination_Date), DAY(NEW_Origination_Date)),NEW_Interest_Only),0,Q192)</f>
        <v>0</v>
      </c>
      <c r="N193" s="78">
        <f t="shared" si="63"/>
        <v>0</v>
      </c>
      <c r="O193" s="78">
        <f>IFERROR(IF(K193=0,0, PPMT(NEW_I_Adj,'Loan Amort Table'!K193,NEW_Amort_Periods,NEW_Orig_Loan_Amount)),0)</f>
        <v>0</v>
      </c>
      <c r="P193" s="78">
        <f>IFERROR(IF(NEW_Amort = 0, -M193* NEW_I_Adj,IPMT(NEW_I_Adj,IF(K193 = 0, 1, K193),NEW_Amort_Periods,NEW_Orig_Loan_Amount)),0)</f>
        <v>0</v>
      </c>
      <c r="Q193" s="78">
        <f t="shared" si="64"/>
        <v>0</v>
      </c>
      <c r="S193">
        <f t="shared" si="57"/>
        <v>16</v>
      </c>
      <c r="T193">
        <f t="shared" si="65"/>
        <v>188</v>
      </c>
      <c r="U193" s="49">
        <f t="shared" si="70"/>
        <v>5692</v>
      </c>
      <c r="V193" s="78">
        <f t="shared" si="66"/>
        <v>0</v>
      </c>
      <c r="W193" s="78">
        <f t="shared" ca="1" si="71"/>
        <v>0</v>
      </c>
      <c r="X193" s="78">
        <f>IFERROR(IF(OR(T193=0, U193&gt;=Refi_Origination_Date),0, PPMT(Mezz_I_Adj,'Loan Amort Table'!T193,Mezz_Amort_Periods,Mezz_Orig_Loan_Amount)),0)</f>
        <v>0</v>
      </c>
      <c r="Y193" s="78" cm="1">
        <f t="array" aca="1" ref="Y193" ca="1">IFERROR(_xlfn.IFS(U193&gt;=Refi_Origination_Date,0, Mezz_Amort = 0, -V193 * Mezz_I_Adj, 1, IPMT(Mezz_I_Adj,IF(T193 = 0, 1, T193),Mezz_Amort_Periods,Mezz_Orig_Loan_Amount)),0)</f>
        <v>0</v>
      </c>
      <c r="Z193" s="78">
        <f t="shared" si="72"/>
        <v>0</v>
      </c>
      <c r="AB193">
        <f t="shared" si="58"/>
        <v>16</v>
      </c>
      <c r="AC193">
        <f t="shared" si="67"/>
        <v>188</v>
      </c>
      <c r="AD193" s="49">
        <f t="shared" si="73"/>
        <v>5692</v>
      </c>
      <c r="AE193" s="78">
        <f t="shared" si="68"/>
        <v>0</v>
      </c>
      <c r="AF193" s="78">
        <f t="shared" ca="1" si="74"/>
        <v>0</v>
      </c>
      <c r="AG193" s="78">
        <f ca="1">IFERROR(IF(AC193=0,0, PPMT(Refi_I_Adj,'Loan Amort Table'!AC193,Refi_Amort_Periods,Refi_Orig_Loan_Amount)),0)</f>
        <v>0</v>
      </c>
      <c r="AH193" s="78">
        <f t="shared" ca="1" si="59"/>
        <v>0</v>
      </c>
      <c r="AI193" s="78">
        <f t="shared" ca="1" si="75"/>
        <v>0</v>
      </c>
    </row>
    <row r="194" spans="1:35" x14ac:dyDescent="0.25">
      <c r="A194">
        <f t="shared" si="55"/>
        <v>16</v>
      </c>
      <c r="B194">
        <f t="shared" si="60"/>
        <v>189</v>
      </c>
      <c r="C194" s="49">
        <f t="shared" si="77"/>
        <v>5723</v>
      </c>
      <c r="D194" s="78">
        <f>IF(C194&gt;EDATE(DATE(YEAR(SED_Origination_Date)+ SED_Amort, MONTH(SED_Origination_Date), DAY(SED_Origination_Date)),SED_Interest_Only),0,H193)</f>
        <v>0</v>
      </c>
      <c r="E194" s="78">
        <f t="shared" si="61"/>
        <v>0</v>
      </c>
      <c r="F194" s="78">
        <f>IFERROR(IF(OR(B194=0, C194&gt;=Refi_Origination_Date),0, PPMT(SED_I_Adj,'Loan Amort Table'!B194,SED_Amort_Periods,SED_Orig_Loan_Amount)),0)</f>
        <v>0</v>
      </c>
      <c r="G194" s="78" cm="1">
        <f t="array" ref="G194">IFERROR(_xlfn.IFS(C194&gt;=Refi_Origination_Date, 0, SED_Amort = 0, -D194 * SED_I_Adj, 1, IPMT(SED_I_Adj,IF(B194 = 0, 1, B194),SED_Amort_Periods,SED_Orig_Loan_Amount)),0)</f>
        <v>0</v>
      </c>
      <c r="H194" s="78">
        <f t="shared" si="76"/>
        <v>0</v>
      </c>
      <c r="J194">
        <f t="shared" si="56"/>
        <v>16</v>
      </c>
      <c r="K194">
        <f t="shared" si="62"/>
        <v>189</v>
      </c>
      <c r="L194" s="49">
        <f t="shared" si="69"/>
        <v>5723</v>
      </c>
      <c r="M194" s="78">
        <f>IF(L194&gt;EDATE(DATE(YEAR(NEW_Origination_Date)+ NEW_Amort, MONTH(NEW_Origination_Date), DAY(NEW_Origination_Date)),NEW_Interest_Only),0,Q193)</f>
        <v>0</v>
      </c>
      <c r="N194" s="78">
        <f t="shared" si="63"/>
        <v>0</v>
      </c>
      <c r="O194" s="78">
        <f>IFERROR(IF(K194=0,0, PPMT(NEW_I_Adj,'Loan Amort Table'!K194,NEW_Amort_Periods,NEW_Orig_Loan_Amount)),0)</f>
        <v>0</v>
      </c>
      <c r="P194" s="78">
        <f>IFERROR(IF(NEW_Amort = 0, -M194* NEW_I_Adj,IPMT(NEW_I_Adj,IF(K194 = 0, 1, K194),NEW_Amort_Periods,NEW_Orig_Loan_Amount)),0)</f>
        <v>0</v>
      </c>
      <c r="Q194" s="78">
        <f t="shared" si="64"/>
        <v>0</v>
      </c>
      <c r="S194">
        <f t="shared" si="57"/>
        <v>16</v>
      </c>
      <c r="T194">
        <f t="shared" si="65"/>
        <v>189</v>
      </c>
      <c r="U194" s="49">
        <f t="shared" si="70"/>
        <v>5723</v>
      </c>
      <c r="V194" s="78">
        <f t="shared" si="66"/>
        <v>0</v>
      </c>
      <c r="W194" s="78">
        <f t="shared" ca="1" si="71"/>
        <v>0</v>
      </c>
      <c r="X194" s="78">
        <f>IFERROR(IF(OR(T194=0, U194&gt;=Refi_Origination_Date),0, PPMT(Mezz_I_Adj,'Loan Amort Table'!T194,Mezz_Amort_Periods,Mezz_Orig_Loan_Amount)),0)</f>
        <v>0</v>
      </c>
      <c r="Y194" s="78" cm="1">
        <f t="array" aca="1" ref="Y194" ca="1">IFERROR(_xlfn.IFS(U194&gt;=Refi_Origination_Date,0, Mezz_Amort = 0, -V194 * Mezz_I_Adj, 1, IPMT(Mezz_I_Adj,IF(T194 = 0, 1, T194),Mezz_Amort_Periods,Mezz_Orig_Loan_Amount)),0)</f>
        <v>0</v>
      </c>
      <c r="Z194" s="78">
        <f t="shared" si="72"/>
        <v>0</v>
      </c>
      <c r="AB194">
        <f t="shared" si="58"/>
        <v>16</v>
      </c>
      <c r="AC194">
        <f t="shared" si="67"/>
        <v>189</v>
      </c>
      <c r="AD194" s="49">
        <f t="shared" si="73"/>
        <v>5723</v>
      </c>
      <c r="AE194" s="78">
        <f t="shared" si="68"/>
        <v>0</v>
      </c>
      <c r="AF194" s="78">
        <f t="shared" ca="1" si="74"/>
        <v>0</v>
      </c>
      <c r="AG194" s="78">
        <f ca="1">IFERROR(IF(AC194=0,0, PPMT(Refi_I_Adj,'Loan Amort Table'!AC194,Refi_Amort_Periods,Refi_Orig_Loan_Amount)),0)</f>
        <v>0</v>
      </c>
      <c r="AH194" s="78">
        <f t="shared" ca="1" si="59"/>
        <v>0</v>
      </c>
      <c r="AI194" s="78">
        <f t="shared" ca="1" si="75"/>
        <v>0</v>
      </c>
    </row>
    <row r="195" spans="1:35" x14ac:dyDescent="0.25">
      <c r="A195">
        <f t="shared" si="55"/>
        <v>16</v>
      </c>
      <c r="B195">
        <f t="shared" si="60"/>
        <v>190</v>
      </c>
      <c r="C195" s="49">
        <f t="shared" si="77"/>
        <v>5753</v>
      </c>
      <c r="D195" s="78">
        <f>IF(C195&gt;EDATE(DATE(YEAR(SED_Origination_Date)+ SED_Amort, MONTH(SED_Origination_Date), DAY(SED_Origination_Date)),SED_Interest_Only),0,H194)</f>
        <v>0</v>
      </c>
      <c r="E195" s="78">
        <f t="shared" si="61"/>
        <v>0</v>
      </c>
      <c r="F195" s="78">
        <f>IFERROR(IF(OR(B195=0, C195&gt;=Refi_Origination_Date),0, PPMT(SED_I_Adj,'Loan Amort Table'!B195,SED_Amort_Periods,SED_Orig_Loan_Amount)),0)</f>
        <v>0</v>
      </c>
      <c r="G195" s="78" cm="1">
        <f t="array" ref="G195">IFERROR(_xlfn.IFS(C195&gt;=Refi_Origination_Date, 0, SED_Amort = 0, -D195 * SED_I_Adj, 1, IPMT(SED_I_Adj,IF(B195 = 0, 1, B195),SED_Amort_Periods,SED_Orig_Loan_Amount)),0)</f>
        <v>0</v>
      </c>
      <c r="H195" s="78">
        <f t="shared" si="76"/>
        <v>0</v>
      </c>
      <c r="J195">
        <f t="shared" si="56"/>
        <v>16</v>
      </c>
      <c r="K195">
        <f t="shared" si="62"/>
        <v>190</v>
      </c>
      <c r="L195" s="49">
        <f t="shared" si="69"/>
        <v>5753</v>
      </c>
      <c r="M195" s="78">
        <f>IF(L195&gt;EDATE(DATE(YEAR(NEW_Origination_Date)+ NEW_Amort, MONTH(NEW_Origination_Date), DAY(NEW_Origination_Date)),NEW_Interest_Only),0,Q194)</f>
        <v>0</v>
      </c>
      <c r="N195" s="78">
        <f t="shared" si="63"/>
        <v>0</v>
      </c>
      <c r="O195" s="78">
        <f>IFERROR(IF(K195=0,0, PPMT(NEW_I_Adj,'Loan Amort Table'!K195,NEW_Amort_Periods,NEW_Orig_Loan_Amount)),0)</f>
        <v>0</v>
      </c>
      <c r="P195" s="78">
        <f>IFERROR(IF(NEW_Amort = 0, -M195* NEW_I_Adj,IPMT(NEW_I_Adj,IF(K195 = 0, 1, K195),NEW_Amort_Periods,NEW_Orig_Loan_Amount)),0)</f>
        <v>0</v>
      </c>
      <c r="Q195" s="78">
        <f t="shared" si="64"/>
        <v>0</v>
      </c>
      <c r="S195">
        <f t="shared" si="57"/>
        <v>16</v>
      </c>
      <c r="T195">
        <f t="shared" si="65"/>
        <v>190</v>
      </c>
      <c r="U195" s="49">
        <f t="shared" si="70"/>
        <v>5753</v>
      </c>
      <c r="V195" s="78">
        <f t="shared" si="66"/>
        <v>0</v>
      </c>
      <c r="W195" s="78">
        <f t="shared" ca="1" si="71"/>
        <v>0</v>
      </c>
      <c r="X195" s="78">
        <f>IFERROR(IF(OR(T195=0, U195&gt;=Refi_Origination_Date),0, PPMT(Mezz_I_Adj,'Loan Amort Table'!T195,Mezz_Amort_Periods,Mezz_Orig_Loan_Amount)),0)</f>
        <v>0</v>
      </c>
      <c r="Y195" s="78" cm="1">
        <f t="array" aca="1" ref="Y195" ca="1">IFERROR(_xlfn.IFS(U195&gt;=Refi_Origination_Date,0, Mezz_Amort = 0, -V195 * Mezz_I_Adj, 1, IPMT(Mezz_I_Adj,IF(T195 = 0, 1, T195),Mezz_Amort_Periods,Mezz_Orig_Loan_Amount)),0)</f>
        <v>0</v>
      </c>
      <c r="Z195" s="78">
        <f t="shared" si="72"/>
        <v>0</v>
      </c>
      <c r="AB195">
        <f t="shared" si="58"/>
        <v>16</v>
      </c>
      <c r="AC195">
        <f t="shared" si="67"/>
        <v>190</v>
      </c>
      <c r="AD195" s="49">
        <f t="shared" si="73"/>
        <v>5753</v>
      </c>
      <c r="AE195" s="78">
        <f t="shared" si="68"/>
        <v>0</v>
      </c>
      <c r="AF195" s="78">
        <f t="shared" ca="1" si="74"/>
        <v>0</v>
      </c>
      <c r="AG195" s="78">
        <f ca="1">IFERROR(IF(AC195=0,0, PPMT(Refi_I_Adj,'Loan Amort Table'!AC195,Refi_Amort_Periods,Refi_Orig_Loan_Amount)),0)</f>
        <v>0</v>
      </c>
      <c r="AH195" s="78">
        <f t="shared" ca="1" si="59"/>
        <v>0</v>
      </c>
      <c r="AI195" s="78">
        <f t="shared" ca="1" si="75"/>
        <v>0</v>
      </c>
    </row>
    <row r="196" spans="1:35" x14ac:dyDescent="0.25">
      <c r="A196">
        <f t="shared" si="55"/>
        <v>16</v>
      </c>
      <c r="B196">
        <f t="shared" si="60"/>
        <v>191</v>
      </c>
      <c r="C196" s="49">
        <f t="shared" si="77"/>
        <v>5784</v>
      </c>
      <c r="D196" s="78">
        <f>IF(C196&gt;EDATE(DATE(YEAR(SED_Origination_Date)+ SED_Amort, MONTH(SED_Origination_Date), DAY(SED_Origination_Date)),SED_Interest_Only),0,H195)</f>
        <v>0</v>
      </c>
      <c r="E196" s="78">
        <f t="shared" si="61"/>
        <v>0</v>
      </c>
      <c r="F196" s="78">
        <f>IFERROR(IF(OR(B196=0, C196&gt;=Refi_Origination_Date),0, PPMT(SED_I_Adj,'Loan Amort Table'!B196,SED_Amort_Periods,SED_Orig_Loan_Amount)),0)</f>
        <v>0</v>
      </c>
      <c r="G196" s="78" cm="1">
        <f t="array" ref="G196">IFERROR(_xlfn.IFS(C196&gt;=Refi_Origination_Date, 0, SED_Amort = 0, -D196 * SED_I_Adj, 1, IPMT(SED_I_Adj,IF(B196 = 0, 1, B196),SED_Amort_Periods,SED_Orig_Loan_Amount)),0)</f>
        <v>0</v>
      </c>
      <c r="H196" s="78">
        <f t="shared" si="76"/>
        <v>0</v>
      </c>
      <c r="J196">
        <f t="shared" si="56"/>
        <v>16</v>
      </c>
      <c r="K196">
        <f t="shared" si="62"/>
        <v>191</v>
      </c>
      <c r="L196" s="49">
        <f t="shared" si="69"/>
        <v>5784</v>
      </c>
      <c r="M196" s="78">
        <f>IF(L196&gt;EDATE(DATE(YEAR(NEW_Origination_Date)+ NEW_Amort, MONTH(NEW_Origination_Date), DAY(NEW_Origination_Date)),NEW_Interest_Only),0,Q195)</f>
        <v>0</v>
      </c>
      <c r="N196" s="78">
        <f t="shared" si="63"/>
        <v>0</v>
      </c>
      <c r="O196" s="78">
        <f>IFERROR(IF(K196=0,0, PPMT(NEW_I_Adj,'Loan Amort Table'!K196,NEW_Amort_Periods,NEW_Orig_Loan_Amount)),0)</f>
        <v>0</v>
      </c>
      <c r="P196" s="78">
        <f>IFERROR(IF(NEW_Amort = 0, -M196* NEW_I_Adj,IPMT(NEW_I_Adj,IF(K196 = 0, 1, K196),NEW_Amort_Periods,NEW_Orig_Loan_Amount)),0)</f>
        <v>0</v>
      </c>
      <c r="Q196" s="78">
        <f t="shared" si="64"/>
        <v>0</v>
      </c>
      <c r="S196">
        <f t="shared" si="57"/>
        <v>16</v>
      </c>
      <c r="T196">
        <f t="shared" si="65"/>
        <v>191</v>
      </c>
      <c r="U196" s="49">
        <f t="shared" si="70"/>
        <v>5784</v>
      </c>
      <c r="V196" s="78">
        <f t="shared" si="66"/>
        <v>0</v>
      </c>
      <c r="W196" s="78">
        <f t="shared" ca="1" si="71"/>
        <v>0</v>
      </c>
      <c r="X196" s="78">
        <f>IFERROR(IF(OR(T196=0, U196&gt;=Refi_Origination_Date),0, PPMT(Mezz_I_Adj,'Loan Amort Table'!T196,Mezz_Amort_Periods,Mezz_Orig_Loan_Amount)),0)</f>
        <v>0</v>
      </c>
      <c r="Y196" s="78" cm="1">
        <f t="array" aca="1" ref="Y196" ca="1">IFERROR(_xlfn.IFS(U196&gt;=Refi_Origination_Date,0, Mezz_Amort = 0, -V196 * Mezz_I_Adj, 1, IPMT(Mezz_I_Adj,IF(T196 = 0, 1, T196),Mezz_Amort_Periods,Mezz_Orig_Loan_Amount)),0)</f>
        <v>0</v>
      </c>
      <c r="Z196" s="78">
        <f t="shared" si="72"/>
        <v>0</v>
      </c>
      <c r="AB196">
        <f t="shared" si="58"/>
        <v>16</v>
      </c>
      <c r="AC196">
        <f t="shared" si="67"/>
        <v>191</v>
      </c>
      <c r="AD196" s="49">
        <f t="shared" si="73"/>
        <v>5784</v>
      </c>
      <c r="AE196" s="78">
        <f t="shared" si="68"/>
        <v>0</v>
      </c>
      <c r="AF196" s="78">
        <f t="shared" ca="1" si="74"/>
        <v>0</v>
      </c>
      <c r="AG196" s="78">
        <f ca="1">IFERROR(IF(AC196=0,0, PPMT(Refi_I_Adj,'Loan Amort Table'!AC196,Refi_Amort_Periods,Refi_Orig_Loan_Amount)),0)</f>
        <v>0</v>
      </c>
      <c r="AH196" s="78">
        <f t="shared" ca="1" si="59"/>
        <v>0</v>
      </c>
      <c r="AI196" s="78">
        <f t="shared" ca="1" si="75"/>
        <v>0</v>
      </c>
    </row>
    <row r="197" spans="1:35" x14ac:dyDescent="0.25">
      <c r="A197">
        <f t="shared" si="55"/>
        <v>16</v>
      </c>
      <c r="B197">
        <f t="shared" si="60"/>
        <v>192</v>
      </c>
      <c r="C197" s="49">
        <f t="shared" si="77"/>
        <v>5814</v>
      </c>
      <c r="D197" s="78">
        <f>IF(C197&gt;EDATE(DATE(YEAR(SED_Origination_Date)+ SED_Amort, MONTH(SED_Origination_Date), DAY(SED_Origination_Date)),SED_Interest_Only),0,H196)</f>
        <v>0</v>
      </c>
      <c r="E197" s="78">
        <f t="shared" si="61"/>
        <v>0</v>
      </c>
      <c r="F197" s="78">
        <f>IFERROR(IF(OR(B197=0, C197&gt;=Refi_Origination_Date),0, PPMT(SED_I_Adj,'Loan Amort Table'!B197,SED_Amort_Periods,SED_Orig_Loan_Amount)),0)</f>
        <v>0</v>
      </c>
      <c r="G197" s="78" cm="1">
        <f t="array" ref="G197">IFERROR(_xlfn.IFS(C197&gt;=Refi_Origination_Date, 0, SED_Amort = 0, -D197 * SED_I_Adj, 1, IPMT(SED_I_Adj,IF(B197 = 0, 1, B197),SED_Amort_Periods,SED_Orig_Loan_Amount)),0)</f>
        <v>0</v>
      </c>
      <c r="H197" s="78">
        <f t="shared" si="76"/>
        <v>0</v>
      </c>
      <c r="J197">
        <f t="shared" si="56"/>
        <v>16</v>
      </c>
      <c r="K197">
        <f t="shared" si="62"/>
        <v>192</v>
      </c>
      <c r="L197" s="49">
        <f t="shared" si="69"/>
        <v>5814</v>
      </c>
      <c r="M197" s="78">
        <f>IF(L197&gt;EDATE(DATE(YEAR(NEW_Origination_Date)+ NEW_Amort, MONTH(NEW_Origination_Date), DAY(NEW_Origination_Date)),NEW_Interest_Only),0,Q196)</f>
        <v>0</v>
      </c>
      <c r="N197" s="78">
        <f t="shared" si="63"/>
        <v>0</v>
      </c>
      <c r="O197" s="78">
        <f>IFERROR(IF(K197=0,0, PPMT(NEW_I_Adj,'Loan Amort Table'!K197,NEW_Amort_Periods,NEW_Orig_Loan_Amount)),0)</f>
        <v>0</v>
      </c>
      <c r="P197" s="78">
        <f>IFERROR(IF(NEW_Amort = 0, -M197* NEW_I_Adj,IPMT(NEW_I_Adj,IF(K197 = 0, 1, K197),NEW_Amort_Periods,NEW_Orig_Loan_Amount)),0)</f>
        <v>0</v>
      </c>
      <c r="Q197" s="78">
        <f t="shared" si="64"/>
        <v>0</v>
      </c>
      <c r="S197">
        <f t="shared" si="57"/>
        <v>16</v>
      </c>
      <c r="T197">
        <f t="shared" si="65"/>
        <v>192</v>
      </c>
      <c r="U197" s="49">
        <f t="shared" si="70"/>
        <v>5814</v>
      </c>
      <c r="V197" s="78">
        <f t="shared" si="66"/>
        <v>0</v>
      </c>
      <c r="W197" s="78">
        <f t="shared" ca="1" si="71"/>
        <v>0</v>
      </c>
      <c r="X197" s="78">
        <f>IFERROR(IF(OR(T197=0, U197&gt;=Refi_Origination_Date),0, PPMT(Mezz_I_Adj,'Loan Amort Table'!T197,Mezz_Amort_Periods,Mezz_Orig_Loan_Amount)),0)</f>
        <v>0</v>
      </c>
      <c r="Y197" s="78" cm="1">
        <f t="array" aca="1" ref="Y197" ca="1">IFERROR(_xlfn.IFS(U197&gt;=Refi_Origination_Date,0, Mezz_Amort = 0, -V197 * Mezz_I_Adj, 1, IPMT(Mezz_I_Adj,IF(T197 = 0, 1, T197),Mezz_Amort_Periods,Mezz_Orig_Loan_Amount)),0)</f>
        <v>0</v>
      </c>
      <c r="Z197" s="78">
        <f t="shared" si="72"/>
        <v>0</v>
      </c>
      <c r="AB197">
        <f t="shared" si="58"/>
        <v>16</v>
      </c>
      <c r="AC197">
        <f t="shared" si="67"/>
        <v>192</v>
      </c>
      <c r="AD197" s="49">
        <f t="shared" si="73"/>
        <v>5814</v>
      </c>
      <c r="AE197" s="78">
        <f t="shared" si="68"/>
        <v>0</v>
      </c>
      <c r="AF197" s="78">
        <f t="shared" ca="1" si="74"/>
        <v>0</v>
      </c>
      <c r="AG197" s="78">
        <f ca="1">IFERROR(IF(AC197=0,0, PPMT(Refi_I_Adj,'Loan Amort Table'!AC197,Refi_Amort_Periods,Refi_Orig_Loan_Amount)),0)</f>
        <v>0</v>
      </c>
      <c r="AH197" s="78">
        <f t="shared" ca="1" si="59"/>
        <v>0</v>
      </c>
      <c r="AI197" s="78">
        <f t="shared" ca="1" si="75"/>
        <v>0</v>
      </c>
    </row>
    <row r="198" spans="1:35" x14ac:dyDescent="0.25">
      <c r="A198">
        <f t="shared" ref="A198:A261" si="78">IFERROR(ROUNDUP((DATEDIF(SED_Origination_Date,C198,"m")+1)/12,0),"")</f>
        <v>17</v>
      </c>
      <c r="B198">
        <f t="shared" si="60"/>
        <v>193</v>
      </c>
      <c r="C198" s="49">
        <f t="shared" si="77"/>
        <v>5845</v>
      </c>
      <c r="D198" s="78">
        <f>IF(C198&gt;EDATE(DATE(YEAR(SED_Origination_Date)+ SED_Amort, MONTH(SED_Origination_Date), DAY(SED_Origination_Date)),SED_Interest_Only),0,H197)</f>
        <v>0</v>
      </c>
      <c r="E198" s="78">
        <f t="shared" si="61"/>
        <v>0</v>
      </c>
      <c r="F198" s="78">
        <f>IFERROR(IF(OR(B198=0, C198&gt;=Refi_Origination_Date),0, PPMT(SED_I_Adj,'Loan Amort Table'!B198,SED_Amort_Periods,SED_Orig_Loan_Amount)),0)</f>
        <v>0</v>
      </c>
      <c r="G198" s="78" cm="1">
        <f t="array" ref="G198">IFERROR(_xlfn.IFS(C198&gt;=Refi_Origination_Date, 0, SED_Amort = 0, -D198 * SED_I_Adj, 1, IPMT(SED_I_Adj,IF(B198 = 0, 1, B198),SED_Amort_Periods,SED_Orig_Loan_Amount)),0)</f>
        <v>0</v>
      </c>
      <c r="H198" s="78">
        <f t="shared" si="76"/>
        <v>0</v>
      </c>
      <c r="J198">
        <f t="shared" ref="J198:J261" si="79">IFERROR(ROUNDUP((DATEDIF(NEW_Origination_Date,L198,"m")+1)/12,0),"")</f>
        <v>17</v>
      </c>
      <c r="K198">
        <f t="shared" si="62"/>
        <v>193</v>
      </c>
      <c r="L198" s="49">
        <f t="shared" si="69"/>
        <v>5845</v>
      </c>
      <c r="M198" s="78">
        <f>IF(L198&gt;EDATE(DATE(YEAR(NEW_Origination_Date)+ NEW_Amort, MONTH(NEW_Origination_Date), DAY(NEW_Origination_Date)),NEW_Interest_Only),0,Q197)</f>
        <v>0</v>
      </c>
      <c r="N198" s="78">
        <f t="shared" si="63"/>
        <v>0</v>
      </c>
      <c r="O198" s="78">
        <f>IFERROR(IF(K198=0,0, PPMT(NEW_I_Adj,'Loan Amort Table'!K198,NEW_Amort_Periods,NEW_Orig_Loan_Amount)),0)</f>
        <v>0</v>
      </c>
      <c r="P198" s="78">
        <f>IFERROR(IF(NEW_Amort = 0, -M198* NEW_I_Adj,IPMT(NEW_I_Adj,IF(K198 = 0, 1, K198),NEW_Amort_Periods,NEW_Orig_Loan_Amount)),0)</f>
        <v>0</v>
      </c>
      <c r="Q198" s="78">
        <f t="shared" si="64"/>
        <v>0</v>
      </c>
      <c r="S198">
        <f t="shared" ref="S198:S261" si="80">IFERROR(ROUNDUP((DATEDIF(Mezz_Origination_Date,U198,"m")+1)/12,0),"")</f>
        <v>17</v>
      </c>
      <c r="T198">
        <f t="shared" si="65"/>
        <v>193</v>
      </c>
      <c r="U198" s="49">
        <f t="shared" si="70"/>
        <v>5845</v>
      </c>
      <c r="V198" s="78">
        <f t="shared" si="66"/>
        <v>0</v>
      </c>
      <c r="W198" s="78">
        <f t="shared" ca="1" si="71"/>
        <v>0</v>
      </c>
      <c r="X198" s="78">
        <f>IFERROR(IF(OR(T198=0, U198&gt;=Refi_Origination_Date),0, PPMT(Mezz_I_Adj,'Loan Amort Table'!T198,Mezz_Amort_Periods,Mezz_Orig_Loan_Amount)),0)</f>
        <v>0</v>
      </c>
      <c r="Y198" s="78" cm="1">
        <f t="array" aca="1" ref="Y198" ca="1">IFERROR(_xlfn.IFS(U198&gt;=Refi_Origination_Date,0, Mezz_Amort = 0, -V198 * Mezz_I_Adj, 1, IPMT(Mezz_I_Adj,IF(T198 = 0, 1, T198),Mezz_Amort_Periods,Mezz_Orig_Loan_Amount)),0)</f>
        <v>0</v>
      </c>
      <c r="Z198" s="78">
        <f t="shared" si="72"/>
        <v>0</v>
      </c>
      <c r="AB198">
        <f t="shared" ref="AB198:AB261" si="81">IFERROR(ROUNDUP((DATEDIF(Refi_Origination_Date,AD198,"m")+1)/12,0),"")</f>
        <v>17</v>
      </c>
      <c r="AC198">
        <f t="shared" si="67"/>
        <v>193</v>
      </c>
      <c r="AD198" s="49">
        <f t="shared" si="73"/>
        <v>5845</v>
      </c>
      <c r="AE198" s="78">
        <f t="shared" si="68"/>
        <v>0</v>
      </c>
      <c r="AF198" s="78">
        <f t="shared" ca="1" si="74"/>
        <v>0</v>
      </c>
      <c r="AG198" s="78">
        <f ca="1">IFERROR(IF(AC198=0,0, PPMT(Refi_I_Adj,'Loan Amort Table'!AC198,Refi_Amort_Periods,Refi_Orig_Loan_Amount)),0)</f>
        <v>0</v>
      </c>
      <c r="AH198" s="78">
        <f t="shared" ref="AH198:AH261" ca="1" si="82">IFERROR(IF(Refi_Amort = 0, -AE198 * Refi_I_Adj, IPMT(Refi_I_Adj,IF(AC198 = 0, 1, AC198),Refi_Amort_Periods,Refi_Orig_Loan_Amount)),0)</f>
        <v>0</v>
      </c>
      <c r="AI198" s="78">
        <f t="shared" ca="1" si="75"/>
        <v>0</v>
      </c>
    </row>
    <row r="199" spans="1:35" x14ac:dyDescent="0.25">
      <c r="A199">
        <f t="shared" si="78"/>
        <v>17</v>
      </c>
      <c r="B199">
        <f t="shared" ref="B199:B262" si="83">IF(C199&lt;SED_Begin_PMT,0, B198+1)</f>
        <v>194</v>
      </c>
      <c r="C199" s="49">
        <f t="shared" si="77"/>
        <v>5876</v>
      </c>
      <c r="D199" s="78">
        <f>IF(C199&gt;EDATE(DATE(YEAR(SED_Origination_Date)+ SED_Amort, MONTH(SED_Origination_Date), DAY(SED_Origination_Date)),SED_Interest_Only),0,H198)</f>
        <v>0</v>
      </c>
      <c r="E199" s="78">
        <f t="shared" ref="E199:E262" si="84">F199+G199</f>
        <v>0</v>
      </c>
      <c r="F199" s="78">
        <f>IFERROR(IF(OR(B199=0, C199&gt;=Refi_Origination_Date),0, PPMT(SED_I_Adj,'Loan Amort Table'!B199,SED_Amort_Periods,SED_Orig_Loan_Amount)),0)</f>
        <v>0</v>
      </c>
      <c r="G199" s="78" cm="1">
        <f t="array" ref="G199">IFERROR(_xlfn.IFS(C199&gt;=Refi_Origination_Date, 0, SED_Amort = 0, -D199 * SED_I_Adj, 1, IPMT(SED_I_Adj,IF(B199 = 0, 1, B199),SED_Amort_Periods,SED_Orig_Loan_Amount)),0)</f>
        <v>0</v>
      </c>
      <c r="H199" s="78">
        <f t="shared" si="76"/>
        <v>0</v>
      </c>
      <c r="J199">
        <f t="shared" si="79"/>
        <v>17</v>
      </c>
      <c r="K199">
        <f t="shared" ref="K199:K262" si="85">IF(L199&lt;NEW_Begin_PMT,0, K198+1)</f>
        <v>194</v>
      </c>
      <c r="L199" s="49">
        <f t="shared" si="69"/>
        <v>5876</v>
      </c>
      <c r="M199" s="78">
        <f>IF(L199&gt;EDATE(DATE(YEAR(NEW_Origination_Date)+ NEW_Amort, MONTH(NEW_Origination_Date), DAY(NEW_Origination_Date)),NEW_Interest_Only),0,Q198)</f>
        <v>0</v>
      </c>
      <c r="N199" s="78">
        <f t="shared" ref="N199:N262" si="86">O199+P199</f>
        <v>0</v>
      </c>
      <c r="O199" s="78">
        <f>IFERROR(IF(K199=0,0, PPMT(NEW_I_Adj,'Loan Amort Table'!K199,NEW_Amort_Periods,NEW_Orig_Loan_Amount)),0)</f>
        <v>0</v>
      </c>
      <c r="P199" s="78">
        <f>IFERROR(IF(NEW_Amort = 0, -M199* NEW_I_Adj,IPMT(NEW_I_Adj,IF(K199 = 0, 1, K199),NEW_Amort_Periods,NEW_Orig_Loan_Amount)),0)</f>
        <v>0</v>
      </c>
      <c r="Q199" s="78">
        <f t="shared" ref="Q199:Q262" si="87">M199+O199</f>
        <v>0</v>
      </c>
      <c r="S199">
        <f t="shared" si="80"/>
        <v>17</v>
      </c>
      <c r="T199">
        <f t="shared" ref="T199:T262" si="88">IF(U199&lt;Mezz_Begin_PMT,0, T198+1)</f>
        <v>194</v>
      </c>
      <c r="U199" s="49">
        <f t="shared" si="70"/>
        <v>5876</v>
      </c>
      <c r="V199" s="78">
        <f t="shared" ref="V199:V262" si="89">IF(U199&gt;EDATE(DATE(YEAR(Mezz_Origination_Date)+ Mezz_Amort, MONTH(Mezz_Origination_Date), DAY(Mezz_Origination_Date)),Mezz_Interest_Only),0,Z198)</f>
        <v>0</v>
      </c>
      <c r="W199" s="78">
        <f t="shared" ca="1" si="71"/>
        <v>0</v>
      </c>
      <c r="X199" s="78">
        <f>IFERROR(IF(OR(T199=0, U199&gt;=Refi_Origination_Date),0, PPMT(Mezz_I_Adj,'Loan Amort Table'!T199,Mezz_Amort_Periods,Mezz_Orig_Loan_Amount)),0)</f>
        <v>0</v>
      </c>
      <c r="Y199" s="78" cm="1">
        <f t="array" aca="1" ref="Y199" ca="1">IFERROR(_xlfn.IFS(U199&gt;=Refi_Origination_Date,0, Mezz_Amort = 0, -V199 * Mezz_I_Adj, 1, IPMT(Mezz_I_Adj,IF(T199 = 0, 1, T199),Mezz_Amort_Periods,Mezz_Orig_Loan_Amount)),0)</f>
        <v>0</v>
      </c>
      <c r="Z199" s="78">
        <f t="shared" si="72"/>
        <v>0</v>
      </c>
      <c r="AB199">
        <f t="shared" si="81"/>
        <v>17</v>
      </c>
      <c r="AC199">
        <f t="shared" ref="AC199:AC262" si="90">IF(AD199&lt;Refi_Begin_PMT,0, AC198+1)</f>
        <v>194</v>
      </c>
      <c r="AD199" s="49">
        <f t="shared" si="73"/>
        <v>5876</v>
      </c>
      <c r="AE199" s="78">
        <f t="shared" ref="AE199:AE262" si="91">IF(AD199&gt;EDATE(DATE(YEAR(Refi_Origination_Date)+ Refi_Amort, MONTH(Refi_Origination_Date), DAY(Refi_Origination_Date)),Refi_Interest_Only),0,AI198)</f>
        <v>0</v>
      </c>
      <c r="AF199" s="78">
        <f t="shared" ca="1" si="74"/>
        <v>0</v>
      </c>
      <c r="AG199" s="78">
        <f ca="1">IFERROR(IF(AC199=0,0, PPMT(Refi_I_Adj,'Loan Amort Table'!AC199,Refi_Amort_Periods,Refi_Orig_Loan_Amount)),0)</f>
        <v>0</v>
      </c>
      <c r="AH199" s="78">
        <f t="shared" ca="1" si="82"/>
        <v>0</v>
      </c>
      <c r="AI199" s="78">
        <f t="shared" ca="1" si="75"/>
        <v>0</v>
      </c>
    </row>
    <row r="200" spans="1:35" x14ac:dyDescent="0.25">
      <c r="A200">
        <f t="shared" si="78"/>
        <v>17</v>
      </c>
      <c r="B200">
        <f t="shared" si="83"/>
        <v>195</v>
      </c>
      <c r="C200" s="49">
        <f t="shared" si="77"/>
        <v>5905</v>
      </c>
      <c r="D200" s="78">
        <f>IF(C200&gt;EDATE(DATE(YEAR(SED_Origination_Date)+ SED_Amort, MONTH(SED_Origination_Date), DAY(SED_Origination_Date)),SED_Interest_Only),0,H199)</f>
        <v>0</v>
      </c>
      <c r="E200" s="78">
        <f t="shared" si="84"/>
        <v>0</v>
      </c>
      <c r="F200" s="78">
        <f>IFERROR(IF(OR(B200=0, C200&gt;=Refi_Origination_Date),0, PPMT(SED_I_Adj,'Loan Amort Table'!B200,SED_Amort_Periods,SED_Orig_Loan_Amount)),0)</f>
        <v>0</v>
      </c>
      <c r="G200" s="78" cm="1">
        <f t="array" ref="G200">IFERROR(_xlfn.IFS(C200&gt;=Refi_Origination_Date, 0, SED_Amort = 0, -D200 * SED_I_Adj, 1, IPMT(SED_I_Adj,IF(B200 = 0, 1, B200),SED_Amort_Periods,SED_Orig_Loan_Amount)),0)</f>
        <v>0</v>
      </c>
      <c r="H200" s="78">
        <f t="shared" si="76"/>
        <v>0</v>
      </c>
      <c r="J200">
        <f t="shared" si="79"/>
        <v>17</v>
      </c>
      <c r="K200">
        <f t="shared" si="85"/>
        <v>195</v>
      </c>
      <c r="L200" s="49">
        <f t="shared" ref="L200:L263" si="92">EDATE(L199,1)</f>
        <v>5905</v>
      </c>
      <c r="M200" s="78">
        <f>IF(L200&gt;EDATE(DATE(YEAR(NEW_Origination_Date)+ NEW_Amort, MONTH(NEW_Origination_Date), DAY(NEW_Origination_Date)),NEW_Interest_Only),0,Q199)</f>
        <v>0</v>
      </c>
      <c r="N200" s="78">
        <f t="shared" si="86"/>
        <v>0</v>
      </c>
      <c r="O200" s="78">
        <f>IFERROR(IF(K200=0,0, PPMT(NEW_I_Adj,'Loan Amort Table'!K200,NEW_Amort_Periods,NEW_Orig_Loan_Amount)),0)</f>
        <v>0</v>
      </c>
      <c r="P200" s="78">
        <f>IFERROR(IF(NEW_Amort = 0, -M200* NEW_I_Adj,IPMT(NEW_I_Adj,IF(K200 = 0, 1, K200),NEW_Amort_Periods,NEW_Orig_Loan_Amount)),0)</f>
        <v>0</v>
      </c>
      <c r="Q200" s="78">
        <f t="shared" si="87"/>
        <v>0</v>
      </c>
      <c r="S200">
        <f t="shared" si="80"/>
        <v>17</v>
      </c>
      <c r="T200">
        <f t="shared" si="88"/>
        <v>195</v>
      </c>
      <c r="U200" s="49">
        <f t="shared" ref="U200:U263" si="93">EDATE(U199,1)</f>
        <v>5905</v>
      </c>
      <c r="V200" s="78">
        <f t="shared" si="89"/>
        <v>0</v>
      </c>
      <c r="W200" s="78">
        <f t="shared" ref="W200:W263" ca="1" si="94">X200+Y200</f>
        <v>0</v>
      </c>
      <c r="X200" s="78">
        <f>IFERROR(IF(OR(T200=0, U200&gt;=Refi_Origination_Date),0, PPMT(Mezz_I_Adj,'Loan Amort Table'!T200,Mezz_Amort_Periods,Mezz_Orig_Loan_Amount)),0)</f>
        <v>0</v>
      </c>
      <c r="Y200" s="78" cm="1">
        <f t="array" aca="1" ref="Y200" ca="1">IFERROR(_xlfn.IFS(U200&gt;=Refi_Origination_Date,0, Mezz_Amort = 0, -V200 * Mezz_I_Adj, 1, IPMT(Mezz_I_Adj,IF(T200 = 0, 1, T200),Mezz_Amort_Periods,Mezz_Orig_Loan_Amount)),0)</f>
        <v>0</v>
      </c>
      <c r="Z200" s="78">
        <f t="shared" ref="Z200:Z263" si="95">V200+X200</f>
        <v>0</v>
      </c>
      <c r="AB200">
        <f t="shared" si="81"/>
        <v>17</v>
      </c>
      <c r="AC200">
        <f t="shared" si="90"/>
        <v>195</v>
      </c>
      <c r="AD200" s="49">
        <f t="shared" ref="AD200:AD263" si="96">EDATE(AD199,1)</f>
        <v>5905</v>
      </c>
      <c r="AE200" s="78">
        <f t="shared" si="91"/>
        <v>0</v>
      </c>
      <c r="AF200" s="78">
        <f t="shared" ref="AF200:AF263" ca="1" si="97">AG200+AH200</f>
        <v>0</v>
      </c>
      <c r="AG200" s="78">
        <f ca="1">IFERROR(IF(AC200=0,0, PPMT(Refi_I_Adj,'Loan Amort Table'!AC200,Refi_Amort_Periods,Refi_Orig_Loan_Amount)),0)</f>
        <v>0</v>
      </c>
      <c r="AH200" s="78">
        <f t="shared" ca="1" si="82"/>
        <v>0</v>
      </c>
      <c r="AI200" s="78">
        <f t="shared" ref="AI200:AI263" ca="1" si="98">AE200+AG200</f>
        <v>0</v>
      </c>
    </row>
    <row r="201" spans="1:35" x14ac:dyDescent="0.25">
      <c r="A201">
        <f t="shared" si="78"/>
        <v>17</v>
      </c>
      <c r="B201">
        <f t="shared" si="83"/>
        <v>196</v>
      </c>
      <c r="C201" s="49">
        <f t="shared" si="77"/>
        <v>5936</v>
      </c>
      <c r="D201" s="78">
        <f>IF(C201&gt;EDATE(DATE(YEAR(SED_Origination_Date)+ SED_Amort, MONTH(SED_Origination_Date), DAY(SED_Origination_Date)),SED_Interest_Only),0,H200)</f>
        <v>0</v>
      </c>
      <c r="E201" s="78">
        <f t="shared" si="84"/>
        <v>0</v>
      </c>
      <c r="F201" s="78">
        <f>IFERROR(IF(OR(B201=0, C201&gt;=Refi_Origination_Date),0, PPMT(SED_I_Adj,'Loan Amort Table'!B201,SED_Amort_Periods,SED_Orig_Loan_Amount)),0)</f>
        <v>0</v>
      </c>
      <c r="G201" s="78" cm="1">
        <f t="array" ref="G201">IFERROR(_xlfn.IFS(C201&gt;=Refi_Origination_Date, 0, SED_Amort = 0, -D201 * SED_I_Adj, 1, IPMT(SED_I_Adj,IF(B201 = 0, 1, B201),SED_Amort_Periods,SED_Orig_Loan_Amount)),0)</f>
        <v>0</v>
      </c>
      <c r="H201" s="78">
        <f t="shared" si="76"/>
        <v>0</v>
      </c>
      <c r="J201">
        <f t="shared" si="79"/>
        <v>17</v>
      </c>
      <c r="K201">
        <f t="shared" si="85"/>
        <v>196</v>
      </c>
      <c r="L201" s="49">
        <f t="shared" si="92"/>
        <v>5936</v>
      </c>
      <c r="M201" s="78">
        <f>IF(L201&gt;EDATE(DATE(YEAR(NEW_Origination_Date)+ NEW_Amort, MONTH(NEW_Origination_Date), DAY(NEW_Origination_Date)),NEW_Interest_Only),0,Q200)</f>
        <v>0</v>
      </c>
      <c r="N201" s="78">
        <f t="shared" si="86"/>
        <v>0</v>
      </c>
      <c r="O201" s="78">
        <f>IFERROR(IF(K201=0,0, PPMT(NEW_I_Adj,'Loan Amort Table'!K201,NEW_Amort_Periods,NEW_Orig_Loan_Amount)),0)</f>
        <v>0</v>
      </c>
      <c r="P201" s="78">
        <f>IFERROR(IF(NEW_Amort = 0, -M201* NEW_I_Adj,IPMT(NEW_I_Adj,IF(K201 = 0, 1, K201),NEW_Amort_Periods,NEW_Orig_Loan_Amount)),0)</f>
        <v>0</v>
      </c>
      <c r="Q201" s="78">
        <f t="shared" si="87"/>
        <v>0</v>
      </c>
      <c r="S201">
        <f t="shared" si="80"/>
        <v>17</v>
      </c>
      <c r="T201">
        <f t="shared" si="88"/>
        <v>196</v>
      </c>
      <c r="U201" s="49">
        <f t="shared" si="93"/>
        <v>5936</v>
      </c>
      <c r="V201" s="78">
        <f t="shared" si="89"/>
        <v>0</v>
      </c>
      <c r="W201" s="78">
        <f t="shared" ca="1" si="94"/>
        <v>0</v>
      </c>
      <c r="X201" s="78">
        <f>IFERROR(IF(OR(T201=0, U201&gt;=Refi_Origination_Date),0, PPMT(Mezz_I_Adj,'Loan Amort Table'!T201,Mezz_Amort_Periods,Mezz_Orig_Loan_Amount)),0)</f>
        <v>0</v>
      </c>
      <c r="Y201" s="78" cm="1">
        <f t="array" aca="1" ref="Y201" ca="1">IFERROR(_xlfn.IFS(U201&gt;=Refi_Origination_Date,0, Mezz_Amort = 0, -V201 * Mezz_I_Adj, 1, IPMT(Mezz_I_Adj,IF(T201 = 0, 1, T201),Mezz_Amort_Periods,Mezz_Orig_Loan_Amount)),0)</f>
        <v>0</v>
      </c>
      <c r="Z201" s="78">
        <f t="shared" si="95"/>
        <v>0</v>
      </c>
      <c r="AB201">
        <f t="shared" si="81"/>
        <v>17</v>
      </c>
      <c r="AC201">
        <f t="shared" si="90"/>
        <v>196</v>
      </c>
      <c r="AD201" s="49">
        <f t="shared" si="96"/>
        <v>5936</v>
      </c>
      <c r="AE201" s="78">
        <f t="shared" si="91"/>
        <v>0</v>
      </c>
      <c r="AF201" s="78">
        <f t="shared" ca="1" si="97"/>
        <v>0</v>
      </c>
      <c r="AG201" s="78">
        <f ca="1">IFERROR(IF(AC201=0,0, PPMT(Refi_I_Adj,'Loan Amort Table'!AC201,Refi_Amort_Periods,Refi_Orig_Loan_Amount)),0)</f>
        <v>0</v>
      </c>
      <c r="AH201" s="78">
        <f t="shared" ca="1" si="82"/>
        <v>0</v>
      </c>
      <c r="AI201" s="78">
        <f t="shared" ca="1" si="98"/>
        <v>0</v>
      </c>
    </row>
    <row r="202" spans="1:35" x14ac:dyDescent="0.25">
      <c r="A202">
        <f t="shared" si="78"/>
        <v>17</v>
      </c>
      <c r="B202">
        <f t="shared" si="83"/>
        <v>197</v>
      </c>
      <c r="C202" s="49">
        <f t="shared" si="77"/>
        <v>5966</v>
      </c>
      <c r="D202" s="78">
        <f>IF(C202&gt;EDATE(DATE(YEAR(SED_Origination_Date)+ SED_Amort, MONTH(SED_Origination_Date), DAY(SED_Origination_Date)),SED_Interest_Only),0,H201)</f>
        <v>0</v>
      </c>
      <c r="E202" s="78">
        <f t="shared" si="84"/>
        <v>0</v>
      </c>
      <c r="F202" s="78">
        <f>IFERROR(IF(OR(B202=0, C202&gt;=Refi_Origination_Date),0, PPMT(SED_I_Adj,'Loan Amort Table'!B202,SED_Amort_Periods,SED_Orig_Loan_Amount)),0)</f>
        <v>0</v>
      </c>
      <c r="G202" s="78" cm="1">
        <f t="array" ref="G202">IFERROR(_xlfn.IFS(C202&gt;=Refi_Origination_Date, 0, SED_Amort = 0, -D202 * SED_I_Adj, 1, IPMT(SED_I_Adj,IF(B202 = 0, 1, B202),SED_Amort_Periods,SED_Orig_Loan_Amount)),0)</f>
        <v>0</v>
      </c>
      <c r="H202" s="78">
        <f t="shared" si="76"/>
        <v>0</v>
      </c>
      <c r="J202">
        <f t="shared" si="79"/>
        <v>17</v>
      </c>
      <c r="K202">
        <f t="shared" si="85"/>
        <v>197</v>
      </c>
      <c r="L202" s="49">
        <f t="shared" si="92"/>
        <v>5966</v>
      </c>
      <c r="M202" s="78">
        <f>IF(L202&gt;EDATE(DATE(YEAR(NEW_Origination_Date)+ NEW_Amort, MONTH(NEW_Origination_Date), DAY(NEW_Origination_Date)),NEW_Interest_Only),0,Q201)</f>
        <v>0</v>
      </c>
      <c r="N202" s="78">
        <f t="shared" si="86"/>
        <v>0</v>
      </c>
      <c r="O202" s="78">
        <f>IFERROR(IF(K202=0,0, PPMT(NEW_I_Adj,'Loan Amort Table'!K202,NEW_Amort_Periods,NEW_Orig_Loan_Amount)),0)</f>
        <v>0</v>
      </c>
      <c r="P202" s="78">
        <f>IFERROR(IF(NEW_Amort = 0, -M202* NEW_I_Adj,IPMT(NEW_I_Adj,IF(K202 = 0, 1, K202),NEW_Amort_Periods,NEW_Orig_Loan_Amount)),0)</f>
        <v>0</v>
      </c>
      <c r="Q202" s="78">
        <f t="shared" si="87"/>
        <v>0</v>
      </c>
      <c r="S202">
        <f t="shared" si="80"/>
        <v>17</v>
      </c>
      <c r="T202">
        <f t="shared" si="88"/>
        <v>197</v>
      </c>
      <c r="U202" s="49">
        <f t="shared" si="93"/>
        <v>5966</v>
      </c>
      <c r="V202" s="78">
        <f t="shared" si="89"/>
        <v>0</v>
      </c>
      <c r="W202" s="78">
        <f t="shared" ca="1" si="94"/>
        <v>0</v>
      </c>
      <c r="X202" s="78">
        <f>IFERROR(IF(OR(T202=0, U202&gt;=Refi_Origination_Date),0, PPMT(Mezz_I_Adj,'Loan Amort Table'!T202,Mezz_Amort_Periods,Mezz_Orig_Loan_Amount)),0)</f>
        <v>0</v>
      </c>
      <c r="Y202" s="78" cm="1">
        <f t="array" aca="1" ref="Y202" ca="1">IFERROR(_xlfn.IFS(U202&gt;=Refi_Origination_Date,0, Mezz_Amort = 0, -V202 * Mezz_I_Adj, 1, IPMT(Mezz_I_Adj,IF(T202 = 0, 1, T202),Mezz_Amort_Periods,Mezz_Orig_Loan_Amount)),0)</f>
        <v>0</v>
      </c>
      <c r="Z202" s="78">
        <f t="shared" si="95"/>
        <v>0</v>
      </c>
      <c r="AB202">
        <f t="shared" si="81"/>
        <v>17</v>
      </c>
      <c r="AC202">
        <f t="shared" si="90"/>
        <v>197</v>
      </c>
      <c r="AD202" s="49">
        <f t="shared" si="96"/>
        <v>5966</v>
      </c>
      <c r="AE202" s="78">
        <f t="shared" si="91"/>
        <v>0</v>
      </c>
      <c r="AF202" s="78">
        <f t="shared" ca="1" si="97"/>
        <v>0</v>
      </c>
      <c r="AG202" s="78">
        <f ca="1">IFERROR(IF(AC202=0,0, PPMT(Refi_I_Adj,'Loan Amort Table'!AC202,Refi_Amort_Periods,Refi_Orig_Loan_Amount)),0)</f>
        <v>0</v>
      </c>
      <c r="AH202" s="78">
        <f t="shared" ca="1" si="82"/>
        <v>0</v>
      </c>
      <c r="AI202" s="78">
        <f t="shared" ca="1" si="98"/>
        <v>0</v>
      </c>
    </row>
    <row r="203" spans="1:35" x14ac:dyDescent="0.25">
      <c r="A203">
        <f t="shared" si="78"/>
        <v>17</v>
      </c>
      <c r="B203">
        <f t="shared" si="83"/>
        <v>198</v>
      </c>
      <c r="C203" s="49">
        <f t="shared" si="77"/>
        <v>5997</v>
      </c>
      <c r="D203" s="78">
        <f>IF(C203&gt;EDATE(DATE(YEAR(SED_Origination_Date)+ SED_Amort, MONTH(SED_Origination_Date), DAY(SED_Origination_Date)),SED_Interest_Only),0,H202)</f>
        <v>0</v>
      </c>
      <c r="E203" s="78">
        <f t="shared" si="84"/>
        <v>0</v>
      </c>
      <c r="F203" s="78">
        <f>IFERROR(IF(OR(B203=0, C203&gt;=Refi_Origination_Date),0, PPMT(SED_I_Adj,'Loan Amort Table'!B203,SED_Amort_Periods,SED_Orig_Loan_Amount)),0)</f>
        <v>0</v>
      </c>
      <c r="G203" s="78" cm="1">
        <f t="array" ref="G203">IFERROR(_xlfn.IFS(C203&gt;=Refi_Origination_Date, 0, SED_Amort = 0, -D203 * SED_I_Adj, 1, IPMT(SED_I_Adj,IF(B203 = 0, 1, B203),SED_Amort_Periods,SED_Orig_Loan_Amount)),0)</f>
        <v>0</v>
      </c>
      <c r="H203" s="78">
        <f t="shared" ref="H203:H266" si="99">D203+F203</f>
        <v>0</v>
      </c>
      <c r="J203">
        <f t="shared" si="79"/>
        <v>17</v>
      </c>
      <c r="K203">
        <f t="shared" si="85"/>
        <v>198</v>
      </c>
      <c r="L203" s="49">
        <f t="shared" si="92"/>
        <v>5997</v>
      </c>
      <c r="M203" s="78">
        <f>IF(L203&gt;EDATE(DATE(YEAR(NEW_Origination_Date)+ NEW_Amort, MONTH(NEW_Origination_Date), DAY(NEW_Origination_Date)),NEW_Interest_Only),0,Q202)</f>
        <v>0</v>
      </c>
      <c r="N203" s="78">
        <f t="shared" si="86"/>
        <v>0</v>
      </c>
      <c r="O203" s="78">
        <f>IFERROR(IF(K203=0,0, PPMT(NEW_I_Adj,'Loan Amort Table'!K203,NEW_Amort_Periods,NEW_Orig_Loan_Amount)),0)</f>
        <v>0</v>
      </c>
      <c r="P203" s="78">
        <f>IFERROR(IF(NEW_Amort = 0, -M203* NEW_I_Adj,IPMT(NEW_I_Adj,IF(K203 = 0, 1, K203),NEW_Amort_Periods,NEW_Orig_Loan_Amount)),0)</f>
        <v>0</v>
      </c>
      <c r="Q203" s="78">
        <f t="shared" si="87"/>
        <v>0</v>
      </c>
      <c r="S203">
        <f t="shared" si="80"/>
        <v>17</v>
      </c>
      <c r="T203">
        <f t="shared" si="88"/>
        <v>198</v>
      </c>
      <c r="U203" s="49">
        <f t="shared" si="93"/>
        <v>5997</v>
      </c>
      <c r="V203" s="78">
        <f t="shared" si="89"/>
        <v>0</v>
      </c>
      <c r="W203" s="78">
        <f t="shared" ca="1" si="94"/>
        <v>0</v>
      </c>
      <c r="X203" s="78">
        <f>IFERROR(IF(OR(T203=0, U203&gt;=Refi_Origination_Date),0, PPMT(Mezz_I_Adj,'Loan Amort Table'!T203,Mezz_Amort_Periods,Mezz_Orig_Loan_Amount)),0)</f>
        <v>0</v>
      </c>
      <c r="Y203" s="78" cm="1">
        <f t="array" aca="1" ref="Y203" ca="1">IFERROR(_xlfn.IFS(U203&gt;=Refi_Origination_Date,0, Mezz_Amort = 0, -V203 * Mezz_I_Adj, 1, IPMT(Mezz_I_Adj,IF(T203 = 0, 1, T203),Mezz_Amort_Periods,Mezz_Orig_Loan_Amount)),0)</f>
        <v>0</v>
      </c>
      <c r="Z203" s="78">
        <f t="shared" si="95"/>
        <v>0</v>
      </c>
      <c r="AB203">
        <f t="shared" si="81"/>
        <v>17</v>
      </c>
      <c r="AC203">
        <f t="shared" si="90"/>
        <v>198</v>
      </c>
      <c r="AD203" s="49">
        <f t="shared" si="96"/>
        <v>5997</v>
      </c>
      <c r="AE203" s="78">
        <f t="shared" si="91"/>
        <v>0</v>
      </c>
      <c r="AF203" s="78">
        <f t="shared" ca="1" si="97"/>
        <v>0</v>
      </c>
      <c r="AG203" s="78">
        <f ca="1">IFERROR(IF(AC203=0,0, PPMT(Refi_I_Adj,'Loan Amort Table'!AC203,Refi_Amort_Periods,Refi_Orig_Loan_Amount)),0)</f>
        <v>0</v>
      </c>
      <c r="AH203" s="78">
        <f t="shared" ca="1" si="82"/>
        <v>0</v>
      </c>
      <c r="AI203" s="78">
        <f t="shared" ca="1" si="98"/>
        <v>0</v>
      </c>
    </row>
    <row r="204" spans="1:35" x14ac:dyDescent="0.25">
      <c r="A204">
        <f t="shared" si="78"/>
        <v>17</v>
      </c>
      <c r="B204">
        <f t="shared" si="83"/>
        <v>199</v>
      </c>
      <c r="C204" s="49">
        <f t="shared" si="77"/>
        <v>6027</v>
      </c>
      <c r="D204" s="78">
        <f>IF(C204&gt;EDATE(DATE(YEAR(SED_Origination_Date)+ SED_Amort, MONTH(SED_Origination_Date), DAY(SED_Origination_Date)),SED_Interest_Only),0,H203)</f>
        <v>0</v>
      </c>
      <c r="E204" s="78">
        <f t="shared" si="84"/>
        <v>0</v>
      </c>
      <c r="F204" s="78">
        <f>IFERROR(IF(OR(B204=0, C204&gt;=Refi_Origination_Date),0, PPMT(SED_I_Adj,'Loan Amort Table'!B204,SED_Amort_Periods,SED_Orig_Loan_Amount)),0)</f>
        <v>0</v>
      </c>
      <c r="G204" s="78" cm="1">
        <f t="array" ref="G204">IFERROR(_xlfn.IFS(C204&gt;=Refi_Origination_Date, 0, SED_Amort = 0, -D204 * SED_I_Adj, 1, IPMT(SED_I_Adj,IF(B204 = 0, 1, B204),SED_Amort_Periods,SED_Orig_Loan_Amount)),0)</f>
        <v>0</v>
      </c>
      <c r="H204" s="78">
        <f t="shared" si="99"/>
        <v>0</v>
      </c>
      <c r="J204">
        <f t="shared" si="79"/>
        <v>17</v>
      </c>
      <c r="K204">
        <f t="shared" si="85"/>
        <v>199</v>
      </c>
      <c r="L204" s="49">
        <f t="shared" si="92"/>
        <v>6027</v>
      </c>
      <c r="M204" s="78">
        <f>IF(L204&gt;EDATE(DATE(YEAR(NEW_Origination_Date)+ NEW_Amort, MONTH(NEW_Origination_Date), DAY(NEW_Origination_Date)),NEW_Interest_Only),0,Q203)</f>
        <v>0</v>
      </c>
      <c r="N204" s="78">
        <f t="shared" si="86"/>
        <v>0</v>
      </c>
      <c r="O204" s="78">
        <f>IFERROR(IF(K204=0,0, PPMT(NEW_I_Adj,'Loan Amort Table'!K204,NEW_Amort_Periods,NEW_Orig_Loan_Amount)),0)</f>
        <v>0</v>
      </c>
      <c r="P204" s="78">
        <f>IFERROR(IF(NEW_Amort = 0, -M204* NEW_I_Adj,IPMT(NEW_I_Adj,IF(K204 = 0, 1, K204),NEW_Amort_Periods,NEW_Orig_Loan_Amount)),0)</f>
        <v>0</v>
      </c>
      <c r="Q204" s="78">
        <f t="shared" si="87"/>
        <v>0</v>
      </c>
      <c r="S204">
        <f t="shared" si="80"/>
        <v>17</v>
      </c>
      <c r="T204">
        <f t="shared" si="88"/>
        <v>199</v>
      </c>
      <c r="U204" s="49">
        <f t="shared" si="93"/>
        <v>6027</v>
      </c>
      <c r="V204" s="78">
        <f t="shared" si="89"/>
        <v>0</v>
      </c>
      <c r="W204" s="78">
        <f t="shared" ca="1" si="94"/>
        <v>0</v>
      </c>
      <c r="X204" s="78">
        <f>IFERROR(IF(OR(T204=0, U204&gt;=Refi_Origination_Date),0, PPMT(Mezz_I_Adj,'Loan Amort Table'!T204,Mezz_Amort_Periods,Mezz_Orig_Loan_Amount)),0)</f>
        <v>0</v>
      </c>
      <c r="Y204" s="78" cm="1">
        <f t="array" aca="1" ref="Y204" ca="1">IFERROR(_xlfn.IFS(U204&gt;=Refi_Origination_Date,0, Mezz_Amort = 0, -V204 * Mezz_I_Adj, 1, IPMT(Mezz_I_Adj,IF(T204 = 0, 1, T204),Mezz_Amort_Periods,Mezz_Orig_Loan_Amount)),0)</f>
        <v>0</v>
      </c>
      <c r="Z204" s="78">
        <f t="shared" si="95"/>
        <v>0</v>
      </c>
      <c r="AB204">
        <f t="shared" si="81"/>
        <v>17</v>
      </c>
      <c r="AC204">
        <f t="shared" si="90"/>
        <v>199</v>
      </c>
      <c r="AD204" s="49">
        <f t="shared" si="96"/>
        <v>6027</v>
      </c>
      <c r="AE204" s="78">
        <f t="shared" si="91"/>
        <v>0</v>
      </c>
      <c r="AF204" s="78">
        <f t="shared" ca="1" si="97"/>
        <v>0</v>
      </c>
      <c r="AG204" s="78">
        <f ca="1">IFERROR(IF(AC204=0,0, PPMT(Refi_I_Adj,'Loan Amort Table'!AC204,Refi_Amort_Periods,Refi_Orig_Loan_Amount)),0)</f>
        <v>0</v>
      </c>
      <c r="AH204" s="78">
        <f t="shared" ca="1" si="82"/>
        <v>0</v>
      </c>
      <c r="AI204" s="78">
        <f t="shared" ca="1" si="98"/>
        <v>0</v>
      </c>
    </row>
    <row r="205" spans="1:35" x14ac:dyDescent="0.25">
      <c r="A205">
        <f t="shared" si="78"/>
        <v>17</v>
      </c>
      <c r="B205">
        <f t="shared" si="83"/>
        <v>200</v>
      </c>
      <c r="C205" s="49">
        <f t="shared" si="77"/>
        <v>6058</v>
      </c>
      <c r="D205" s="78">
        <f>IF(C205&gt;EDATE(DATE(YEAR(SED_Origination_Date)+ SED_Amort, MONTH(SED_Origination_Date), DAY(SED_Origination_Date)),SED_Interest_Only),0,H204)</f>
        <v>0</v>
      </c>
      <c r="E205" s="78">
        <f t="shared" si="84"/>
        <v>0</v>
      </c>
      <c r="F205" s="78">
        <f>IFERROR(IF(OR(B205=0, C205&gt;=Refi_Origination_Date),0, PPMT(SED_I_Adj,'Loan Amort Table'!B205,SED_Amort_Periods,SED_Orig_Loan_Amount)),0)</f>
        <v>0</v>
      </c>
      <c r="G205" s="78" cm="1">
        <f t="array" ref="G205">IFERROR(_xlfn.IFS(C205&gt;=Refi_Origination_Date, 0, SED_Amort = 0, -D205 * SED_I_Adj, 1, IPMT(SED_I_Adj,IF(B205 = 0, 1, B205),SED_Amort_Periods,SED_Orig_Loan_Amount)),0)</f>
        <v>0</v>
      </c>
      <c r="H205" s="78">
        <f t="shared" si="99"/>
        <v>0</v>
      </c>
      <c r="J205">
        <f t="shared" si="79"/>
        <v>17</v>
      </c>
      <c r="K205">
        <f t="shared" si="85"/>
        <v>200</v>
      </c>
      <c r="L205" s="49">
        <f t="shared" si="92"/>
        <v>6058</v>
      </c>
      <c r="M205" s="78">
        <f>IF(L205&gt;EDATE(DATE(YEAR(NEW_Origination_Date)+ NEW_Amort, MONTH(NEW_Origination_Date), DAY(NEW_Origination_Date)),NEW_Interest_Only),0,Q204)</f>
        <v>0</v>
      </c>
      <c r="N205" s="78">
        <f t="shared" si="86"/>
        <v>0</v>
      </c>
      <c r="O205" s="78">
        <f>IFERROR(IF(K205=0,0, PPMT(NEW_I_Adj,'Loan Amort Table'!K205,NEW_Amort_Periods,NEW_Orig_Loan_Amount)),0)</f>
        <v>0</v>
      </c>
      <c r="P205" s="78">
        <f>IFERROR(IF(NEW_Amort = 0, -M205* NEW_I_Adj,IPMT(NEW_I_Adj,IF(K205 = 0, 1, K205),NEW_Amort_Periods,NEW_Orig_Loan_Amount)),0)</f>
        <v>0</v>
      </c>
      <c r="Q205" s="78">
        <f t="shared" si="87"/>
        <v>0</v>
      </c>
      <c r="S205">
        <f t="shared" si="80"/>
        <v>17</v>
      </c>
      <c r="T205">
        <f t="shared" si="88"/>
        <v>200</v>
      </c>
      <c r="U205" s="49">
        <f t="shared" si="93"/>
        <v>6058</v>
      </c>
      <c r="V205" s="78">
        <f t="shared" si="89"/>
        <v>0</v>
      </c>
      <c r="W205" s="78">
        <f t="shared" ca="1" si="94"/>
        <v>0</v>
      </c>
      <c r="X205" s="78">
        <f>IFERROR(IF(OR(T205=0, U205&gt;=Refi_Origination_Date),0, PPMT(Mezz_I_Adj,'Loan Amort Table'!T205,Mezz_Amort_Periods,Mezz_Orig_Loan_Amount)),0)</f>
        <v>0</v>
      </c>
      <c r="Y205" s="78" cm="1">
        <f t="array" aca="1" ref="Y205" ca="1">IFERROR(_xlfn.IFS(U205&gt;=Refi_Origination_Date,0, Mezz_Amort = 0, -V205 * Mezz_I_Adj, 1, IPMT(Mezz_I_Adj,IF(T205 = 0, 1, T205),Mezz_Amort_Periods,Mezz_Orig_Loan_Amount)),0)</f>
        <v>0</v>
      </c>
      <c r="Z205" s="78">
        <f t="shared" si="95"/>
        <v>0</v>
      </c>
      <c r="AB205">
        <f t="shared" si="81"/>
        <v>17</v>
      </c>
      <c r="AC205">
        <f t="shared" si="90"/>
        <v>200</v>
      </c>
      <c r="AD205" s="49">
        <f t="shared" si="96"/>
        <v>6058</v>
      </c>
      <c r="AE205" s="78">
        <f t="shared" si="91"/>
        <v>0</v>
      </c>
      <c r="AF205" s="78">
        <f t="shared" ca="1" si="97"/>
        <v>0</v>
      </c>
      <c r="AG205" s="78">
        <f ca="1">IFERROR(IF(AC205=0,0, PPMT(Refi_I_Adj,'Loan Amort Table'!AC205,Refi_Amort_Periods,Refi_Orig_Loan_Amount)),0)</f>
        <v>0</v>
      </c>
      <c r="AH205" s="78">
        <f t="shared" ca="1" si="82"/>
        <v>0</v>
      </c>
      <c r="AI205" s="78">
        <f t="shared" ca="1" si="98"/>
        <v>0</v>
      </c>
    </row>
    <row r="206" spans="1:35" x14ac:dyDescent="0.25">
      <c r="A206">
        <f t="shared" si="78"/>
        <v>17</v>
      </c>
      <c r="B206">
        <f t="shared" si="83"/>
        <v>201</v>
      </c>
      <c r="C206" s="49">
        <f t="shared" si="77"/>
        <v>6089</v>
      </c>
      <c r="D206" s="78">
        <f>IF(C206&gt;EDATE(DATE(YEAR(SED_Origination_Date)+ SED_Amort, MONTH(SED_Origination_Date), DAY(SED_Origination_Date)),SED_Interest_Only),0,H205)</f>
        <v>0</v>
      </c>
      <c r="E206" s="78">
        <f t="shared" si="84"/>
        <v>0</v>
      </c>
      <c r="F206" s="78">
        <f>IFERROR(IF(OR(B206=0, C206&gt;=Refi_Origination_Date),0, PPMT(SED_I_Adj,'Loan Amort Table'!B206,SED_Amort_Periods,SED_Orig_Loan_Amount)),0)</f>
        <v>0</v>
      </c>
      <c r="G206" s="78" cm="1">
        <f t="array" ref="G206">IFERROR(_xlfn.IFS(C206&gt;=Refi_Origination_Date, 0, SED_Amort = 0, -D206 * SED_I_Adj, 1, IPMT(SED_I_Adj,IF(B206 = 0, 1, B206),SED_Amort_Periods,SED_Orig_Loan_Amount)),0)</f>
        <v>0</v>
      </c>
      <c r="H206" s="78">
        <f t="shared" si="99"/>
        <v>0</v>
      </c>
      <c r="J206">
        <f t="shared" si="79"/>
        <v>17</v>
      </c>
      <c r="K206">
        <f t="shared" si="85"/>
        <v>201</v>
      </c>
      <c r="L206" s="49">
        <f t="shared" si="92"/>
        <v>6089</v>
      </c>
      <c r="M206" s="78">
        <f>IF(L206&gt;EDATE(DATE(YEAR(NEW_Origination_Date)+ NEW_Amort, MONTH(NEW_Origination_Date), DAY(NEW_Origination_Date)),NEW_Interest_Only),0,Q205)</f>
        <v>0</v>
      </c>
      <c r="N206" s="78">
        <f t="shared" si="86"/>
        <v>0</v>
      </c>
      <c r="O206" s="78">
        <f>IFERROR(IF(K206=0,0, PPMT(NEW_I_Adj,'Loan Amort Table'!K206,NEW_Amort_Periods,NEW_Orig_Loan_Amount)),0)</f>
        <v>0</v>
      </c>
      <c r="P206" s="78">
        <f>IFERROR(IF(NEW_Amort = 0, -M206* NEW_I_Adj,IPMT(NEW_I_Adj,IF(K206 = 0, 1, K206),NEW_Amort_Periods,NEW_Orig_Loan_Amount)),0)</f>
        <v>0</v>
      </c>
      <c r="Q206" s="78">
        <f t="shared" si="87"/>
        <v>0</v>
      </c>
      <c r="S206">
        <f t="shared" si="80"/>
        <v>17</v>
      </c>
      <c r="T206">
        <f t="shared" si="88"/>
        <v>201</v>
      </c>
      <c r="U206" s="49">
        <f t="shared" si="93"/>
        <v>6089</v>
      </c>
      <c r="V206" s="78">
        <f t="shared" si="89"/>
        <v>0</v>
      </c>
      <c r="W206" s="78">
        <f t="shared" ca="1" si="94"/>
        <v>0</v>
      </c>
      <c r="X206" s="78">
        <f>IFERROR(IF(OR(T206=0, U206&gt;=Refi_Origination_Date),0, PPMT(Mezz_I_Adj,'Loan Amort Table'!T206,Mezz_Amort_Periods,Mezz_Orig_Loan_Amount)),0)</f>
        <v>0</v>
      </c>
      <c r="Y206" s="78" cm="1">
        <f t="array" aca="1" ref="Y206" ca="1">IFERROR(_xlfn.IFS(U206&gt;=Refi_Origination_Date,0, Mezz_Amort = 0, -V206 * Mezz_I_Adj, 1, IPMT(Mezz_I_Adj,IF(T206 = 0, 1, T206),Mezz_Amort_Periods,Mezz_Orig_Loan_Amount)),0)</f>
        <v>0</v>
      </c>
      <c r="Z206" s="78">
        <f t="shared" si="95"/>
        <v>0</v>
      </c>
      <c r="AB206">
        <f t="shared" si="81"/>
        <v>17</v>
      </c>
      <c r="AC206">
        <f t="shared" si="90"/>
        <v>201</v>
      </c>
      <c r="AD206" s="49">
        <f t="shared" si="96"/>
        <v>6089</v>
      </c>
      <c r="AE206" s="78">
        <f t="shared" si="91"/>
        <v>0</v>
      </c>
      <c r="AF206" s="78">
        <f t="shared" ca="1" si="97"/>
        <v>0</v>
      </c>
      <c r="AG206" s="78">
        <f ca="1">IFERROR(IF(AC206=0,0, PPMT(Refi_I_Adj,'Loan Amort Table'!AC206,Refi_Amort_Periods,Refi_Orig_Loan_Amount)),0)</f>
        <v>0</v>
      </c>
      <c r="AH206" s="78">
        <f t="shared" ca="1" si="82"/>
        <v>0</v>
      </c>
      <c r="AI206" s="78">
        <f t="shared" ca="1" si="98"/>
        <v>0</v>
      </c>
    </row>
    <row r="207" spans="1:35" x14ac:dyDescent="0.25">
      <c r="A207">
        <f t="shared" si="78"/>
        <v>17</v>
      </c>
      <c r="B207">
        <f t="shared" si="83"/>
        <v>202</v>
      </c>
      <c r="C207" s="49">
        <f t="shared" si="77"/>
        <v>6119</v>
      </c>
      <c r="D207" s="78">
        <f>IF(C207&gt;EDATE(DATE(YEAR(SED_Origination_Date)+ SED_Amort, MONTH(SED_Origination_Date), DAY(SED_Origination_Date)),SED_Interest_Only),0,H206)</f>
        <v>0</v>
      </c>
      <c r="E207" s="78">
        <f t="shared" si="84"/>
        <v>0</v>
      </c>
      <c r="F207" s="78">
        <f>IFERROR(IF(OR(B207=0, C207&gt;=Refi_Origination_Date),0, PPMT(SED_I_Adj,'Loan Amort Table'!B207,SED_Amort_Periods,SED_Orig_Loan_Amount)),0)</f>
        <v>0</v>
      </c>
      <c r="G207" s="78" cm="1">
        <f t="array" ref="G207">IFERROR(_xlfn.IFS(C207&gt;=Refi_Origination_Date, 0, SED_Amort = 0, -D207 * SED_I_Adj, 1, IPMT(SED_I_Adj,IF(B207 = 0, 1, B207),SED_Amort_Periods,SED_Orig_Loan_Amount)),0)</f>
        <v>0</v>
      </c>
      <c r="H207" s="78">
        <f t="shared" si="99"/>
        <v>0</v>
      </c>
      <c r="J207">
        <f t="shared" si="79"/>
        <v>17</v>
      </c>
      <c r="K207">
        <f t="shared" si="85"/>
        <v>202</v>
      </c>
      <c r="L207" s="49">
        <f t="shared" si="92"/>
        <v>6119</v>
      </c>
      <c r="M207" s="78">
        <f>IF(L207&gt;EDATE(DATE(YEAR(NEW_Origination_Date)+ NEW_Amort, MONTH(NEW_Origination_Date), DAY(NEW_Origination_Date)),NEW_Interest_Only),0,Q206)</f>
        <v>0</v>
      </c>
      <c r="N207" s="78">
        <f t="shared" si="86"/>
        <v>0</v>
      </c>
      <c r="O207" s="78">
        <f>IFERROR(IF(K207=0,0, PPMT(NEW_I_Adj,'Loan Amort Table'!K207,NEW_Amort_Periods,NEW_Orig_Loan_Amount)),0)</f>
        <v>0</v>
      </c>
      <c r="P207" s="78">
        <f>IFERROR(IF(NEW_Amort = 0, -M207* NEW_I_Adj,IPMT(NEW_I_Adj,IF(K207 = 0, 1, K207),NEW_Amort_Periods,NEW_Orig_Loan_Amount)),0)</f>
        <v>0</v>
      </c>
      <c r="Q207" s="78">
        <f t="shared" si="87"/>
        <v>0</v>
      </c>
      <c r="S207">
        <f t="shared" si="80"/>
        <v>17</v>
      </c>
      <c r="T207">
        <f t="shared" si="88"/>
        <v>202</v>
      </c>
      <c r="U207" s="49">
        <f t="shared" si="93"/>
        <v>6119</v>
      </c>
      <c r="V207" s="78">
        <f t="shared" si="89"/>
        <v>0</v>
      </c>
      <c r="W207" s="78">
        <f t="shared" ca="1" si="94"/>
        <v>0</v>
      </c>
      <c r="X207" s="78">
        <f>IFERROR(IF(OR(T207=0, U207&gt;=Refi_Origination_Date),0, PPMT(Mezz_I_Adj,'Loan Amort Table'!T207,Mezz_Amort_Periods,Mezz_Orig_Loan_Amount)),0)</f>
        <v>0</v>
      </c>
      <c r="Y207" s="78" cm="1">
        <f t="array" aca="1" ref="Y207" ca="1">IFERROR(_xlfn.IFS(U207&gt;=Refi_Origination_Date,0, Mezz_Amort = 0, -V207 * Mezz_I_Adj, 1, IPMT(Mezz_I_Adj,IF(T207 = 0, 1, T207),Mezz_Amort_Periods,Mezz_Orig_Loan_Amount)),0)</f>
        <v>0</v>
      </c>
      <c r="Z207" s="78">
        <f t="shared" si="95"/>
        <v>0</v>
      </c>
      <c r="AB207">
        <f t="shared" si="81"/>
        <v>17</v>
      </c>
      <c r="AC207">
        <f t="shared" si="90"/>
        <v>202</v>
      </c>
      <c r="AD207" s="49">
        <f t="shared" si="96"/>
        <v>6119</v>
      </c>
      <c r="AE207" s="78">
        <f t="shared" si="91"/>
        <v>0</v>
      </c>
      <c r="AF207" s="78">
        <f t="shared" ca="1" si="97"/>
        <v>0</v>
      </c>
      <c r="AG207" s="78">
        <f ca="1">IFERROR(IF(AC207=0,0, PPMT(Refi_I_Adj,'Loan Amort Table'!AC207,Refi_Amort_Periods,Refi_Orig_Loan_Amount)),0)</f>
        <v>0</v>
      </c>
      <c r="AH207" s="78">
        <f t="shared" ca="1" si="82"/>
        <v>0</v>
      </c>
      <c r="AI207" s="78">
        <f t="shared" ca="1" si="98"/>
        <v>0</v>
      </c>
    </row>
    <row r="208" spans="1:35" x14ac:dyDescent="0.25">
      <c r="A208">
        <f t="shared" si="78"/>
        <v>17</v>
      </c>
      <c r="B208">
        <f t="shared" si="83"/>
        <v>203</v>
      </c>
      <c r="C208" s="49">
        <f t="shared" si="77"/>
        <v>6150</v>
      </c>
      <c r="D208" s="78">
        <f>IF(C208&gt;EDATE(DATE(YEAR(SED_Origination_Date)+ SED_Amort, MONTH(SED_Origination_Date), DAY(SED_Origination_Date)),SED_Interest_Only),0,H207)</f>
        <v>0</v>
      </c>
      <c r="E208" s="78">
        <f t="shared" si="84"/>
        <v>0</v>
      </c>
      <c r="F208" s="78">
        <f>IFERROR(IF(OR(B208=0, C208&gt;=Refi_Origination_Date),0, PPMT(SED_I_Adj,'Loan Amort Table'!B208,SED_Amort_Periods,SED_Orig_Loan_Amount)),0)</f>
        <v>0</v>
      </c>
      <c r="G208" s="78" cm="1">
        <f t="array" ref="G208">IFERROR(_xlfn.IFS(C208&gt;=Refi_Origination_Date, 0, SED_Amort = 0, -D208 * SED_I_Adj, 1, IPMT(SED_I_Adj,IF(B208 = 0, 1, B208),SED_Amort_Periods,SED_Orig_Loan_Amount)),0)</f>
        <v>0</v>
      </c>
      <c r="H208" s="78">
        <f t="shared" si="99"/>
        <v>0</v>
      </c>
      <c r="J208">
        <f t="shared" si="79"/>
        <v>17</v>
      </c>
      <c r="K208">
        <f t="shared" si="85"/>
        <v>203</v>
      </c>
      <c r="L208" s="49">
        <f t="shared" si="92"/>
        <v>6150</v>
      </c>
      <c r="M208" s="78">
        <f>IF(L208&gt;EDATE(DATE(YEAR(NEW_Origination_Date)+ NEW_Amort, MONTH(NEW_Origination_Date), DAY(NEW_Origination_Date)),NEW_Interest_Only),0,Q207)</f>
        <v>0</v>
      </c>
      <c r="N208" s="78">
        <f t="shared" si="86"/>
        <v>0</v>
      </c>
      <c r="O208" s="78">
        <f>IFERROR(IF(K208=0,0, PPMT(NEW_I_Adj,'Loan Amort Table'!K208,NEW_Amort_Periods,NEW_Orig_Loan_Amount)),0)</f>
        <v>0</v>
      </c>
      <c r="P208" s="78">
        <f>IFERROR(IF(NEW_Amort = 0, -M208* NEW_I_Adj,IPMT(NEW_I_Adj,IF(K208 = 0, 1, K208),NEW_Amort_Periods,NEW_Orig_Loan_Amount)),0)</f>
        <v>0</v>
      </c>
      <c r="Q208" s="78">
        <f t="shared" si="87"/>
        <v>0</v>
      </c>
      <c r="S208">
        <f t="shared" si="80"/>
        <v>17</v>
      </c>
      <c r="T208">
        <f t="shared" si="88"/>
        <v>203</v>
      </c>
      <c r="U208" s="49">
        <f t="shared" si="93"/>
        <v>6150</v>
      </c>
      <c r="V208" s="78">
        <f t="shared" si="89"/>
        <v>0</v>
      </c>
      <c r="W208" s="78">
        <f t="shared" ca="1" si="94"/>
        <v>0</v>
      </c>
      <c r="X208" s="78">
        <f>IFERROR(IF(OR(T208=0, U208&gt;=Refi_Origination_Date),0, PPMT(Mezz_I_Adj,'Loan Amort Table'!T208,Mezz_Amort_Periods,Mezz_Orig_Loan_Amount)),0)</f>
        <v>0</v>
      </c>
      <c r="Y208" s="78" cm="1">
        <f t="array" aca="1" ref="Y208" ca="1">IFERROR(_xlfn.IFS(U208&gt;=Refi_Origination_Date,0, Mezz_Amort = 0, -V208 * Mezz_I_Adj, 1, IPMT(Mezz_I_Adj,IF(T208 = 0, 1, T208),Mezz_Amort_Periods,Mezz_Orig_Loan_Amount)),0)</f>
        <v>0</v>
      </c>
      <c r="Z208" s="78">
        <f t="shared" si="95"/>
        <v>0</v>
      </c>
      <c r="AB208">
        <f t="shared" si="81"/>
        <v>17</v>
      </c>
      <c r="AC208">
        <f t="shared" si="90"/>
        <v>203</v>
      </c>
      <c r="AD208" s="49">
        <f t="shared" si="96"/>
        <v>6150</v>
      </c>
      <c r="AE208" s="78">
        <f t="shared" si="91"/>
        <v>0</v>
      </c>
      <c r="AF208" s="78">
        <f t="shared" ca="1" si="97"/>
        <v>0</v>
      </c>
      <c r="AG208" s="78">
        <f ca="1">IFERROR(IF(AC208=0,0, PPMT(Refi_I_Adj,'Loan Amort Table'!AC208,Refi_Amort_Periods,Refi_Orig_Loan_Amount)),0)</f>
        <v>0</v>
      </c>
      <c r="AH208" s="78">
        <f t="shared" ca="1" si="82"/>
        <v>0</v>
      </c>
      <c r="AI208" s="78">
        <f t="shared" ca="1" si="98"/>
        <v>0</v>
      </c>
    </row>
    <row r="209" spans="1:35" x14ac:dyDescent="0.25">
      <c r="A209">
        <f t="shared" si="78"/>
        <v>17</v>
      </c>
      <c r="B209">
        <f t="shared" si="83"/>
        <v>204</v>
      </c>
      <c r="C209" s="49">
        <f t="shared" si="77"/>
        <v>6180</v>
      </c>
      <c r="D209" s="78">
        <f>IF(C209&gt;EDATE(DATE(YEAR(SED_Origination_Date)+ SED_Amort, MONTH(SED_Origination_Date), DAY(SED_Origination_Date)),SED_Interest_Only),0,H208)</f>
        <v>0</v>
      </c>
      <c r="E209" s="78">
        <f t="shared" si="84"/>
        <v>0</v>
      </c>
      <c r="F209" s="78">
        <f>IFERROR(IF(OR(B209=0, C209&gt;=Refi_Origination_Date),0, PPMT(SED_I_Adj,'Loan Amort Table'!B209,SED_Amort_Periods,SED_Orig_Loan_Amount)),0)</f>
        <v>0</v>
      </c>
      <c r="G209" s="78" cm="1">
        <f t="array" ref="G209">IFERROR(_xlfn.IFS(C209&gt;=Refi_Origination_Date, 0, SED_Amort = 0, -D209 * SED_I_Adj, 1, IPMT(SED_I_Adj,IF(B209 = 0, 1, B209),SED_Amort_Periods,SED_Orig_Loan_Amount)),0)</f>
        <v>0</v>
      </c>
      <c r="H209" s="78">
        <f t="shared" si="99"/>
        <v>0</v>
      </c>
      <c r="J209">
        <f t="shared" si="79"/>
        <v>17</v>
      </c>
      <c r="K209">
        <f t="shared" si="85"/>
        <v>204</v>
      </c>
      <c r="L209" s="49">
        <f t="shared" si="92"/>
        <v>6180</v>
      </c>
      <c r="M209" s="78">
        <f>IF(L209&gt;EDATE(DATE(YEAR(NEW_Origination_Date)+ NEW_Amort, MONTH(NEW_Origination_Date), DAY(NEW_Origination_Date)),NEW_Interest_Only),0,Q208)</f>
        <v>0</v>
      </c>
      <c r="N209" s="78">
        <f t="shared" si="86"/>
        <v>0</v>
      </c>
      <c r="O209" s="78">
        <f>IFERROR(IF(K209=0,0, PPMT(NEW_I_Adj,'Loan Amort Table'!K209,NEW_Amort_Periods,NEW_Orig_Loan_Amount)),0)</f>
        <v>0</v>
      </c>
      <c r="P209" s="78">
        <f>IFERROR(IF(NEW_Amort = 0, -M209* NEW_I_Adj,IPMT(NEW_I_Adj,IF(K209 = 0, 1, K209),NEW_Amort_Periods,NEW_Orig_Loan_Amount)),0)</f>
        <v>0</v>
      </c>
      <c r="Q209" s="78">
        <f t="shared" si="87"/>
        <v>0</v>
      </c>
      <c r="S209">
        <f t="shared" si="80"/>
        <v>17</v>
      </c>
      <c r="T209">
        <f t="shared" si="88"/>
        <v>204</v>
      </c>
      <c r="U209" s="49">
        <f t="shared" si="93"/>
        <v>6180</v>
      </c>
      <c r="V209" s="78">
        <f t="shared" si="89"/>
        <v>0</v>
      </c>
      <c r="W209" s="78">
        <f t="shared" ca="1" si="94"/>
        <v>0</v>
      </c>
      <c r="X209" s="78">
        <f>IFERROR(IF(OR(T209=0, U209&gt;=Refi_Origination_Date),0, PPMT(Mezz_I_Adj,'Loan Amort Table'!T209,Mezz_Amort_Periods,Mezz_Orig_Loan_Amount)),0)</f>
        <v>0</v>
      </c>
      <c r="Y209" s="78" cm="1">
        <f t="array" aca="1" ref="Y209" ca="1">IFERROR(_xlfn.IFS(U209&gt;=Refi_Origination_Date,0, Mezz_Amort = 0, -V209 * Mezz_I_Adj, 1, IPMT(Mezz_I_Adj,IF(T209 = 0, 1, T209),Mezz_Amort_Periods,Mezz_Orig_Loan_Amount)),0)</f>
        <v>0</v>
      </c>
      <c r="Z209" s="78">
        <f t="shared" si="95"/>
        <v>0</v>
      </c>
      <c r="AB209">
        <f t="shared" si="81"/>
        <v>17</v>
      </c>
      <c r="AC209">
        <f t="shared" si="90"/>
        <v>204</v>
      </c>
      <c r="AD209" s="49">
        <f t="shared" si="96"/>
        <v>6180</v>
      </c>
      <c r="AE209" s="78">
        <f t="shared" si="91"/>
        <v>0</v>
      </c>
      <c r="AF209" s="78">
        <f t="shared" ca="1" si="97"/>
        <v>0</v>
      </c>
      <c r="AG209" s="78">
        <f ca="1">IFERROR(IF(AC209=0,0, PPMT(Refi_I_Adj,'Loan Amort Table'!AC209,Refi_Amort_Periods,Refi_Orig_Loan_Amount)),0)</f>
        <v>0</v>
      </c>
      <c r="AH209" s="78">
        <f t="shared" ca="1" si="82"/>
        <v>0</v>
      </c>
      <c r="AI209" s="78">
        <f t="shared" ca="1" si="98"/>
        <v>0</v>
      </c>
    </row>
    <row r="210" spans="1:35" x14ac:dyDescent="0.25">
      <c r="A210">
        <f t="shared" si="78"/>
        <v>18</v>
      </c>
      <c r="B210">
        <f t="shared" si="83"/>
        <v>205</v>
      </c>
      <c r="C210" s="49">
        <f t="shared" si="77"/>
        <v>6211</v>
      </c>
      <c r="D210" s="78">
        <f>IF(C210&gt;EDATE(DATE(YEAR(SED_Origination_Date)+ SED_Amort, MONTH(SED_Origination_Date), DAY(SED_Origination_Date)),SED_Interest_Only),0,H209)</f>
        <v>0</v>
      </c>
      <c r="E210" s="78">
        <f t="shared" si="84"/>
        <v>0</v>
      </c>
      <c r="F210" s="78">
        <f>IFERROR(IF(OR(B210=0, C210&gt;=Refi_Origination_Date),0, PPMT(SED_I_Adj,'Loan Amort Table'!B210,SED_Amort_Periods,SED_Orig_Loan_Amount)),0)</f>
        <v>0</v>
      </c>
      <c r="G210" s="78" cm="1">
        <f t="array" ref="G210">IFERROR(_xlfn.IFS(C210&gt;=Refi_Origination_Date, 0, SED_Amort = 0, -D210 * SED_I_Adj, 1, IPMT(SED_I_Adj,IF(B210 = 0, 1, B210),SED_Amort_Periods,SED_Orig_Loan_Amount)),0)</f>
        <v>0</v>
      </c>
      <c r="H210" s="78">
        <f t="shared" si="99"/>
        <v>0</v>
      </c>
      <c r="J210">
        <f t="shared" si="79"/>
        <v>18</v>
      </c>
      <c r="K210">
        <f t="shared" si="85"/>
        <v>205</v>
      </c>
      <c r="L210" s="49">
        <f t="shared" si="92"/>
        <v>6211</v>
      </c>
      <c r="M210" s="78">
        <f>IF(L210&gt;EDATE(DATE(YEAR(NEW_Origination_Date)+ NEW_Amort, MONTH(NEW_Origination_Date), DAY(NEW_Origination_Date)),NEW_Interest_Only),0,Q209)</f>
        <v>0</v>
      </c>
      <c r="N210" s="78">
        <f t="shared" si="86"/>
        <v>0</v>
      </c>
      <c r="O210" s="78">
        <f>IFERROR(IF(K210=0,0, PPMT(NEW_I_Adj,'Loan Amort Table'!K210,NEW_Amort_Periods,NEW_Orig_Loan_Amount)),0)</f>
        <v>0</v>
      </c>
      <c r="P210" s="78">
        <f>IFERROR(IF(NEW_Amort = 0, -M210* NEW_I_Adj,IPMT(NEW_I_Adj,IF(K210 = 0, 1, K210),NEW_Amort_Periods,NEW_Orig_Loan_Amount)),0)</f>
        <v>0</v>
      </c>
      <c r="Q210" s="78">
        <f t="shared" si="87"/>
        <v>0</v>
      </c>
      <c r="S210">
        <f t="shared" si="80"/>
        <v>18</v>
      </c>
      <c r="T210">
        <f t="shared" si="88"/>
        <v>205</v>
      </c>
      <c r="U210" s="49">
        <f t="shared" si="93"/>
        <v>6211</v>
      </c>
      <c r="V210" s="78">
        <f t="shared" si="89"/>
        <v>0</v>
      </c>
      <c r="W210" s="78">
        <f t="shared" ca="1" si="94"/>
        <v>0</v>
      </c>
      <c r="X210" s="78">
        <f>IFERROR(IF(OR(T210=0, U210&gt;=Refi_Origination_Date),0, PPMT(Mezz_I_Adj,'Loan Amort Table'!T210,Mezz_Amort_Periods,Mezz_Orig_Loan_Amount)),0)</f>
        <v>0</v>
      </c>
      <c r="Y210" s="78" cm="1">
        <f t="array" aca="1" ref="Y210" ca="1">IFERROR(_xlfn.IFS(U210&gt;=Refi_Origination_Date,0, Mezz_Amort = 0, -V210 * Mezz_I_Adj, 1, IPMT(Mezz_I_Adj,IF(T210 = 0, 1, T210),Mezz_Amort_Periods,Mezz_Orig_Loan_Amount)),0)</f>
        <v>0</v>
      </c>
      <c r="Z210" s="78">
        <f t="shared" si="95"/>
        <v>0</v>
      </c>
      <c r="AB210">
        <f t="shared" si="81"/>
        <v>18</v>
      </c>
      <c r="AC210">
        <f t="shared" si="90"/>
        <v>205</v>
      </c>
      <c r="AD210" s="49">
        <f t="shared" si="96"/>
        <v>6211</v>
      </c>
      <c r="AE210" s="78">
        <f t="shared" si="91"/>
        <v>0</v>
      </c>
      <c r="AF210" s="78">
        <f t="shared" ca="1" si="97"/>
        <v>0</v>
      </c>
      <c r="AG210" s="78">
        <f ca="1">IFERROR(IF(AC210=0,0, PPMT(Refi_I_Adj,'Loan Amort Table'!AC210,Refi_Amort_Periods,Refi_Orig_Loan_Amount)),0)</f>
        <v>0</v>
      </c>
      <c r="AH210" s="78">
        <f t="shared" ca="1" si="82"/>
        <v>0</v>
      </c>
      <c r="AI210" s="78">
        <f t="shared" ca="1" si="98"/>
        <v>0</v>
      </c>
    </row>
    <row r="211" spans="1:35" x14ac:dyDescent="0.25">
      <c r="A211">
        <f t="shared" si="78"/>
        <v>18</v>
      </c>
      <c r="B211">
        <f t="shared" si="83"/>
        <v>206</v>
      </c>
      <c r="C211" s="49">
        <f t="shared" si="77"/>
        <v>6242</v>
      </c>
      <c r="D211" s="78">
        <f>IF(C211&gt;EDATE(DATE(YEAR(SED_Origination_Date)+ SED_Amort, MONTH(SED_Origination_Date), DAY(SED_Origination_Date)),SED_Interest_Only),0,H210)</f>
        <v>0</v>
      </c>
      <c r="E211" s="78">
        <f t="shared" si="84"/>
        <v>0</v>
      </c>
      <c r="F211" s="78">
        <f>IFERROR(IF(OR(B211=0, C211&gt;=Refi_Origination_Date),0, PPMT(SED_I_Adj,'Loan Amort Table'!B211,SED_Amort_Periods,SED_Orig_Loan_Amount)),0)</f>
        <v>0</v>
      </c>
      <c r="G211" s="78" cm="1">
        <f t="array" ref="G211">IFERROR(_xlfn.IFS(C211&gt;=Refi_Origination_Date, 0, SED_Amort = 0, -D211 * SED_I_Adj, 1, IPMT(SED_I_Adj,IF(B211 = 0, 1, B211),SED_Amort_Periods,SED_Orig_Loan_Amount)),0)</f>
        <v>0</v>
      </c>
      <c r="H211" s="78">
        <f t="shared" si="99"/>
        <v>0</v>
      </c>
      <c r="J211">
        <f t="shared" si="79"/>
        <v>18</v>
      </c>
      <c r="K211">
        <f t="shared" si="85"/>
        <v>206</v>
      </c>
      <c r="L211" s="49">
        <f t="shared" si="92"/>
        <v>6242</v>
      </c>
      <c r="M211" s="78">
        <f>IF(L211&gt;EDATE(DATE(YEAR(NEW_Origination_Date)+ NEW_Amort, MONTH(NEW_Origination_Date), DAY(NEW_Origination_Date)),NEW_Interest_Only),0,Q210)</f>
        <v>0</v>
      </c>
      <c r="N211" s="78">
        <f t="shared" si="86"/>
        <v>0</v>
      </c>
      <c r="O211" s="78">
        <f>IFERROR(IF(K211=0,0, PPMT(NEW_I_Adj,'Loan Amort Table'!K211,NEW_Amort_Periods,NEW_Orig_Loan_Amount)),0)</f>
        <v>0</v>
      </c>
      <c r="P211" s="78">
        <f>IFERROR(IF(NEW_Amort = 0, -M211* NEW_I_Adj,IPMT(NEW_I_Adj,IF(K211 = 0, 1, K211),NEW_Amort_Periods,NEW_Orig_Loan_Amount)),0)</f>
        <v>0</v>
      </c>
      <c r="Q211" s="78">
        <f t="shared" si="87"/>
        <v>0</v>
      </c>
      <c r="S211">
        <f t="shared" si="80"/>
        <v>18</v>
      </c>
      <c r="T211">
        <f t="shared" si="88"/>
        <v>206</v>
      </c>
      <c r="U211" s="49">
        <f t="shared" si="93"/>
        <v>6242</v>
      </c>
      <c r="V211" s="78">
        <f t="shared" si="89"/>
        <v>0</v>
      </c>
      <c r="W211" s="78">
        <f t="shared" ca="1" si="94"/>
        <v>0</v>
      </c>
      <c r="X211" s="78">
        <f>IFERROR(IF(OR(T211=0, U211&gt;=Refi_Origination_Date),0, PPMT(Mezz_I_Adj,'Loan Amort Table'!T211,Mezz_Amort_Periods,Mezz_Orig_Loan_Amount)),0)</f>
        <v>0</v>
      </c>
      <c r="Y211" s="78" cm="1">
        <f t="array" aca="1" ref="Y211" ca="1">IFERROR(_xlfn.IFS(U211&gt;=Refi_Origination_Date,0, Mezz_Amort = 0, -V211 * Mezz_I_Adj, 1, IPMT(Mezz_I_Adj,IF(T211 = 0, 1, T211),Mezz_Amort_Periods,Mezz_Orig_Loan_Amount)),0)</f>
        <v>0</v>
      </c>
      <c r="Z211" s="78">
        <f t="shared" si="95"/>
        <v>0</v>
      </c>
      <c r="AB211">
        <f t="shared" si="81"/>
        <v>18</v>
      </c>
      <c r="AC211">
        <f t="shared" si="90"/>
        <v>206</v>
      </c>
      <c r="AD211" s="49">
        <f t="shared" si="96"/>
        <v>6242</v>
      </c>
      <c r="AE211" s="78">
        <f t="shared" si="91"/>
        <v>0</v>
      </c>
      <c r="AF211" s="78">
        <f t="shared" ca="1" si="97"/>
        <v>0</v>
      </c>
      <c r="AG211" s="78">
        <f ca="1">IFERROR(IF(AC211=0,0, PPMT(Refi_I_Adj,'Loan Amort Table'!AC211,Refi_Amort_Periods,Refi_Orig_Loan_Amount)),0)</f>
        <v>0</v>
      </c>
      <c r="AH211" s="78">
        <f t="shared" ca="1" si="82"/>
        <v>0</v>
      </c>
      <c r="AI211" s="78">
        <f t="shared" ca="1" si="98"/>
        <v>0</v>
      </c>
    </row>
    <row r="212" spans="1:35" x14ac:dyDescent="0.25">
      <c r="A212">
        <f t="shared" si="78"/>
        <v>18</v>
      </c>
      <c r="B212">
        <f t="shared" si="83"/>
        <v>207</v>
      </c>
      <c r="C212" s="49">
        <f t="shared" si="77"/>
        <v>6270</v>
      </c>
      <c r="D212" s="78">
        <f>IF(C212&gt;EDATE(DATE(YEAR(SED_Origination_Date)+ SED_Amort, MONTH(SED_Origination_Date), DAY(SED_Origination_Date)),SED_Interest_Only),0,H211)</f>
        <v>0</v>
      </c>
      <c r="E212" s="78">
        <f t="shared" si="84"/>
        <v>0</v>
      </c>
      <c r="F212" s="78">
        <f>IFERROR(IF(OR(B212=0, C212&gt;=Refi_Origination_Date),0, PPMT(SED_I_Adj,'Loan Amort Table'!B212,SED_Amort_Periods,SED_Orig_Loan_Amount)),0)</f>
        <v>0</v>
      </c>
      <c r="G212" s="78" cm="1">
        <f t="array" ref="G212">IFERROR(_xlfn.IFS(C212&gt;=Refi_Origination_Date, 0, SED_Amort = 0, -D212 * SED_I_Adj, 1, IPMT(SED_I_Adj,IF(B212 = 0, 1, B212),SED_Amort_Periods,SED_Orig_Loan_Amount)),0)</f>
        <v>0</v>
      </c>
      <c r="H212" s="78">
        <f t="shared" si="99"/>
        <v>0</v>
      </c>
      <c r="J212">
        <f t="shared" si="79"/>
        <v>18</v>
      </c>
      <c r="K212">
        <f t="shared" si="85"/>
        <v>207</v>
      </c>
      <c r="L212" s="49">
        <f t="shared" si="92"/>
        <v>6270</v>
      </c>
      <c r="M212" s="78">
        <f>IF(L212&gt;EDATE(DATE(YEAR(NEW_Origination_Date)+ NEW_Amort, MONTH(NEW_Origination_Date), DAY(NEW_Origination_Date)),NEW_Interest_Only),0,Q211)</f>
        <v>0</v>
      </c>
      <c r="N212" s="78">
        <f t="shared" si="86"/>
        <v>0</v>
      </c>
      <c r="O212" s="78">
        <f>IFERROR(IF(K212=0,0, PPMT(NEW_I_Adj,'Loan Amort Table'!K212,NEW_Amort_Periods,NEW_Orig_Loan_Amount)),0)</f>
        <v>0</v>
      </c>
      <c r="P212" s="78">
        <f>IFERROR(IF(NEW_Amort = 0, -M212* NEW_I_Adj,IPMT(NEW_I_Adj,IF(K212 = 0, 1, K212),NEW_Amort_Periods,NEW_Orig_Loan_Amount)),0)</f>
        <v>0</v>
      </c>
      <c r="Q212" s="78">
        <f t="shared" si="87"/>
        <v>0</v>
      </c>
      <c r="S212">
        <f t="shared" si="80"/>
        <v>18</v>
      </c>
      <c r="T212">
        <f t="shared" si="88"/>
        <v>207</v>
      </c>
      <c r="U212" s="49">
        <f t="shared" si="93"/>
        <v>6270</v>
      </c>
      <c r="V212" s="78">
        <f t="shared" si="89"/>
        <v>0</v>
      </c>
      <c r="W212" s="78">
        <f t="shared" ca="1" si="94"/>
        <v>0</v>
      </c>
      <c r="X212" s="78">
        <f>IFERROR(IF(OR(T212=0, U212&gt;=Refi_Origination_Date),0, PPMT(Mezz_I_Adj,'Loan Amort Table'!T212,Mezz_Amort_Periods,Mezz_Orig_Loan_Amount)),0)</f>
        <v>0</v>
      </c>
      <c r="Y212" s="78" cm="1">
        <f t="array" aca="1" ref="Y212" ca="1">IFERROR(_xlfn.IFS(U212&gt;=Refi_Origination_Date,0, Mezz_Amort = 0, -V212 * Mezz_I_Adj, 1, IPMT(Mezz_I_Adj,IF(T212 = 0, 1, T212),Mezz_Amort_Periods,Mezz_Orig_Loan_Amount)),0)</f>
        <v>0</v>
      </c>
      <c r="Z212" s="78">
        <f t="shared" si="95"/>
        <v>0</v>
      </c>
      <c r="AB212">
        <f t="shared" si="81"/>
        <v>18</v>
      </c>
      <c r="AC212">
        <f t="shared" si="90"/>
        <v>207</v>
      </c>
      <c r="AD212" s="49">
        <f t="shared" si="96"/>
        <v>6270</v>
      </c>
      <c r="AE212" s="78">
        <f t="shared" si="91"/>
        <v>0</v>
      </c>
      <c r="AF212" s="78">
        <f t="shared" ca="1" si="97"/>
        <v>0</v>
      </c>
      <c r="AG212" s="78">
        <f ca="1">IFERROR(IF(AC212=0,0, PPMT(Refi_I_Adj,'Loan Amort Table'!AC212,Refi_Amort_Periods,Refi_Orig_Loan_Amount)),0)</f>
        <v>0</v>
      </c>
      <c r="AH212" s="78">
        <f t="shared" ca="1" si="82"/>
        <v>0</v>
      </c>
      <c r="AI212" s="78">
        <f t="shared" ca="1" si="98"/>
        <v>0</v>
      </c>
    </row>
    <row r="213" spans="1:35" x14ac:dyDescent="0.25">
      <c r="A213">
        <f t="shared" si="78"/>
        <v>18</v>
      </c>
      <c r="B213">
        <f t="shared" si="83"/>
        <v>208</v>
      </c>
      <c r="C213" s="49">
        <f t="shared" si="77"/>
        <v>6301</v>
      </c>
      <c r="D213" s="78">
        <f>IF(C213&gt;EDATE(DATE(YEAR(SED_Origination_Date)+ SED_Amort, MONTH(SED_Origination_Date), DAY(SED_Origination_Date)),SED_Interest_Only),0,H212)</f>
        <v>0</v>
      </c>
      <c r="E213" s="78">
        <f t="shared" si="84"/>
        <v>0</v>
      </c>
      <c r="F213" s="78">
        <f>IFERROR(IF(OR(B213=0, C213&gt;=Refi_Origination_Date),0, PPMT(SED_I_Adj,'Loan Amort Table'!B213,SED_Amort_Periods,SED_Orig_Loan_Amount)),0)</f>
        <v>0</v>
      </c>
      <c r="G213" s="78" cm="1">
        <f t="array" ref="G213">IFERROR(_xlfn.IFS(C213&gt;=Refi_Origination_Date, 0, SED_Amort = 0, -D213 * SED_I_Adj, 1, IPMT(SED_I_Adj,IF(B213 = 0, 1, B213),SED_Amort_Periods,SED_Orig_Loan_Amount)),0)</f>
        <v>0</v>
      </c>
      <c r="H213" s="78">
        <f t="shared" si="99"/>
        <v>0</v>
      </c>
      <c r="J213">
        <f t="shared" si="79"/>
        <v>18</v>
      </c>
      <c r="K213">
        <f t="shared" si="85"/>
        <v>208</v>
      </c>
      <c r="L213" s="49">
        <f t="shared" si="92"/>
        <v>6301</v>
      </c>
      <c r="M213" s="78">
        <f>IF(L213&gt;EDATE(DATE(YEAR(NEW_Origination_Date)+ NEW_Amort, MONTH(NEW_Origination_Date), DAY(NEW_Origination_Date)),NEW_Interest_Only),0,Q212)</f>
        <v>0</v>
      </c>
      <c r="N213" s="78">
        <f t="shared" si="86"/>
        <v>0</v>
      </c>
      <c r="O213" s="78">
        <f>IFERROR(IF(K213=0,0, PPMT(NEW_I_Adj,'Loan Amort Table'!K213,NEW_Amort_Periods,NEW_Orig_Loan_Amount)),0)</f>
        <v>0</v>
      </c>
      <c r="P213" s="78">
        <f>IFERROR(IF(NEW_Amort = 0, -M213* NEW_I_Adj,IPMT(NEW_I_Adj,IF(K213 = 0, 1, K213),NEW_Amort_Periods,NEW_Orig_Loan_Amount)),0)</f>
        <v>0</v>
      </c>
      <c r="Q213" s="78">
        <f t="shared" si="87"/>
        <v>0</v>
      </c>
      <c r="S213">
        <f t="shared" si="80"/>
        <v>18</v>
      </c>
      <c r="T213">
        <f t="shared" si="88"/>
        <v>208</v>
      </c>
      <c r="U213" s="49">
        <f t="shared" si="93"/>
        <v>6301</v>
      </c>
      <c r="V213" s="78">
        <f t="shared" si="89"/>
        <v>0</v>
      </c>
      <c r="W213" s="78">
        <f t="shared" ca="1" si="94"/>
        <v>0</v>
      </c>
      <c r="X213" s="78">
        <f>IFERROR(IF(OR(T213=0, U213&gt;=Refi_Origination_Date),0, PPMT(Mezz_I_Adj,'Loan Amort Table'!T213,Mezz_Amort_Periods,Mezz_Orig_Loan_Amount)),0)</f>
        <v>0</v>
      </c>
      <c r="Y213" s="78" cm="1">
        <f t="array" aca="1" ref="Y213" ca="1">IFERROR(_xlfn.IFS(U213&gt;=Refi_Origination_Date,0, Mezz_Amort = 0, -V213 * Mezz_I_Adj, 1, IPMT(Mezz_I_Adj,IF(T213 = 0, 1, T213),Mezz_Amort_Periods,Mezz_Orig_Loan_Amount)),0)</f>
        <v>0</v>
      </c>
      <c r="Z213" s="78">
        <f t="shared" si="95"/>
        <v>0</v>
      </c>
      <c r="AB213">
        <f t="shared" si="81"/>
        <v>18</v>
      </c>
      <c r="AC213">
        <f t="shared" si="90"/>
        <v>208</v>
      </c>
      <c r="AD213" s="49">
        <f t="shared" si="96"/>
        <v>6301</v>
      </c>
      <c r="AE213" s="78">
        <f t="shared" si="91"/>
        <v>0</v>
      </c>
      <c r="AF213" s="78">
        <f t="shared" ca="1" si="97"/>
        <v>0</v>
      </c>
      <c r="AG213" s="78">
        <f ca="1">IFERROR(IF(AC213=0,0, PPMT(Refi_I_Adj,'Loan Amort Table'!AC213,Refi_Amort_Periods,Refi_Orig_Loan_Amount)),0)</f>
        <v>0</v>
      </c>
      <c r="AH213" s="78">
        <f t="shared" ca="1" si="82"/>
        <v>0</v>
      </c>
      <c r="AI213" s="78">
        <f t="shared" ca="1" si="98"/>
        <v>0</v>
      </c>
    </row>
    <row r="214" spans="1:35" x14ac:dyDescent="0.25">
      <c r="A214">
        <f t="shared" si="78"/>
        <v>18</v>
      </c>
      <c r="B214">
        <f t="shared" si="83"/>
        <v>209</v>
      </c>
      <c r="C214" s="49">
        <f t="shared" si="77"/>
        <v>6331</v>
      </c>
      <c r="D214" s="78">
        <f>IF(C214&gt;EDATE(DATE(YEAR(SED_Origination_Date)+ SED_Amort, MONTH(SED_Origination_Date), DAY(SED_Origination_Date)),SED_Interest_Only),0,H213)</f>
        <v>0</v>
      </c>
      <c r="E214" s="78">
        <f t="shared" si="84"/>
        <v>0</v>
      </c>
      <c r="F214" s="78">
        <f>IFERROR(IF(OR(B214=0, C214&gt;=Refi_Origination_Date),0, PPMT(SED_I_Adj,'Loan Amort Table'!B214,SED_Amort_Periods,SED_Orig_Loan_Amount)),0)</f>
        <v>0</v>
      </c>
      <c r="G214" s="78" cm="1">
        <f t="array" ref="G214">IFERROR(_xlfn.IFS(C214&gt;=Refi_Origination_Date, 0, SED_Amort = 0, -D214 * SED_I_Adj, 1, IPMT(SED_I_Adj,IF(B214 = 0, 1, B214),SED_Amort_Periods,SED_Orig_Loan_Amount)),0)</f>
        <v>0</v>
      </c>
      <c r="H214" s="78">
        <f t="shared" si="99"/>
        <v>0</v>
      </c>
      <c r="J214">
        <f t="shared" si="79"/>
        <v>18</v>
      </c>
      <c r="K214">
        <f t="shared" si="85"/>
        <v>209</v>
      </c>
      <c r="L214" s="49">
        <f t="shared" si="92"/>
        <v>6331</v>
      </c>
      <c r="M214" s="78">
        <f>IF(L214&gt;EDATE(DATE(YEAR(NEW_Origination_Date)+ NEW_Amort, MONTH(NEW_Origination_Date), DAY(NEW_Origination_Date)),NEW_Interest_Only),0,Q213)</f>
        <v>0</v>
      </c>
      <c r="N214" s="78">
        <f t="shared" si="86"/>
        <v>0</v>
      </c>
      <c r="O214" s="78">
        <f>IFERROR(IF(K214=0,0, PPMT(NEW_I_Adj,'Loan Amort Table'!K214,NEW_Amort_Periods,NEW_Orig_Loan_Amount)),0)</f>
        <v>0</v>
      </c>
      <c r="P214" s="78">
        <f>IFERROR(IF(NEW_Amort = 0, -M214* NEW_I_Adj,IPMT(NEW_I_Adj,IF(K214 = 0, 1, K214),NEW_Amort_Periods,NEW_Orig_Loan_Amount)),0)</f>
        <v>0</v>
      </c>
      <c r="Q214" s="78">
        <f t="shared" si="87"/>
        <v>0</v>
      </c>
      <c r="S214">
        <f t="shared" si="80"/>
        <v>18</v>
      </c>
      <c r="T214">
        <f t="shared" si="88"/>
        <v>209</v>
      </c>
      <c r="U214" s="49">
        <f t="shared" si="93"/>
        <v>6331</v>
      </c>
      <c r="V214" s="78">
        <f t="shared" si="89"/>
        <v>0</v>
      </c>
      <c r="W214" s="78">
        <f t="shared" ca="1" si="94"/>
        <v>0</v>
      </c>
      <c r="X214" s="78">
        <f>IFERROR(IF(OR(T214=0, U214&gt;=Refi_Origination_Date),0, PPMT(Mezz_I_Adj,'Loan Amort Table'!T214,Mezz_Amort_Periods,Mezz_Orig_Loan_Amount)),0)</f>
        <v>0</v>
      </c>
      <c r="Y214" s="78" cm="1">
        <f t="array" aca="1" ref="Y214" ca="1">IFERROR(_xlfn.IFS(U214&gt;=Refi_Origination_Date,0, Mezz_Amort = 0, -V214 * Mezz_I_Adj, 1, IPMT(Mezz_I_Adj,IF(T214 = 0, 1, T214),Mezz_Amort_Periods,Mezz_Orig_Loan_Amount)),0)</f>
        <v>0</v>
      </c>
      <c r="Z214" s="78">
        <f t="shared" si="95"/>
        <v>0</v>
      </c>
      <c r="AB214">
        <f t="shared" si="81"/>
        <v>18</v>
      </c>
      <c r="AC214">
        <f t="shared" si="90"/>
        <v>209</v>
      </c>
      <c r="AD214" s="49">
        <f t="shared" si="96"/>
        <v>6331</v>
      </c>
      <c r="AE214" s="78">
        <f t="shared" si="91"/>
        <v>0</v>
      </c>
      <c r="AF214" s="78">
        <f t="shared" ca="1" si="97"/>
        <v>0</v>
      </c>
      <c r="AG214" s="78">
        <f ca="1">IFERROR(IF(AC214=0,0, PPMT(Refi_I_Adj,'Loan Amort Table'!AC214,Refi_Amort_Periods,Refi_Orig_Loan_Amount)),0)</f>
        <v>0</v>
      </c>
      <c r="AH214" s="78">
        <f t="shared" ca="1" si="82"/>
        <v>0</v>
      </c>
      <c r="AI214" s="78">
        <f t="shared" ca="1" si="98"/>
        <v>0</v>
      </c>
    </row>
    <row r="215" spans="1:35" x14ac:dyDescent="0.25">
      <c r="A215">
        <f t="shared" si="78"/>
        <v>18</v>
      </c>
      <c r="B215">
        <f t="shared" si="83"/>
        <v>210</v>
      </c>
      <c r="C215" s="49">
        <f t="shared" si="77"/>
        <v>6362</v>
      </c>
      <c r="D215" s="78">
        <f>IF(C215&gt;EDATE(DATE(YEAR(SED_Origination_Date)+ SED_Amort, MONTH(SED_Origination_Date), DAY(SED_Origination_Date)),SED_Interest_Only),0,H214)</f>
        <v>0</v>
      </c>
      <c r="E215" s="78">
        <f t="shared" si="84"/>
        <v>0</v>
      </c>
      <c r="F215" s="78">
        <f>IFERROR(IF(OR(B215=0, C215&gt;=Refi_Origination_Date),0, PPMT(SED_I_Adj,'Loan Amort Table'!B215,SED_Amort_Periods,SED_Orig_Loan_Amount)),0)</f>
        <v>0</v>
      </c>
      <c r="G215" s="78" cm="1">
        <f t="array" ref="G215">IFERROR(_xlfn.IFS(C215&gt;=Refi_Origination_Date, 0, SED_Amort = 0, -D215 * SED_I_Adj, 1, IPMT(SED_I_Adj,IF(B215 = 0, 1, B215),SED_Amort_Periods,SED_Orig_Loan_Amount)),0)</f>
        <v>0</v>
      </c>
      <c r="H215" s="78">
        <f t="shared" si="99"/>
        <v>0</v>
      </c>
      <c r="J215">
        <f t="shared" si="79"/>
        <v>18</v>
      </c>
      <c r="K215">
        <f t="shared" si="85"/>
        <v>210</v>
      </c>
      <c r="L215" s="49">
        <f t="shared" si="92"/>
        <v>6362</v>
      </c>
      <c r="M215" s="78">
        <f>IF(L215&gt;EDATE(DATE(YEAR(NEW_Origination_Date)+ NEW_Amort, MONTH(NEW_Origination_Date), DAY(NEW_Origination_Date)),NEW_Interest_Only),0,Q214)</f>
        <v>0</v>
      </c>
      <c r="N215" s="78">
        <f t="shared" si="86"/>
        <v>0</v>
      </c>
      <c r="O215" s="78">
        <f>IFERROR(IF(K215=0,0, PPMT(NEW_I_Adj,'Loan Amort Table'!K215,NEW_Amort_Periods,NEW_Orig_Loan_Amount)),0)</f>
        <v>0</v>
      </c>
      <c r="P215" s="78">
        <f>IFERROR(IF(NEW_Amort = 0, -M215* NEW_I_Adj,IPMT(NEW_I_Adj,IF(K215 = 0, 1, K215),NEW_Amort_Periods,NEW_Orig_Loan_Amount)),0)</f>
        <v>0</v>
      </c>
      <c r="Q215" s="78">
        <f t="shared" si="87"/>
        <v>0</v>
      </c>
      <c r="S215">
        <f t="shared" si="80"/>
        <v>18</v>
      </c>
      <c r="T215">
        <f t="shared" si="88"/>
        <v>210</v>
      </c>
      <c r="U215" s="49">
        <f t="shared" si="93"/>
        <v>6362</v>
      </c>
      <c r="V215" s="78">
        <f t="shared" si="89"/>
        <v>0</v>
      </c>
      <c r="W215" s="78">
        <f t="shared" ca="1" si="94"/>
        <v>0</v>
      </c>
      <c r="X215" s="78">
        <f>IFERROR(IF(OR(T215=0, U215&gt;=Refi_Origination_Date),0, PPMT(Mezz_I_Adj,'Loan Amort Table'!T215,Mezz_Amort_Periods,Mezz_Orig_Loan_Amount)),0)</f>
        <v>0</v>
      </c>
      <c r="Y215" s="78" cm="1">
        <f t="array" aca="1" ref="Y215" ca="1">IFERROR(_xlfn.IFS(U215&gt;=Refi_Origination_Date,0, Mezz_Amort = 0, -V215 * Mezz_I_Adj, 1, IPMT(Mezz_I_Adj,IF(T215 = 0, 1, T215),Mezz_Amort_Periods,Mezz_Orig_Loan_Amount)),0)</f>
        <v>0</v>
      </c>
      <c r="Z215" s="78">
        <f t="shared" si="95"/>
        <v>0</v>
      </c>
      <c r="AB215">
        <f t="shared" si="81"/>
        <v>18</v>
      </c>
      <c r="AC215">
        <f t="shared" si="90"/>
        <v>210</v>
      </c>
      <c r="AD215" s="49">
        <f t="shared" si="96"/>
        <v>6362</v>
      </c>
      <c r="AE215" s="78">
        <f t="shared" si="91"/>
        <v>0</v>
      </c>
      <c r="AF215" s="78">
        <f t="shared" ca="1" si="97"/>
        <v>0</v>
      </c>
      <c r="AG215" s="78">
        <f ca="1">IFERROR(IF(AC215=0,0, PPMT(Refi_I_Adj,'Loan Amort Table'!AC215,Refi_Amort_Periods,Refi_Orig_Loan_Amount)),0)</f>
        <v>0</v>
      </c>
      <c r="AH215" s="78">
        <f t="shared" ca="1" si="82"/>
        <v>0</v>
      </c>
      <c r="AI215" s="78">
        <f t="shared" ca="1" si="98"/>
        <v>0</v>
      </c>
    </row>
    <row r="216" spans="1:35" x14ac:dyDescent="0.25">
      <c r="A216">
        <f t="shared" si="78"/>
        <v>18</v>
      </c>
      <c r="B216">
        <f t="shared" si="83"/>
        <v>211</v>
      </c>
      <c r="C216" s="49">
        <f t="shared" si="77"/>
        <v>6392</v>
      </c>
      <c r="D216" s="78">
        <f>IF(C216&gt;EDATE(DATE(YEAR(SED_Origination_Date)+ SED_Amort, MONTH(SED_Origination_Date), DAY(SED_Origination_Date)),SED_Interest_Only),0,H215)</f>
        <v>0</v>
      </c>
      <c r="E216" s="78">
        <f t="shared" si="84"/>
        <v>0</v>
      </c>
      <c r="F216" s="78">
        <f>IFERROR(IF(OR(B216=0, C216&gt;=Refi_Origination_Date),0, PPMT(SED_I_Adj,'Loan Amort Table'!B216,SED_Amort_Periods,SED_Orig_Loan_Amount)),0)</f>
        <v>0</v>
      </c>
      <c r="G216" s="78" cm="1">
        <f t="array" ref="G216">IFERROR(_xlfn.IFS(C216&gt;=Refi_Origination_Date, 0, SED_Amort = 0, -D216 * SED_I_Adj, 1, IPMT(SED_I_Adj,IF(B216 = 0, 1, B216),SED_Amort_Periods,SED_Orig_Loan_Amount)),0)</f>
        <v>0</v>
      </c>
      <c r="H216" s="78">
        <f t="shared" si="99"/>
        <v>0</v>
      </c>
      <c r="J216">
        <f t="shared" si="79"/>
        <v>18</v>
      </c>
      <c r="K216">
        <f t="shared" si="85"/>
        <v>211</v>
      </c>
      <c r="L216" s="49">
        <f t="shared" si="92"/>
        <v>6392</v>
      </c>
      <c r="M216" s="78">
        <f>IF(L216&gt;EDATE(DATE(YEAR(NEW_Origination_Date)+ NEW_Amort, MONTH(NEW_Origination_Date), DAY(NEW_Origination_Date)),NEW_Interest_Only),0,Q215)</f>
        <v>0</v>
      </c>
      <c r="N216" s="78">
        <f t="shared" si="86"/>
        <v>0</v>
      </c>
      <c r="O216" s="78">
        <f>IFERROR(IF(K216=0,0, PPMT(NEW_I_Adj,'Loan Amort Table'!K216,NEW_Amort_Periods,NEW_Orig_Loan_Amount)),0)</f>
        <v>0</v>
      </c>
      <c r="P216" s="78">
        <f>IFERROR(IF(NEW_Amort = 0, -M216* NEW_I_Adj,IPMT(NEW_I_Adj,IF(K216 = 0, 1, K216),NEW_Amort_Periods,NEW_Orig_Loan_Amount)),0)</f>
        <v>0</v>
      </c>
      <c r="Q216" s="78">
        <f t="shared" si="87"/>
        <v>0</v>
      </c>
      <c r="S216">
        <f t="shared" si="80"/>
        <v>18</v>
      </c>
      <c r="T216">
        <f t="shared" si="88"/>
        <v>211</v>
      </c>
      <c r="U216" s="49">
        <f t="shared" si="93"/>
        <v>6392</v>
      </c>
      <c r="V216" s="78">
        <f t="shared" si="89"/>
        <v>0</v>
      </c>
      <c r="W216" s="78">
        <f t="shared" ca="1" si="94"/>
        <v>0</v>
      </c>
      <c r="X216" s="78">
        <f>IFERROR(IF(OR(T216=0, U216&gt;=Refi_Origination_Date),0, PPMT(Mezz_I_Adj,'Loan Amort Table'!T216,Mezz_Amort_Periods,Mezz_Orig_Loan_Amount)),0)</f>
        <v>0</v>
      </c>
      <c r="Y216" s="78" cm="1">
        <f t="array" aca="1" ref="Y216" ca="1">IFERROR(_xlfn.IFS(U216&gt;=Refi_Origination_Date,0, Mezz_Amort = 0, -V216 * Mezz_I_Adj, 1, IPMT(Mezz_I_Adj,IF(T216 = 0, 1, T216),Mezz_Amort_Periods,Mezz_Orig_Loan_Amount)),0)</f>
        <v>0</v>
      </c>
      <c r="Z216" s="78">
        <f t="shared" si="95"/>
        <v>0</v>
      </c>
      <c r="AB216">
        <f t="shared" si="81"/>
        <v>18</v>
      </c>
      <c r="AC216">
        <f t="shared" si="90"/>
        <v>211</v>
      </c>
      <c r="AD216" s="49">
        <f t="shared" si="96"/>
        <v>6392</v>
      </c>
      <c r="AE216" s="78">
        <f t="shared" si="91"/>
        <v>0</v>
      </c>
      <c r="AF216" s="78">
        <f t="shared" ca="1" si="97"/>
        <v>0</v>
      </c>
      <c r="AG216" s="78">
        <f ca="1">IFERROR(IF(AC216=0,0, PPMT(Refi_I_Adj,'Loan Amort Table'!AC216,Refi_Amort_Periods,Refi_Orig_Loan_Amount)),0)</f>
        <v>0</v>
      </c>
      <c r="AH216" s="78">
        <f t="shared" ca="1" si="82"/>
        <v>0</v>
      </c>
      <c r="AI216" s="78">
        <f t="shared" ca="1" si="98"/>
        <v>0</v>
      </c>
    </row>
    <row r="217" spans="1:35" x14ac:dyDescent="0.25">
      <c r="A217">
        <f t="shared" si="78"/>
        <v>18</v>
      </c>
      <c r="B217">
        <f t="shared" si="83"/>
        <v>212</v>
      </c>
      <c r="C217" s="49">
        <f t="shared" si="77"/>
        <v>6423</v>
      </c>
      <c r="D217" s="78">
        <f>IF(C217&gt;EDATE(DATE(YEAR(SED_Origination_Date)+ SED_Amort, MONTH(SED_Origination_Date), DAY(SED_Origination_Date)),SED_Interest_Only),0,H216)</f>
        <v>0</v>
      </c>
      <c r="E217" s="78">
        <f t="shared" si="84"/>
        <v>0</v>
      </c>
      <c r="F217" s="78">
        <f>IFERROR(IF(OR(B217=0, C217&gt;=Refi_Origination_Date),0, PPMT(SED_I_Adj,'Loan Amort Table'!B217,SED_Amort_Periods,SED_Orig_Loan_Amount)),0)</f>
        <v>0</v>
      </c>
      <c r="G217" s="78" cm="1">
        <f t="array" ref="G217">IFERROR(_xlfn.IFS(C217&gt;=Refi_Origination_Date, 0, SED_Amort = 0, -D217 * SED_I_Adj, 1, IPMT(SED_I_Adj,IF(B217 = 0, 1, B217),SED_Amort_Periods,SED_Orig_Loan_Amount)),0)</f>
        <v>0</v>
      </c>
      <c r="H217" s="78">
        <f t="shared" si="99"/>
        <v>0</v>
      </c>
      <c r="J217">
        <f t="shared" si="79"/>
        <v>18</v>
      </c>
      <c r="K217">
        <f t="shared" si="85"/>
        <v>212</v>
      </c>
      <c r="L217" s="49">
        <f t="shared" si="92"/>
        <v>6423</v>
      </c>
      <c r="M217" s="78">
        <f>IF(L217&gt;EDATE(DATE(YEAR(NEW_Origination_Date)+ NEW_Amort, MONTH(NEW_Origination_Date), DAY(NEW_Origination_Date)),NEW_Interest_Only),0,Q216)</f>
        <v>0</v>
      </c>
      <c r="N217" s="78">
        <f t="shared" si="86"/>
        <v>0</v>
      </c>
      <c r="O217" s="78">
        <f>IFERROR(IF(K217=0,0, PPMT(NEW_I_Adj,'Loan Amort Table'!K217,NEW_Amort_Periods,NEW_Orig_Loan_Amount)),0)</f>
        <v>0</v>
      </c>
      <c r="P217" s="78">
        <f>IFERROR(IF(NEW_Amort = 0, -M217* NEW_I_Adj,IPMT(NEW_I_Adj,IF(K217 = 0, 1, K217),NEW_Amort_Periods,NEW_Orig_Loan_Amount)),0)</f>
        <v>0</v>
      </c>
      <c r="Q217" s="78">
        <f t="shared" si="87"/>
        <v>0</v>
      </c>
      <c r="S217">
        <f t="shared" si="80"/>
        <v>18</v>
      </c>
      <c r="T217">
        <f t="shared" si="88"/>
        <v>212</v>
      </c>
      <c r="U217" s="49">
        <f t="shared" si="93"/>
        <v>6423</v>
      </c>
      <c r="V217" s="78">
        <f t="shared" si="89"/>
        <v>0</v>
      </c>
      <c r="W217" s="78">
        <f t="shared" ca="1" si="94"/>
        <v>0</v>
      </c>
      <c r="X217" s="78">
        <f>IFERROR(IF(OR(T217=0, U217&gt;=Refi_Origination_Date),0, PPMT(Mezz_I_Adj,'Loan Amort Table'!T217,Mezz_Amort_Periods,Mezz_Orig_Loan_Amount)),0)</f>
        <v>0</v>
      </c>
      <c r="Y217" s="78" cm="1">
        <f t="array" aca="1" ref="Y217" ca="1">IFERROR(_xlfn.IFS(U217&gt;=Refi_Origination_Date,0, Mezz_Amort = 0, -V217 * Mezz_I_Adj, 1, IPMT(Mezz_I_Adj,IF(T217 = 0, 1, T217),Mezz_Amort_Periods,Mezz_Orig_Loan_Amount)),0)</f>
        <v>0</v>
      </c>
      <c r="Z217" s="78">
        <f t="shared" si="95"/>
        <v>0</v>
      </c>
      <c r="AB217">
        <f t="shared" si="81"/>
        <v>18</v>
      </c>
      <c r="AC217">
        <f t="shared" si="90"/>
        <v>212</v>
      </c>
      <c r="AD217" s="49">
        <f t="shared" si="96"/>
        <v>6423</v>
      </c>
      <c r="AE217" s="78">
        <f t="shared" si="91"/>
        <v>0</v>
      </c>
      <c r="AF217" s="78">
        <f t="shared" ca="1" si="97"/>
        <v>0</v>
      </c>
      <c r="AG217" s="78">
        <f ca="1">IFERROR(IF(AC217=0,0, PPMT(Refi_I_Adj,'Loan Amort Table'!AC217,Refi_Amort_Periods,Refi_Orig_Loan_Amount)),0)</f>
        <v>0</v>
      </c>
      <c r="AH217" s="78">
        <f t="shared" ca="1" si="82"/>
        <v>0</v>
      </c>
      <c r="AI217" s="78">
        <f t="shared" ca="1" si="98"/>
        <v>0</v>
      </c>
    </row>
    <row r="218" spans="1:35" x14ac:dyDescent="0.25">
      <c r="A218">
        <f t="shared" si="78"/>
        <v>18</v>
      </c>
      <c r="B218">
        <f t="shared" si="83"/>
        <v>213</v>
      </c>
      <c r="C218" s="49">
        <f t="shared" si="77"/>
        <v>6454</v>
      </c>
      <c r="D218" s="78">
        <f>IF(C218&gt;EDATE(DATE(YEAR(SED_Origination_Date)+ SED_Amort, MONTH(SED_Origination_Date), DAY(SED_Origination_Date)),SED_Interest_Only),0,H217)</f>
        <v>0</v>
      </c>
      <c r="E218" s="78">
        <f t="shared" si="84"/>
        <v>0</v>
      </c>
      <c r="F218" s="78">
        <f>IFERROR(IF(OR(B218=0, C218&gt;=Refi_Origination_Date),0, PPMT(SED_I_Adj,'Loan Amort Table'!B218,SED_Amort_Periods,SED_Orig_Loan_Amount)),0)</f>
        <v>0</v>
      </c>
      <c r="G218" s="78" cm="1">
        <f t="array" ref="G218">IFERROR(_xlfn.IFS(C218&gt;=Refi_Origination_Date, 0, SED_Amort = 0, -D218 * SED_I_Adj, 1, IPMT(SED_I_Adj,IF(B218 = 0, 1, B218),SED_Amort_Periods,SED_Orig_Loan_Amount)),0)</f>
        <v>0</v>
      </c>
      <c r="H218" s="78">
        <f t="shared" si="99"/>
        <v>0</v>
      </c>
      <c r="J218">
        <f t="shared" si="79"/>
        <v>18</v>
      </c>
      <c r="K218">
        <f t="shared" si="85"/>
        <v>213</v>
      </c>
      <c r="L218" s="49">
        <f t="shared" si="92"/>
        <v>6454</v>
      </c>
      <c r="M218" s="78">
        <f>IF(L218&gt;EDATE(DATE(YEAR(NEW_Origination_Date)+ NEW_Amort, MONTH(NEW_Origination_Date), DAY(NEW_Origination_Date)),NEW_Interest_Only),0,Q217)</f>
        <v>0</v>
      </c>
      <c r="N218" s="78">
        <f t="shared" si="86"/>
        <v>0</v>
      </c>
      <c r="O218" s="78">
        <f>IFERROR(IF(K218=0,0, PPMT(NEW_I_Adj,'Loan Amort Table'!K218,NEW_Amort_Periods,NEW_Orig_Loan_Amount)),0)</f>
        <v>0</v>
      </c>
      <c r="P218" s="78">
        <f>IFERROR(IF(NEW_Amort = 0, -M218* NEW_I_Adj,IPMT(NEW_I_Adj,IF(K218 = 0, 1, K218),NEW_Amort_Periods,NEW_Orig_Loan_Amount)),0)</f>
        <v>0</v>
      </c>
      <c r="Q218" s="78">
        <f t="shared" si="87"/>
        <v>0</v>
      </c>
      <c r="S218">
        <f t="shared" si="80"/>
        <v>18</v>
      </c>
      <c r="T218">
        <f t="shared" si="88"/>
        <v>213</v>
      </c>
      <c r="U218" s="49">
        <f t="shared" si="93"/>
        <v>6454</v>
      </c>
      <c r="V218" s="78">
        <f t="shared" si="89"/>
        <v>0</v>
      </c>
      <c r="W218" s="78">
        <f t="shared" ca="1" si="94"/>
        <v>0</v>
      </c>
      <c r="X218" s="78">
        <f>IFERROR(IF(OR(T218=0, U218&gt;=Refi_Origination_Date),0, PPMT(Mezz_I_Adj,'Loan Amort Table'!T218,Mezz_Amort_Periods,Mezz_Orig_Loan_Amount)),0)</f>
        <v>0</v>
      </c>
      <c r="Y218" s="78" cm="1">
        <f t="array" aca="1" ref="Y218" ca="1">IFERROR(_xlfn.IFS(U218&gt;=Refi_Origination_Date,0, Mezz_Amort = 0, -V218 * Mezz_I_Adj, 1, IPMT(Mezz_I_Adj,IF(T218 = 0, 1, T218),Mezz_Amort_Periods,Mezz_Orig_Loan_Amount)),0)</f>
        <v>0</v>
      </c>
      <c r="Z218" s="78">
        <f t="shared" si="95"/>
        <v>0</v>
      </c>
      <c r="AB218">
        <f t="shared" si="81"/>
        <v>18</v>
      </c>
      <c r="AC218">
        <f t="shared" si="90"/>
        <v>213</v>
      </c>
      <c r="AD218" s="49">
        <f t="shared" si="96"/>
        <v>6454</v>
      </c>
      <c r="AE218" s="78">
        <f t="shared" si="91"/>
        <v>0</v>
      </c>
      <c r="AF218" s="78">
        <f t="shared" ca="1" si="97"/>
        <v>0</v>
      </c>
      <c r="AG218" s="78">
        <f ca="1">IFERROR(IF(AC218=0,0, PPMT(Refi_I_Adj,'Loan Amort Table'!AC218,Refi_Amort_Periods,Refi_Orig_Loan_Amount)),0)</f>
        <v>0</v>
      </c>
      <c r="AH218" s="78">
        <f t="shared" ca="1" si="82"/>
        <v>0</v>
      </c>
      <c r="AI218" s="78">
        <f t="shared" ca="1" si="98"/>
        <v>0</v>
      </c>
    </row>
    <row r="219" spans="1:35" x14ac:dyDescent="0.25">
      <c r="A219">
        <f t="shared" si="78"/>
        <v>18</v>
      </c>
      <c r="B219">
        <f t="shared" si="83"/>
        <v>214</v>
      </c>
      <c r="C219" s="49">
        <f t="shared" si="77"/>
        <v>6484</v>
      </c>
      <c r="D219" s="78">
        <f>IF(C219&gt;EDATE(DATE(YEAR(SED_Origination_Date)+ SED_Amort, MONTH(SED_Origination_Date), DAY(SED_Origination_Date)),SED_Interest_Only),0,H218)</f>
        <v>0</v>
      </c>
      <c r="E219" s="78">
        <f t="shared" si="84"/>
        <v>0</v>
      </c>
      <c r="F219" s="78">
        <f>IFERROR(IF(OR(B219=0, C219&gt;=Refi_Origination_Date),0, PPMT(SED_I_Adj,'Loan Amort Table'!B219,SED_Amort_Periods,SED_Orig_Loan_Amount)),0)</f>
        <v>0</v>
      </c>
      <c r="G219" s="78" cm="1">
        <f t="array" ref="G219">IFERROR(_xlfn.IFS(C219&gt;=Refi_Origination_Date, 0, SED_Amort = 0, -D219 * SED_I_Adj, 1, IPMT(SED_I_Adj,IF(B219 = 0, 1, B219),SED_Amort_Periods,SED_Orig_Loan_Amount)),0)</f>
        <v>0</v>
      </c>
      <c r="H219" s="78">
        <f t="shared" si="99"/>
        <v>0</v>
      </c>
      <c r="J219">
        <f t="shared" si="79"/>
        <v>18</v>
      </c>
      <c r="K219">
        <f t="shared" si="85"/>
        <v>214</v>
      </c>
      <c r="L219" s="49">
        <f t="shared" si="92"/>
        <v>6484</v>
      </c>
      <c r="M219" s="78">
        <f>IF(L219&gt;EDATE(DATE(YEAR(NEW_Origination_Date)+ NEW_Amort, MONTH(NEW_Origination_Date), DAY(NEW_Origination_Date)),NEW_Interest_Only),0,Q218)</f>
        <v>0</v>
      </c>
      <c r="N219" s="78">
        <f t="shared" si="86"/>
        <v>0</v>
      </c>
      <c r="O219" s="78">
        <f>IFERROR(IF(K219=0,0, PPMT(NEW_I_Adj,'Loan Amort Table'!K219,NEW_Amort_Periods,NEW_Orig_Loan_Amount)),0)</f>
        <v>0</v>
      </c>
      <c r="P219" s="78">
        <f>IFERROR(IF(NEW_Amort = 0, -M219* NEW_I_Adj,IPMT(NEW_I_Adj,IF(K219 = 0, 1, K219),NEW_Amort_Periods,NEW_Orig_Loan_Amount)),0)</f>
        <v>0</v>
      </c>
      <c r="Q219" s="78">
        <f t="shared" si="87"/>
        <v>0</v>
      </c>
      <c r="S219">
        <f t="shared" si="80"/>
        <v>18</v>
      </c>
      <c r="T219">
        <f t="shared" si="88"/>
        <v>214</v>
      </c>
      <c r="U219" s="49">
        <f t="shared" si="93"/>
        <v>6484</v>
      </c>
      <c r="V219" s="78">
        <f t="shared" si="89"/>
        <v>0</v>
      </c>
      <c r="W219" s="78">
        <f t="shared" ca="1" si="94"/>
        <v>0</v>
      </c>
      <c r="X219" s="78">
        <f>IFERROR(IF(OR(T219=0, U219&gt;=Refi_Origination_Date),0, PPMT(Mezz_I_Adj,'Loan Amort Table'!T219,Mezz_Amort_Periods,Mezz_Orig_Loan_Amount)),0)</f>
        <v>0</v>
      </c>
      <c r="Y219" s="78" cm="1">
        <f t="array" aca="1" ref="Y219" ca="1">IFERROR(_xlfn.IFS(U219&gt;=Refi_Origination_Date,0, Mezz_Amort = 0, -V219 * Mezz_I_Adj, 1, IPMT(Mezz_I_Adj,IF(T219 = 0, 1, T219),Mezz_Amort_Periods,Mezz_Orig_Loan_Amount)),0)</f>
        <v>0</v>
      </c>
      <c r="Z219" s="78">
        <f t="shared" si="95"/>
        <v>0</v>
      </c>
      <c r="AB219">
        <f t="shared" si="81"/>
        <v>18</v>
      </c>
      <c r="AC219">
        <f t="shared" si="90"/>
        <v>214</v>
      </c>
      <c r="AD219" s="49">
        <f t="shared" si="96"/>
        <v>6484</v>
      </c>
      <c r="AE219" s="78">
        <f t="shared" si="91"/>
        <v>0</v>
      </c>
      <c r="AF219" s="78">
        <f t="shared" ca="1" si="97"/>
        <v>0</v>
      </c>
      <c r="AG219" s="78">
        <f ca="1">IFERROR(IF(AC219=0,0, PPMT(Refi_I_Adj,'Loan Amort Table'!AC219,Refi_Amort_Periods,Refi_Orig_Loan_Amount)),0)</f>
        <v>0</v>
      </c>
      <c r="AH219" s="78">
        <f t="shared" ca="1" si="82"/>
        <v>0</v>
      </c>
      <c r="AI219" s="78">
        <f t="shared" ca="1" si="98"/>
        <v>0</v>
      </c>
    </row>
    <row r="220" spans="1:35" x14ac:dyDescent="0.25">
      <c r="A220">
        <f t="shared" si="78"/>
        <v>18</v>
      </c>
      <c r="B220">
        <f t="shared" si="83"/>
        <v>215</v>
      </c>
      <c r="C220" s="49">
        <f t="shared" si="77"/>
        <v>6515</v>
      </c>
      <c r="D220" s="78">
        <f>IF(C220&gt;EDATE(DATE(YEAR(SED_Origination_Date)+ SED_Amort, MONTH(SED_Origination_Date), DAY(SED_Origination_Date)),SED_Interest_Only),0,H219)</f>
        <v>0</v>
      </c>
      <c r="E220" s="78">
        <f t="shared" si="84"/>
        <v>0</v>
      </c>
      <c r="F220" s="78">
        <f>IFERROR(IF(OR(B220=0, C220&gt;=Refi_Origination_Date),0, PPMT(SED_I_Adj,'Loan Amort Table'!B220,SED_Amort_Periods,SED_Orig_Loan_Amount)),0)</f>
        <v>0</v>
      </c>
      <c r="G220" s="78" cm="1">
        <f t="array" ref="G220">IFERROR(_xlfn.IFS(C220&gt;=Refi_Origination_Date, 0, SED_Amort = 0, -D220 * SED_I_Adj, 1, IPMT(SED_I_Adj,IF(B220 = 0, 1, B220),SED_Amort_Periods,SED_Orig_Loan_Amount)),0)</f>
        <v>0</v>
      </c>
      <c r="H220" s="78">
        <f t="shared" si="99"/>
        <v>0</v>
      </c>
      <c r="J220">
        <f t="shared" si="79"/>
        <v>18</v>
      </c>
      <c r="K220">
        <f t="shared" si="85"/>
        <v>215</v>
      </c>
      <c r="L220" s="49">
        <f t="shared" si="92"/>
        <v>6515</v>
      </c>
      <c r="M220" s="78">
        <f>IF(L220&gt;EDATE(DATE(YEAR(NEW_Origination_Date)+ NEW_Amort, MONTH(NEW_Origination_Date), DAY(NEW_Origination_Date)),NEW_Interest_Only),0,Q219)</f>
        <v>0</v>
      </c>
      <c r="N220" s="78">
        <f t="shared" si="86"/>
        <v>0</v>
      </c>
      <c r="O220" s="78">
        <f>IFERROR(IF(K220=0,0, PPMT(NEW_I_Adj,'Loan Amort Table'!K220,NEW_Amort_Periods,NEW_Orig_Loan_Amount)),0)</f>
        <v>0</v>
      </c>
      <c r="P220" s="78">
        <f>IFERROR(IF(NEW_Amort = 0, -M220* NEW_I_Adj,IPMT(NEW_I_Adj,IF(K220 = 0, 1, K220),NEW_Amort_Periods,NEW_Orig_Loan_Amount)),0)</f>
        <v>0</v>
      </c>
      <c r="Q220" s="78">
        <f t="shared" si="87"/>
        <v>0</v>
      </c>
      <c r="S220">
        <f t="shared" si="80"/>
        <v>18</v>
      </c>
      <c r="T220">
        <f t="shared" si="88"/>
        <v>215</v>
      </c>
      <c r="U220" s="49">
        <f t="shared" si="93"/>
        <v>6515</v>
      </c>
      <c r="V220" s="78">
        <f t="shared" si="89"/>
        <v>0</v>
      </c>
      <c r="W220" s="78">
        <f t="shared" ca="1" si="94"/>
        <v>0</v>
      </c>
      <c r="X220" s="78">
        <f>IFERROR(IF(OR(T220=0, U220&gt;=Refi_Origination_Date),0, PPMT(Mezz_I_Adj,'Loan Amort Table'!T220,Mezz_Amort_Periods,Mezz_Orig_Loan_Amount)),0)</f>
        <v>0</v>
      </c>
      <c r="Y220" s="78" cm="1">
        <f t="array" aca="1" ref="Y220" ca="1">IFERROR(_xlfn.IFS(U220&gt;=Refi_Origination_Date,0, Mezz_Amort = 0, -V220 * Mezz_I_Adj, 1, IPMT(Mezz_I_Adj,IF(T220 = 0, 1, T220),Mezz_Amort_Periods,Mezz_Orig_Loan_Amount)),0)</f>
        <v>0</v>
      </c>
      <c r="Z220" s="78">
        <f t="shared" si="95"/>
        <v>0</v>
      </c>
      <c r="AB220">
        <f t="shared" si="81"/>
        <v>18</v>
      </c>
      <c r="AC220">
        <f t="shared" si="90"/>
        <v>215</v>
      </c>
      <c r="AD220" s="49">
        <f t="shared" si="96"/>
        <v>6515</v>
      </c>
      <c r="AE220" s="78">
        <f t="shared" si="91"/>
        <v>0</v>
      </c>
      <c r="AF220" s="78">
        <f t="shared" ca="1" si="97"/>
        <v>0</v>
      </c>
      <c r="AG220" s="78">
        <f ca="1">IFERROR(IF(AC220=0,0, PPMT(Refi_I_Adj,'Loan Amort Table'!AC220,Refi_Amort_Periods,Refi_Orig_Loan_Amount)),0)</f>
        <v>0</v>
      </c>
      <c r="AH220" s="78">
        <f t="shared" ca="1" si="82"/>
        <v>0</v>
      </c>
      <c r="AI220" s="78">
        <f t="shared" ca="1" si="98"/>
        <v>0</v>
      </c>
    </row>
    <row r="221" spans="1:35" x14ac:dyDescent="0.25">
      <c r="A221">
        <f t="shared" si="78"/>
        <v>18</v>
      </c>
      <c r="B221">
        <f t="shared" si="83"/>
        <v>216</v>
      </c>
      <c r="C221" s="49">
        <f t="shared" si="77"/>
        <v>6545</v>
      </c>
      <c r="D221" s="78">
        <f>IF(C221&gt;EDATE(DATE(YEAR(SED_Origination_Date)+ SED_Amort, MONTH(SED_Origination_Date), DAY(SED_Origination_Date)),SED_Interest_Only),0,H220)</f>
        <v>0</v>
      </c>
      <c r="E221" s="78">
        <f t="shared" si="84"/>
        <v>0</v>
      </c>
      <c r="F221" s="78">
        <f>IFERROR(IF(OR(B221=0, C221&gt;=Refi_Origination_Date),0, PPMT(SED_I_Adj,'Loan Amort Table'!B221,SED_Amort_Periods,SED_Orig_Loan_Amount)),0)</f>
        <v>0</v>
      </c>
      <c r="G221" s="78" cm="1">
        <f t="array" ref="G221">IFERROR(_xlfn.IFS(C221&gt;=Refi_Origination_Date, 0, SED_Amort = 0, -D221 * SED_I_Adj, 1, IPMT(SED_I_Adj,IF(B221 = 0, 1, B221),SED_Amort_Periods,SED_Orig_Loan_Amount)),0)</f>
        <v>0</v>
      </c>
      <c r="H221" s="78">
        <f t="shared" si="99"/>
        <v>0</v>
      </c>
      <c r="J221">
        <f t="shared" si="79"/>
        <v>18</v>
      </c>
      <c r="K221">
        <f t="shared" si="85"/>
        <v>216</v>
      </c>
      <c r="L221" s="49">
        <f t="shared" si="92"/>
        <v>6545</v>
      </c>
      <c r="M221" s="78">
        <f>IF(L221&gt;EDATE(DATE(YEAR(NEW_Origination_Date)+ NEW_Amort, MONTH(NEW_Origination_Date), DAY(NEW_Origination_Date)),NEW_Interest_Only),0,Q220)</f>
        <v>0</v>
      </c>
      <c r="N221" s="78">
        <f t="shared" si="86"/>
        <v>0</v>
      </c>
      <c r="O221" s="78">
        <f>IFERROR(IF(K221=0,0, PPMT(NEW_I_Adj,'Loan Amort Table'!K221,NEW_Amort_Periods,NEW_Orig_Loan_Amount)),0)</f>
        <v>0</v>
      </c>
      <c r="P221" s="78">
        <f>IFERROR(IF(NEW_Amort = 0, -M221* NEW_I_Adj,IPMT(NEW_I_Adj,IF(K221 = 0, 1, K221),NEW_Amort_Periods,NEW_Orig_Loan_Amount)),0)</f>
        <v>0</v>
      </c>
      <c r="Q221" s="78">
        <f t="shared" si="87"/>
        <v>0</v>
      </c>
      <c r="S221">
        <f t="shared" si="80"/>
        <v>18</v>
      </c>
      <c r="T221">
        <f t="shared" si="88"/>
        <v>216</v>
      </c>
      <c r="U221" s="49">
        <f t="shared" si="93"/>
        <v>6545</v>
      </c>
      <c r="V221" s="78">
        <f t="shared" si="89"/>
        <v>0</v>
      </c>
      <c r="W221" s="78">
        <f t="shared" ca="1" si="94"/>
        <v>0</v>
      </c>
      <c r="X221" s="78">
        <f>IFERROR(IF(OR(T221=0, U221&gt;=Refi_Origination_Date),0, PPMT(Mezz_I_Adj,'Loan Amort Table'!T221,Mezz_Amort_Periods,Mezz_Orig_Loan_Amount)),0)</f>
        <v>0</v>
      </c>
      <c r="Y221" s="78" cm="1">
        <f t="array" aca="1" ref="Y221" ca="1">IFERROR(_xlfn.IFS(U221&gt;=Refi_Origination_Date,0, Mezz_Amort = 0, -V221 * Mezz_I_Adj, 1, IPMT(Mezz_I_Adj,IF(T221 = 0, 1, T221),Mezz_Amort_Periods,Mezz_Orig_Loan_Amount)),0)</f>
        <v>0</v>
      </c>
      <c r="Z221" s="78">
        <f t="shared" si="95"/>
        <v>0</v>
      </c>
      <c r="AB221">
        <f t="shared" si="81"/>
        <v>18</v>
      </c>
      <c r="AC221">
        <f t="shared" si="90"/>
        <v>216</v>
      </c>
      <c r="AD221" s="49">
        <f t="shared" si="96"/>
        <v>6545</v>
      </c>
      <c r="AE221" s="78">
        <f t="shared" si="91"/>
        <v>0</v>
      </c>
      <c r="AF221" s="78">
        <f t="shared" ca="1" si="97"/>
        <v>0</v>
      </c>
      <c r="AG221" s="78">
        <f ca="1">IFERROR(IF(AC221=0,0, PPMT(Refi_I_Adj,'Loan Amort Table'!AC221,Refi_Amort_Periods,Refi_Orig_Loan_Amount)),0)</f>
        <v>0</v>
      </c>
      <c r="AH221" s="78">
        <f t="shared" ca="1" si="82"/>
        <v>0</v>
      </c>
      <c r="AI221" s="78">
        <f t="shared" ca="1" si="98"/>
        <v>0</v>
      </c>
    </row>
    <row r="222" spans="1:35" x14ac:dyDescent="0.25">
      <c r="A222">
        <f t="shared" si="78"/>
        <v>19</v>
      </c>
      <c r="B222">
        <f t="shared" si="83"/>
        <v>217</v>
      </c>
      <c r="C222" s="49">
        <f t="shared" si="77"/>
        <v>6576</v>
      </c>
      <c r="D222" s="78">
        <f>IF(C222&gt;EDATE(DATE(YEAR(SED_Origination_Date)+ SED_Amort, MONTH(SED_Origination_Date), DAY(SED_Origination_Date)),SED_Interest_Only),0,H221)</f>
        <v>0</v>
      </c>
      <c r="E222" s="78">
        <f t="shared" si="84"/>
        <v>0</v>
      </c>
      <c r="F222" s="78">
        <f>IFERROR(IF(OR(B222=0, C222&gt;=Refi_Origination_Date),0, PPMT(SED_I_Adj,'Loan Amort Table'!B222,SED_Amort_Periods,SED_Orig_Loan_Amount)),0)</f>
        <v>0</v>
      </c>
      <c r="G222" s="78" cm="1">
        <f t="array" ref="G222">IFERROR(_xlfn.IFS(C222&gt;=Refi_Origination_Date, 0, SED_Amort = 0, -D222 * SED_I_Adj, 1, IPMT(SED_I_Adj,IF(B222 = 0, 1, B222),SED_Amort_Periods,SED_Orig_Loan_Amount)),0)</f>
        <v>0</v>
      </c>
      <c r="H222" s="78">
        <f t="shared" si="99"/>
        <v>0</v>
      </c>
      <c r="J222">
        <f t="shared" si="79"/>
        <v>19</v>
      </c>
      <c r="K222">
        <f t="shared" si="85"/>
        <v>217</v>
      </c>
      <c r="L222" s="49">
        <f t="shared" si="92"/>
        <v>6576</v>
      </c>
      <c r="M222" s="78">
        <f>IF(L222&gt;EDATE(DATE(YEAR(NEW_Origination_Date)+ NEW_Amort, MONTH(NEW_Origination_Date), DAY(NEW_Origination_Date)),NEW_Interest_Only),0,Q221)</f>
        <v>0</v>
      </c>
      <c r="N222" s="78">
        <f t="shared" si="86"/>
        <v>0</v>
      </c>
      <c r="O222" s="78">
        <f>IFERROR(IF(K222=0,0, PPMT(NEW_I_Adj,'Loan Amort Table'!K222,NEW_Amort_Periods,NEW_Orig_Loan_Amount)),0)</f>
        <v>0</v>
      </c>
      <c r="P222" s="78">
        <f>IFERROR(IF(NEW_Amort = 0, -M222* NEW_I_Adj,IPMT(NEW_I_Adj,IF(K222 = 0, 1, K222),NEW_Amort_Periods,NEW_Orig_Loan_Amount)),0)</f>
        <v>0</v>
      </c>
      <c r="Q222" s="78">
        <f t="shared" si="87"/>
        <v>0</v>
      </c>
      <c r="S222">
        <f t="shared" si="80"/>
        <v>19</v>
      </c>
      <c r="T222">
        <f t="shared" si="88"/>
        <v>217</v>
      </c>
      <c r="U222" s="49">
        <f t="shared" si="93"/>
        <v>6576</v>
      </c>
      <c r="V222" s="78">
        <f t="shared" si="89"/>
        <v>0</v>
      </c>
      <c r="W222" s="78">
        <f t="shared" ca="1" si="94"/>
        <v>0</v>
      </c>
      <c r="X222" s="78">
        <f>IFERROR(IF(OR(T222=0, U222&gt;=Refi_Origination_Date),0, PPMT(Mezz_I_Adj,'Loan Amort Table'!T222,Mezz_Amort_Periods,Mezz_Orig_Loan_Amount)),0)</f>
        <v>0</v>
      </c>
      <c r="Y222" s="78" cm="1">
        <f t="array" aca="1" ref="Y222" ca="1">IFERROR(_xlfn.IFS(U222&gt;=Refi_Origination_Date,0, Mezz_Amort = 0, -V222 * Mezz_I_Adj, 1, IPMT(Mezz_I_Adj,IF(T222 = 0, 1, T222),Mezz_Amort_Periods,Mezz_Orig_Loan_Amount)),0)</f>
        <v>0</v>
      </c>
      <c r="Z222" s="78">
        <f t="shared" si="95"/>
        <v>0</v>
      </c>
      <c r="AB222">
        <f t="shared" si="81"/>
        <v>19</v>
      </c>
      <c r="AC222">
        <f t="shared" si="90"/>
        <v>217</v>
      </c>
      <c r="AD222" s="49">
        <f t="shared" si="96"/>
        <v>6576</v>
      </c>
      <c r="AE222" s="78">
        <f t="shared" si="91"/>
        <v>0</v>
      </c>
      <c r="AF222" s="78">
        <f t="shared" ca="1" si="97"/>
        <v>0</v>
      </c>
      <c r="AG222" s="78">
        <f ca="1">IFERROR(IF(AC222=0,0, PPMT(Refi_I_Adj,'Loan Amort Table'!AC222,Refi_Amort_Periods,Refi_Orig_Loan_Amount)),0)</f>
        <v>0</v>
      </c>
      <c r="AH222" s="78">
        <f t="shared" ca="1" si="82"/>
        <v>0</v>
      </c>
      <c r="AI222" s="78">
        <f t="shared" ca="1" si="98"/>
        <v>0</v>
      </c>
    </row>
    <row r="223" spans="1:35" x14ac:dyDescent="0.25">
      <c r="A223">
        <f t="shared" si="78"/>
        <v>19</v>
      </c>
      <c r="B223">
        <f t="shared" si="83"/>
        <v>218</v>
      </c>
      <c r="C223" s="49">
        <f t="shared" si="77"/>
        <v>6607</v>
      </c>
      <c r="D223" s="78">
        <f>IF(C223&gt;EDATE(DATE(YEAR(SED_Origination_Date)+ SED_Amort, MONTH(SED_Origination_Date), DAY(SED_Origination_Date)),SED_Interest_Only),0,H222)</f>
        <v>0</v>
      </c>
      <c r="E223" s="78">
        <f t="shared" si="84"/>
        <v>0</v>
      </c>
      <c r="F223" s="78">
        <f>IFERROR(IF(OR(B223=0, C223&gt;=Refi_Origination_Date),0, PPMT(SED_I_Adj,'Loan Amort Table'!B223,SED_Amort_Periods,SED_Orig_Loan_Amount)),0)</f>
        <v>0</v>
      </c>
      <c r="G223" s="78" cm="1">
        <f t="array" ref="G223">IFERROR(_xlfn.IFS(C223&gt;=Refi_Origination_Date, 0, SED_Amort = 0, -D223 * SED_I_Adj, 1, IPMT(SED_I_Adj,IF(B223 = 0, 1, B223),SED_Amort_Periods,SED_Orig_Loan_Amount)),0)</f>
        <v>0</v>
      </c>
      <c r="H223" s="78">
        <f t="shared" si="99"/>
        <v>0</v>
      </c>
      <c r="J223">
        <f t="shared" si="79"/>
        <v>19</v>
      </c>
      <c r="K223">
        <f t="shared" si="85"/>
        <v>218</v>
      </c>
      <c r="L223" s="49">
        <f t="shared" si="92"/>
        <v>6607</v>
      </c>
      <c r="M223" s="78">
        <f>IF(L223&gt;EDATE(DATE(YEAR(NEW_Origination_Date)+ NEW_Amort, MONTH(NEW_Origination_Date), DAY(NEW_Origination_Date)),NEW_Interest_Only),0,Q222)</f>
        <v>0</v>
      </c>
      <c r="N223" s="78">
        <f t="shared" si="86"/>
        <v>0</v>
      </c>
      <c r="O223" s="78">
        <f>IFERROR(IF(K223=0,0, PPMT(NEW_I_Adj,'Loan Amort Table'!K223,NEW_Amort_Periods,NEW_Orig_Loan_Amount)),0)</f>
        <v>0</v>
      </c>
      <c r="P223" s="78">
        <f>IFERROR(IF(NEW_Amort = 0, -M223* NEW_I_Adj,IPMT(NEW_I_Adj,IF(K223 = 0, 1, K223),NEW_Amort_Periods,NEW_Orig_Loan_Amount)),0)</f>
        <v>0</v>
      </c>
      <c r="Q223" s="78">
        <f t="shared" si="87"/>
        <v>0</v>
      </c>
      <c r="S223">
        <f t="shared" si="80"/>
        <v>19</v>
      </c>
      <c r="T223">
        <f t="shared" si="88"/>
        <v>218</v>
      </c>
      <c r="U223" s="49">
        <f t="shared" si="93"/>
        <v>6607</v>
      </c>
      <c r="V223" s="78">
        <f t="shared" si="89"/>
        <v>0</v>
      </c>
      <c r="W223" s="78">
        <f t="shared" ca="1" si="94"/>
        <v>0</v>
      </c>
      <c r="X223" s="78">
        <f>IFERROR(IF(OR(T223=0, U223&gt;=Refi_Origination_Date),0, PPMT(Mezz_I_Adj,'Loan Amort Table'!T223,Mezz_Amort_Periods,Mezz_Orig_Loan_Amount)),0)</f>
        <v>0</v>
      </c>
      <c r="Y223" s="78" cm="1">
        <f t="array" aca="1" ref="Y223" ca="1">IFERROR(_xlfn.IFS(U223&gt;=Refi_Origination_Date,0, Mezz_Amort = 0, -V223 * Mezz_I_Adj, 1, IPMT(Mezz_I_Adj,IF(T223 = 0, 1, T223),Mezz_Amort_Periods,Mezz_Orig_Loan_Amount)),0)</f>
        <v>0</v>
      </c>
      <c r="Z223" s="78">
        <f t="shared" si="95"/>
        <v>0</v>
      </c>
      <c r="AB223">
        <f t="shared" si="81"/>
        <v>19</v>
      </c>
      <c r="AC223">
        <f t="shared" si="90"/>
        <v>218</v>
      </c>
      <c r="AD223" s="49">
        <f t="shared" si="96"/>
        <v>6607</v>
      </c>
      <c r="AE223" s="78">
        <f t="shared" si="91"/>
        <v>0</v>
      </c>
      <c r="AF223" s="78">
        <f t="shared" ca="1" si="97"/>
        <v>0</v>
      </c>
      <c r="AG223" s="78">
        <f ca="1">IFERROR(IF(AC223=0,0, PPMT(Refi_I_Adj,'Loan Amort Table'!AC223,Refi_Amort_Periods,Refi_Orig_Loan_Amount)),0)</f>
        <v>0</v>
      </c>
      <c r="AH223" s="78">
        <f t="shared" ca="1" si="82"/>
        <v>0</v>
      </c>
      <c r="AI223" s="78">
        <f t="shared" ca="1" si="98"/>
        <v>0</v>
      </c>
    </row>
    <row r="224" spans="1:35" x14ac:dyDescent="0.25">
      <c r="A224">
        <f t="shared" si="78"/>
        <v>19</v>
      </c>
      <c r="B224">
        <f t="shared" si="83"/>
        <v>219</v>
      </c>
      <c r="C224" s="49">
        <f t="shared" si="77"/>
        <v>6635</v>
      </c>
      <c r="D224" s="78">
        <f>IF(C224&gt;EDATE(DATE(YEAR(SED_Origination_Date)+ SED_Amort, MONTH(SED_Origination_Date), DAY(SED_Origination_Date)),SED_Interest_Only),0,H223)</f>
        <v>0</v>
      </c>
      <c r="E224" s="78">
        <f t="shared" si="84"/>
        <v>0</v>
      </c>
      <c r="F224" s="78">
        <f>IFERROR(IF(OR(B224=0, C224&gt;=Refi_Origination_Date),0, PPMT(SED_I_Adj,'Loan Amort Table'!B224,SED_Amort_Periods,SED_Orig_Loan_Amount)),0)</f>
        <v>0</v>
      </c>
      <c r="G224" s="78" cm="1">
        <f t="array" ref="G224">IFERROR(_xlfn.IFS(C224&gt;=Refi_Origination_Date, 0, SED_Amort = 0, -D224 * SED_I_Adj, 1, IPMT(SED_I_Adj,IF(B224 = 0, 1, B224),SED_Amort_Periods,SED_Orig_Loan_Amount)),0)</f>
        <v>0</v>
      </c>
      <c r="H224" s="78">
        <f t="shared" si="99"/>
        <v>0</v>
      </c>
      <c r="J224">
        <f t="shared" si="79"/>
        <v>19</v>
      </c>
      <c r="K224">
        <f t="shared" si="85"/>
        <v>219</v>
      </c>
      <c r="L224" s="49">
        <f t="shared" si="92"/>
        <v>6635</v>
      </c>
      <c r="M224" s="78">
        <f>IF(L224&gt;EDATE(DATE(YEAR(NEW_Origination_Date)+ NEW_Amort, MONTH(NEW_Origination_Date), DAY(NEW_Origination_Date)),NEW_Interest_Only),0,Q223)</f>
        <v>0</v>
      </c>
      <c r="N224" s="78">
        <f t="shared" si="86"/>
        <v>0</v>
      </c>
      <c r="O224" s="78">
        <f>IFERROR(IF(K224=0,0, PPMT(NEW_I_Adj,'Loan Amort Table'!K224,NEW_Amort_Periods,NEW_Orig_Loan_Amount)),0)</f>
        <v>0</v>
      </c>
      <c r="P224" s="78">
        <f>IFERROR(IF(NEW_Amort = 0, -M224* NEW_I_Adj,IPMT(NEW_I_Adj,IF(K224 = 0, 1, K224),NEW_Amort_Periods,NEW_Orig_Loan_Amount)),0)</f>
        <v>0</v>
      </c>
      <c r="Q224" s="78">
        <f t="shared" si="87"/>
        <v>0</v>
      </c>
      <c r="S224">
        <f t="shared" si="80"/>
        <v>19</v>
      </c>
      <c r="T224">
        <f t="shared" si="88"/>
        <v>219</v>
      </c>
      <c r="U224" s="49">
        <f t="shared" si="93"/>
        <v>6635</v>
      </c>
      <c r="V224" s="78">
        <f t="shared" si="89"/>
        <v>0</v>
      </c>
      <c r="W224" s="78">
        <f t="shared" ca="1" si="94"/>
        <v>0</v>
      </c>
      <c r="X224" s="78">
        <f>IFERROR(IF(OR(T224=0, U224&gt;=Refi_Origination_Date),0, PPMT(Mezz_I_Adj,'Loan Amort Table'!T224,Mezz_Amort_Periods,Mezz_Orig_Loan_Amount)),0)</f>
        <v>0</v>
      </c>
      <c r="Y224" s="78" cm="1">
        <f t="array" aca="1" ref="Y224" ca="1">IFERROR(_xlfn.IFS(U224&gt;=Refi_Origination_Date,0, Mezz_Amort = 0, -V224 * Mezz_I_Adj, 1, IPMT(Mezz_I_Adj,IF(T224 = 0, 1, T224),Mezz_Amort_Periods,Mezz_Orig_Loan_Amount)),0)</f>
        <v>0</v>
      </c>
      <c r="Z224" s="78">
        <f t="shared" si="95"/>
        <v>0</v>
      </c>
      <c r="AB224">
        <f t="shared" si="81"/>
        <v>19</v>
      </c>
      <c r="AC224">
        <f t="shared" si="90"/>
        <v>219</v>
      </c>
      <c r="AD224" s="49">
        <f t="shared" si="96"/>
        <v>6635</v>
      </c>
      <c r="AE224" s="78">
        <f t="shared" si="91"/>
        <v>0</v>
      </c>
      <c r="AF224" s="78">
        <f t="shared" ca="1" si="97"/>
        <v>0</v>
      </c>
      <c r="AG224" s="78">
        <f ca="1">IFERROR(IF(AC224=0,0, PPMT(Refi_I_Adj,'Loan Amort Table'!AC224,Refi_Amort_Periods,Refi_Orig_Loan_Amount)),0)</f>
        <v>0</v>
      </c>
      <c r="AH224" s="78">
        <f t="shared" ca="1" si="82"/>
        <v>0</v>
      </c>
      <c r="AI224" s="78">
        <f t="shared" ca="1" si="98"/>
        <v>0</v>
      </c>
    </row>
    <row r="225" spans="1:35" x14ac:dyDescent="0.25">
      <c r="A225">
        <f t="shared" si="78"/>
        <v>19</v>
      </c>
      <c r="B225">
        <f t="shared" si="83"/>
        <v>220</v>
      </c>
      <c r="C225" s="49">
        <f t="shared" si="77"/>
        <v>6666</v>
      </c>
      <c r="D225" s="78">
        <f>IF(C225&gt;EDATE(DATE(YEAR(SED_Origination_Date)+ SED_Amort, MONTH(SED_Origination_Date), DAY(SED_Origination_Date)),SED_Interest_Only),0,H224)</f>
        <v>0</v>
      </c>
      <c r="E225" s="78">
        <f t="shared" si="84"/>
        <v>0</v>
      </c>
      <c r="F225" s="78">
        <f>IFERROR(IF(OR(B225=0, C225&gt;=Refi_Origination_Date),0, PPMT(SED_I_Adj,'Loan Amort Table'!B225,SED_Amort_Periods,SED_Orig_Loan_Amount)),0)</f>
        <v>0</v>
      </c>
      <c r="G225" s="78" cm="1">
        <f t="array" ref="G225">IFERROR(_xlfn.IFS(C225&gt;=Refi_Origination_Date, 0, SED_Amort = 0, -D225 * SED_I_Adj, 1, IPMT(SED_I_Adj,IF(B225 = 0, 1, B225),SED_Amort_Periods,SED_Orig_Loan_Amount)),0)</f>
        <v>0</v>
      </c>
      <c r="H225" s="78">
        <f t="shared" si="99"/>
        <v>0</v>
      </c>
      <c r="J225">
        <f t="shared" si="79"/>
        <v>19</v>
      </c>
      <c r="K225">
        <f t="shared" si="85"/>
        <v>220</v>
      </c>
      <c r="L225" s="49">
        <f t="shared" si="92"/>
        <v>6666</v>
      </c>
      <c r="M225" s="78">
        <f>IF(L225&gt;EDATE(DATE(YEAR(NEW_Origination_Date)+ NEW_Amort, MONTH(NEW_Origination_Date), DAY(NEW_Origination_Date)),NEW_Interest_Only),0,Q224)</f>
        <v>0</v>
      </c>
      <c r="N225" s="78">
        <f t="shared" si="86"/>
        <v>0</v>
      </c>
      <c r="O225" s="78">
        <f>IFERROR(IF(K225=0,0, PPMT(NEW_I_Adj,'Loan Amort Table'!K225,NEW_Amort_Periods,NEW_Orig_Loan_Amount)),0)</f>
        <v>0</v>
      </c>
      <c r="P225" s="78">
        <f>IFERROR(IF(NEW_Amort = 0, -M225* NEW_I_Adj,IPMT(NEW_I_Adj,IF(K225 = 0, 1, K225),NEW_Amort_Periods,NEW_Orig_Loan_Amount)),0)</f>
        <v>0</v>
      </c>
      <c r="Q225" s="78">
        <f t="shared" si="87"/>
        <v>0</v>
      </c>
      <c r="S225">
        <f t="shared" si="80"/>
        <v>19</v>
      </c>
      <c r="T225">
        <f t="shared" si="88"/>
        <v>220</v>
      </c>
      <c r="U225" s="49">
        <f t="shared" si="93"/>
        <v>6666</v>
      </c>
      <c r="V225" s="78">
        <f t="shared" si="89"/>
        <v>0</v>
      </c>
      <c r="W225" s="78">
        <f t="shared" ca="1" si="94"/>
        <v>0</v>
      </c>
      <c r="X225" s="78">
        <f>IFERROR(IF(OR(T225=0, U225&gt;=Refi_Origination_Date),0, PPMT(Mezz_I_Adj,'Loan Amort Table'!T225,Mezz_Amort_Periods,Mezz_Orig_Loan_Amount)),0)</f>
        <v>0</v>
      </c>
      <c r="Y225" s="78" cm="1">
        <f t="array" aca="1" ref="Y225" ca="1">IFERROR(_xlfn.IFS(U225&gt;=Refi_Origination_Date,0, Mezz_Amort = 0, -V225 * Mezz_I_Adj, 1, IPMT(Mezz_I_Adj,IF(T225 = 0, 1, T225),Mezz_Amort_Periods,Mezz_Orig_Loan_Amount)),0)</f>
        <v>0</v>
      </c>
      <c r="Z225" s="78">
        <f t="shared" si="95"/>
        <v>0</v>
      </c>
      <c r="AB225">
        <f t="shared" si="81"/>
        <v>19</v>
      </c>
      <c r="AC225">
        <f t="shared" si="90"/>
        <v>220</v>
      </c>
      <c r="AD225" s="49">
        <f t="shared" si="96"/>
        <v>6666</v>
      </c>
      <c r="AE225" s="78">
        <f t="shared" si="91"/>
        <v>0</v>
      </c>
      <c r="AF225" s="78">
        <f t="shared" ca="1" si="97"/>
        <v>0</v>
      </c>
      <c r="AG225" s="78">
        <f ca="1">IFERROR(IF(AC225=0,0, PPMT(Refi_I_Adj,'Loan Amort Table'!AC225,Refi_Amort_Periods,Refi_Orig_Loan_Amount)),0)</f>
        <v>0</v>
      </c>
      <c r="AH225" s="78">
        <f t="shared" ca="1" si="82"/>
        <v>0</v>
      </c>
      <c r="AI225" s="78">
        <f t="shared" ca="1" si="98"/>
        <v>0</v>
      </c>
    </row>
    <row r="226" spans="1:35" x14ac:dyDescent="0.25">
      <c r="A226">
        <f t="shared" si="78"/>
        <v>19</v>
      </c>
      <c r="B226">
        <f t="shared" si="83"/>
        <v>221</v>
      </c>
      <c r="C226" s="49">
        <f t="shared" si="77"/>
        <v>6696</v>
      </c>
      <c r="D226" s="78">
        <f>IF(C226&gt;EDATE(DATE(YEAR(SED_Origination_Date)+ SED_Amort, MONTH(SED_Origination_Date), DAY(SED_Origination_Date)),SED_Interest_Only),0,H225)</f>
        <v>0</v>
      </c>
      <c r="E226" s="78">
        <f t="shared" si="84"/>
        <v>0</v>
      </c>
      <c r="F226" s="78">
        <f>IFERROR(IF(OR(B226=0, C226&gt;=Refi_Origination_Date),0, PPMT(SED_I_Adj,'Loan Amort Table'!B226,SED_Amort_Periods,SED_Orig_Loan_Amount)),0)</f>
        <v>0</v>
      </c>
      <c r="G226" s="78" cm="1">
        <f t="array" ref="G226">IFERROR(_xlfn.IFS(C226&gt;=Refi_Origination_Date, 0, SED_Amort = 0, -D226 * SED_I_Adj, 1, IPMT(SED_I_Adj,IF(B226 = 0, 1, B226),SED_Amort_Periods,SED_Orig_Loan_Amount)),0)</f>
        <v>0</v>
      </c>
      <c r="H226" s="78">
        <f t="shared" si="99"/>
        <v>0</v>
      </c>
      <c r="J226">
        <f t="shared" si="79"/>
        <v>19</v>
      </c>
      <c r="K226">
        <f t="shared" si="85"/>
        <v>221</v>
      </c>
      <c r="L226" s="49">
        <f t="shared" si="92"/>
        <v>6696</v>
      </c>
      <c r="M226" s="78">
        <f>IF(L226&gt;EDATE(DATE(YEAR(NEW_Origination_Date)+ NEW_Amort, MONTH(NEW_Origination_Date), DAY(NEW_Origination_Date)),NEW_Interest_Only),0,Q225)</f>
        <v>0</v>
      </c>
      <c r="N226" s="78">
        <f t="shared" si="86"/>
        <v>0</v>
      </c>
      <c r="O226" s="78">
        <f>IFERROR(IF(K226=0,0, PPMT(NEW_I_Adj,'Loan Amort Table'!K226,NEW_Amort_Periods,NEW_Orig_Loan_Amount)),0)</f>
        <v>0</v>
      </c>
      <c r="P226" s="78">
        <f>IFERROR(IF(NEW_Amort = 0, -M226* NEW_I_Adj,IPMT(NEW_I_Adj,IF(K226 = 0, 1, K226),NEW_Amort_Periods,NEW_Orig_Loan_Amount)),0)</f>
        <v>0</v>
      </c>
      <c r="Q226" s="78">
        <f t="shared" si="87"/>
        <v>0</v>
      </c>
      <c r="S226">
        <f t="shared" si="80"/>
        <v>19</v>
      </c>
      <c r="T226">
        <f t="shared" si="88"/>
        <v>221</v>
      </c>
      <c r="U226" s="49">
        <f t="shared" si="93"/>
        <v>6696</v>
      </c>
      <c r="V226" s="78">
        <f t="shared" si="89"/>
        <v>0</v>
      </c>
      <c r="W226" s="78">
        <f t="shared" ca="1" si="94"/>
        <v>0</v>
      </c>
      <c r="X226" s="78">
        <f>IFERROR(IF(OR(T226=0, U226&gt;=Refi_Origination_Date),0, PPMT(Mezz_I_Adj,'Loan Amort Table'!T226,Mezz_Amort_Periods,Mezz_Orig_Loan_Amount)),0)</f>
        <v>0</v>
      </c>
      <c r="Y226" s="78" cm="1">
        <f t="array" aca="1" ref="Y226" ca="1">IFERROR(_xlfn.IFS(U226&gt;=Refi_Origination_Date,0, Mezz_Amort = 0, -V226 * Mezz_I_Adj, 1, IPMT(Mezz_I_Adj,IF(T226 = 0, 1, T226),Mezz_Amort_Periods,Mezz_Orig_Loan_Amount)),0)</f>
        <v>0</v>
      </c>
      <c r="Z226" s="78">
        <f t="shared" si="95"/>
        <v>0</v>
      </c>
      <c r="AB226">
        <f t="shared" si="81"/>
        <v>19</v>
      </c>
      <c r="AC226">
        <f t="shared" si="90"/>
        <v>221</v>
      </c>
      <c r="AD226" s="49">
        <f t="shared" si="96"/>
        <v>6696</v>
      </c>
      <c r="AE226" s="78">
        <f t="shared" si="91"/>
        <v>0</v>
      </c>
      <c r="AF226" s="78">
        <f t="shared" ca="1" si="97"/>
        <v>0</v>
      </c>
      <c r="AG226" s="78">
        <f ca="1">IFERROR(IF(AC226=0,0, PPMT(Refi_I_Adj,'Loan Amort Table'!AC226,Refi_Amort_Periods,Refi_Orig_Loan_Amount)),0)</f>
        <v>0</v>
      </c>
      <c r="AH226" s="78">
        <f t="shared" ca="1" si="82"/>
        <v>0</v>
      </c>
      <c r="AI226" s="78">
        <f t="shared" ca="1" si="98"/>
        <v>0</v>
      </c>
    </row>
    <row r="227" spans="1:35" x14ac:dyDescent="0.25">
      <c r="A227">
        <f t="shared" si="78"/>
        <v>19</v>
      </c>
      <c r="B227">
        <f t="shared" si="83"/>
        <v>222</v>
      </c>
      <c r="C227" s="49">
        <f t="shared" si="77"/>
        <v>6727</v>
      </c>
      <c r="D227" s="78">
        <f>IF(C227&gt;EDATE(DATE(YEAR(SED_Origination_Date)+ SED_Amort, MONTH(SED_Origination_Date), DAY(SED_Origination_Date)),SED_Interest_Only),0,H226)</f>
        <v>0</v>
      </c>
      <c r="E227" s="78">
        <f t="shared" si="84"/>
        <v>0</v>
      </c>
      <c r="F227" s="78">
        <f>IFERROR(IF(OR(B227=0, C227&gt;=Refi_Origination_Date),0, PPMT(SED_I_Adj,'Loan Amort Table'!B227,SED_Amort_Periods,SED_Orig_Loan_Amount)),0)</f>
        <v>0</v>
      </c>
      <c r="G227" s="78" cm="1">
        <f t="array" ref="G227">IFERROR(_xlfn.IFS(C227&gt;=Refi_Origination_Date, 0, SED_Amort = 0, -D227 * SED_I_Adj, 1, IPMT(SED_I_Adj,IF(B227 = 0, 1, B227),SED_Amort_Periods,SED_Orig_Loan_Amount)),0)</f>
        <v>0</v>
      </c>
      <c r="H227" s="78">
        <f t="shared" si="99"/>
        <v>0</v>
      </c>
      <c r="J227">
        <f t="shared" si="79"/>
        <v>19</v>
      </c>
      <c r="K227">
        <f t="shared" si="85"/>
        <v>222</v>
      </c>
      <c r="L227" s="49">
        <f t="shared" si="92"/>
        <v>6727</v>
      </c>
      <c r="M227" s="78">
        <f>IF(L227&gt;EDATE(DATE(YEAR(NEW_Origination_Date)+ NEW_Amort, MONTH(NEW_Origination_Date), DAY(NEW_Origination_Date)),NEW_Interest_Only),0,Q226)</f>
        <v>0</v>
      </c>
      <c r="N227" s="78">
        <f t="shared" si="86"/>
        <v>0</v>
      </c>
      <c r="O227" s="78">
        <f>IFERROR(IF(K227=0,0, PPMT(NEW_I_Adj,'Loan Amort Table'!K227,NEW_Amort_Periods,NEW_Orig_Loan_Amount)),0)</f>
        <v>0</v>
      </c>
      <c r="P227" s="78">
        <f>IFERROR(IF(NEW_Amort = 0, -M227* NEW_I_Adj,IPMT(NEW_I_Adj,IF(K227 = 0, 1, K227),NEW_Amort_Periods,NEW_Orig_Loan_Amount)),0)</f>
        <v>0</v>
      </c>
      <c r="Q227" s="78">
        <f t="shared" si="87"/>
        <v>0</v>
      </c>
      <c r="S227">
        <f t="shared" si="80"/>
        <v>19</v>
      </c>
      <c r="T227">
        <f t="shared" si="88"/>
        <v>222</v>
      </c>
      <c r="U227" s="49">
        <f t="shared" si="93"/>
        <v>6727</v>
      </c>
      <c r="V227" s="78">
        <f t="shared" si="89"/>
        <v>0</v>
      </c>
      <c r="W227" s="78">
        <f t="shared" ca="1" si="94"/>
        <v>0</v>
      </c>
      <c r="X227" s="78">
        <f>IFERROR(IF(OR(T227=0, U227&gt;=Refi_Origination_Date),0, PPMT(Mezz_I_Adj,'Loan Amort Table'!T227,Mezz_Amort_Periods,Mezz_Orig_Loan_Amount)),0)</f>
        <v>0</v>
      </c>
      <c r="Y227" s="78" cm="1">
        <f t="array" aca="1" ref="Y227" ca="1">IFERROR(_xlfn.IFS(U227&gt;=Refi_Origination_Date,0, Mezz_Amort = 0, -V227 * Mezz_I_Adj, 1, IPMT(Mezz_I_Adj,IF(T227 = 0, 1, T227),Mezz_Amort_Periods,Mezz_Orig_Loan_Amount)),0)</f>
        <v>0</v>
      </c>
      <c r="Z227" s="78">
        <f t="shared" si="95"/>
        <v>0</v>
      </c>
      <c r="AB227">
        <f t="shared" si="81"/>
        <v>19</v>
      </c>
      <c r="AC227">
        <f t="shared" si="90"/>
        <v>222</v>
      </c>
      <c r="AD227" s="49">
        <f t="shared" si="96"/>
        <v>6727</v>
      </c>
      <c r="AE227" s="78">
        <f t="shared" si="91"/>
        <v>0</v>
      </c>
      <c r="AF227" s="78">
        <f t="shared" ca="1" si="97"/>
        <v>0</v>
      </c>
      <c r="AG227" s="78">
        <f ca="1">IFERROR(IF(AC227=0,0, PPMT(Refi_I_Adj,'Loan Amort Table'!AC227,Refi_Amort_Periods,Refi_Orig_Loan_Amount)),0)</f>
        <v>0</v>
      </c>
      <c r="AH227" s="78">
        <f t="shared" ca="1" si="82"/>
        <v>0</v>
      </c>
      <c r="AI227" s="78">
        <f t="shared" ca="1" si="98"/>
        <v>0</v>
      </c>
    </row>
    <row r="228" spans="1:35" x14ac:dyDescent="0.25">
      <c r="A228">
        <f t="shared" si="78"/>
        <v>19</v>
      </c>
      <c r="B228">
        <f t="shared" si="83"/>
        <v>223</v>
      </c>
      <c r="C228" s="49">
        <f t="shared" si="77"/>
        <v>6757</v>
      </c>
      <c r="D228" s="78">
        <f>IF(C228&gt;EDATE(DATE(YEAR(SED_Origination_Date)+ SED_Amort, MONTH(SED_Origination_Date), DAY(SED_Origination_Date)),SED_Interest_Only),0,H227)</f>
        <v>0</v>
      </c>
      <c r="E228" s="78">
        <f t="shared" si="84"/>
        <v>0</v>
      </c>
      <c r="F228" s="78">
        <f>IFERROR(IF(OR(B228=0, C228&gt;=Refi_Origination_Date),0, PPMT(SED_I_Adj,'Loan Amort Table'!B228,SED_Amort_Periods,SED_Orig_Loan_Amount)),0)</f>
        <v>0</v>
      </c>
      <c r="G228" s="78" cm="1">
        <f t="array" ref="G228">IFERROR(_xlfn.IFS(C228&gt;=Refi_Origination_Date, 0, SED_Amort = 0, -D228 * SED_I_Adj, 1, IPMT(SED_I_Adj,IF(B228 = 0, 1, B228),SED_Amort_Periods,SED_Orig_Loan_Amount)),0)</f>
        <v>0</v>
      </c>
      <c r="H228" s="78">
        <f t="shared" si="99"/>
        <v>0</v>
      </c>
      <c r="J228">
        <f t="shared" si="79"/>
        <v>19</v>
      </c>
      <c r="K228">
        <f t="shared" si="85"/>
        <v>223</v>
      </c>
      <c r="L228" s="49">
        <f t="shared" si="92"/>
        <v>6757</v>
      </c>
      <c r="M228" s="78">
        <f>IF(L228&gt;EDATE(DATE(YEAR(NEW_Origination_Date)+ NEW_Amort, MONTH(NEW_Origination_Date), DAY(NEW_Origination_Date)),NEW_Interest_Only),0,Q227)</f>
        <v>0</v>
      </c>
      <c r="N228" s="78">
        <f t="shared" si="86"/>
        <v>0</v>
      </c>
      <c r="O228" s="78">
        <f>IFERROR(IF(K228=0,0, PPMT(NEW_I_Adj,'Loan Amort Table'!K228,NEW_Amort_Periods,NEW_Orig_Loan_Amount)),0)</f>
        <v>0</v>
      </c>
      <c r="P228" s="78">
        <f>IFERROR(IF(NEW_Amort = 0, -M228* NEW_I_Adj,IPMT(NEW_I_Adj,IF(K228 = 0, 1, K228),NEW_Amort_Periods,NEW_Orig_Loan_Amount)),0)</f>
        <v>0</v>
      </c>
      <c r="Q228" s="78">
        <f t="shared" si="87"/>
        <v>0</v>
      </c>
      <c r="S228">
        <f t="shared" si="80"/>
        <v>19</v>
      </c>
      <c r="T228">
        <f t="shared" si="88"/>
        <v>223</v>
      </c>
      <c r="U228" s="49">
        <f t="shared" si="93"/>
        <v>6757</v>
      </c>
      <c r="V228" s="78">
        <f t="shared" si="89"/>
        <v>0</v>
      </c>
      <c r="W228" s="78">
        <f t="shared" ca="1" si="94"/>
        <v>0</v>
      </c>
      <c r="X228" s="78">
        <f>IFERROR(IF(OR(T228=0, U228&gt;=Refi_Origination_Date),0, PPMT(Mezz_I_Adj,'Loan Amort Table'!T228,Mezz_Amort_Periods,Mezz_Orig_Loan_Amount)),0)</f>
        <v>0</v>
      </c>
      <c r="Y228" s="78" cm="1">
        <f t="array" aca="1" ref="Y228" ca="1">IFERROR(_xlfn.IFS(U228&gt;=Refi_Origination_Date,0, Mezz_Amort = 0, -V228 * Mezz_I_Adj, 1, IPMT(Mezz_I_Adj,IF(T228 = 0, 1, T228),Mezz_Amort_Periods,Mezz_Orig_Loan_Amount)),0)</f>
        <v>0</v>
      </c>
      <c r="Z228" s="78">
        <f t="shared" si="95"/>
        <v>0</v>
      </c>
      <c r="AB228">
        <f t="shared" si="81"/>
        <v>19</v>
      </c>
      <c r="AC228">
        <f t="shared" si="90"/>
        <v>223</v>
      </c>
      <c r="AD228" s="49">
        <f t="shared" si="96"/>
        <v>6757</v>
      </c>
      <c r="AE228" s="78">
        <f t="shared" si="91"/>
        <v>0</v>
      </c>
      <c r="AF228" s="78">
        <f t="shared" ca="1" si="97"/>
        <v>0</v>
      </c>
      <c r="AG228" s="78">
        <f ca="1">IFERROR(IF(AC228=0,0, PPMT(Refi_I_Adj,'Loan Amort Table'!AC228,Refi_Amort_Periods,Refi_Orig_Loan_Amount)),0)</f>
        <v>0</v>
      </c>
      <c r="AH228" s="78">
        <f t="shared" ca="1" si="82"/>
        <v>0</v>
      </c>
      <c r="AI228" s="78">
        <f t="shared" ca="1" si="98"/>
        <v>0</v>
      </c>
    </row>
    <row r="229" spans="1:35" x14ac:dyDescent="0.25">
      <c r="A229">
        <f t="shared" si="78"/>
        <v>19</v>
      </c>
      <c r="B229">
        <f t="shared" si="83"/>
        <v>224</v>
      </c>
      <c r="C229" s="49">
        <f t="shared" si="77"/>
        <v>6788</v>
      </c>
      <c r="D229" s="78">
        <f>IF(C229&gt;EDATE(DATE(YEAR(SED_Origination_Date)+ SED_Amort, MONTH(SED_Origination_Date), DAY(SED_Origination_Date)),SED_Interest_Only),0,H228)</f>
        <v>0</v>
      </c>
      <c r="E229" s="78">
        <f t="shared" si="84"/>
        <v>0</v>
      </c>
      <c r="F229" s="78">
        <f>IFERROR(IF(OR(B229=0, C229&gt;=Refi_Origination_Date),0, PPMT(SED_I_Adj,'Loan Amort Table'!B229,SED_Amort_Periods,SED_Orig_Loan_Amount)),0)</f>
        <v>0</v>
      </c>
      <c r="G229" s="78" cm="1">
        <f t="array" ref="G229">IFERROR(_xlfn.IFS(C229&gt;=Refi_Origination_Date, 0, SED_Amort = 0, -D229 * SED_I_Adj, 1, IPMT(SED_I_Adj,IF(B229 = 0, 1, B229),SED_Amort_Periods,SED_Orig_Loan_Amount)),0)</f>
        <v>0</v>
      </c>
      <c r="H229" s="78">
        <f t="shared" si="99"/>
        <v>0</v>
      </c>
      <c r="J229">
        <f t="shared" si="79"/>
        <v>19</v>
      </c>
      <c r="K229">
        <f t="shared" si="85"/>
        <v>224</v>
      </c>
      <c r="L229" s="49">
        <f t="shared" si="92"/>
        <v>6788</v>
      </c>
      <c r="M229" s="78">
        <f>IF(L229&gt;EDATE(DATE(YEAR(NEW_Origination_Date)+ NEW_Amort, MONTH(NEW_Origination_Date), DAY(NEW_Origination_Date)),NEW_Interest_Only),0,Q228)</f>
        <v>0</v>
      </c>
      <c r="N229" s="78">
        <f t="shared" si="86"/>
        <v>0</v>
      </c>
      <c r="O229" s="78">
        <f>IFERROR(IF(K229=0,0, PPMT(NEW_I_Adj,'Loan Amort Table'!K229,NEW_Amort_Periods,NEW_Orig_Loan_Amount)),0)</f>
        <v>0</v>
      </c>
      <c r="P229" s="78">
        <f>IFERROR(IF(NEW_Amort = 0, -M229* NEW_I_Adj,IPMT(NEW_I_Adj,IF(K229 = 0, 1, K229),NEW_Amort_Periods,NEW_Orig_Loan_Amount)),0)</f>
        <v>0</v>
      </c>
      <c r="Q229" s="78">
        <f t="shared" si="87"/>
        <v>0</v>
      </c>
      <c r="S229">
        <f t="shared" si="80"/>
        <v>19</v>
      </c>
      <c r="T229">
        <f t="shared" si="88"/>
        <v>224</v>
      </c>
      <c r="U229" s="49">
        <f t="shared" si="93"/>
        <v>6788</v>
      </c>
      <c r="V229" s="78">
        <f t="shared" si="89"/>
        <v>0</v>
      </c>
      <c r="W229" s="78">
        <f t="shared" ca="1" si="94"/>
        <v>0</v>
      </c>
      <c r="X229" s="78">
        <f>IFERROR(IF(OR(T229=0, U229&gt;=Refi_Origination_Date),0, PPMT(Mezz_I_Adj,'Loan Amort Table'!T229,Mezz_Amort_Periods,Mezz_Orig_Loan_Amount)),0)</f>
        <v>0</v>
      </c>
      <c r="Y229" s="78" cm="1">
        <f t="array" aca="1" ref="Y229" ca="1">IFERROR(_xlfn.IFS(U229&gt;=Refi_Origination_Date,0, Mezz_Amort = 0, -V229 * Mezz_I_Adj, 1, IPMT(Mezz_I_Adj,IF(T229 = 0, 1, T229),Mezz_Amort_Periods,Mezz_Orig_Loan_Amount)),0)</f>
        <v>0</v>
      </c>
      <c r="Z229" s="78">
        <f t="shared" si="95"/>
        <v>0</v>
      </c>
      <c r="AB229">
        <f t="shared" si="81"/>
        <v>19</v>
      </c>
      <c r="AC229">
        <f t="shared" si="90"/>
        <v>224</v>
      </c>
      <c r="AD229" s="49">
        <f t="shared" si="96"/>
        <v>6788</v>
      </c>
      <c r="AE229" s="78">
        <f t="shared" si="91"/>
        <v>0</v>
      </c>
      <c r="AF229" s="78">
        <f t="shared" ca="1" si="97"/>
        <v>0</v>
      </c>
      <c r="AG229" s="78">
        <f ca="1">IFERROR(IF(AC229=0,0, PPMT(Refi_I_Adj,'Loan Amort Table'!AC229,Refi_Amort_Periods,Refi_Orig_Loan_Amount)),0)</f>
        <v>0</v>
      </c>
      <c r="AH229" s="78">
        <f t="shared" ca="1" si="82"/>
        <v>0</v>
      </c>
      <c r="AI229" s="78">
        <f t="shared" ca="1" si="98"/>
        <v>0</v>
      </c>
    </row>
    <row r="230" spans="1:35" x14ac:dyDescent="0.25">
      <c r="A230">
        <f t="shared" si="78"/>
        <v>19</v>
      </c>
      <c r="B230">
        <f t="shared" si="83"/>
        <v>225</v>
      </c>
      <c r="C230" s="49">
        <f t="shared" si="77"/>
        <v>6819</v>
      </c>
      <c r="D230" s="78">
        <f>IF(C230&gt;EDATE(DATE(YEAR(SED_Origination_Date)+ SED_Amort, MONTH(SED_Origination_Date), DAY(SED_Origination_Date)),SED_Interest_Only),0,H229)</f>
        <v>0</v>
      </c>
      <c r="E230" s="78">
        <f t="shared" si="84"/>
        <v>0</v>
      </c>
      <c r="F230" s="78">
        <f>IFERROR(IF(OR(B230=0, C230&gt;=Refi_Origination_Date),0, PPMT(SED_I_Adj,'Loan Amort Table'!B230,SED_Amort_Periods,SED_Orig_Loan_Amount)),0)</f>
        <v>0</v>
      </c>
      <c r="G230" s="78" cm="1">
        <f t="array" ref="G230">IFERROR(_xlfn.IFS(C230&gt;=Refi_Origination_Date, 0, SED_Amort = 0, -D230 * SED_I_Adj, 1, IPMT(SED_I_Adj,IF(B230 = 0, 1, B230),SED_Amort_Periods,SED_Orig_Loan_Amount)),0)</f>
        <v>0</v>
      </c>
      <c r="H230" s="78">
        <f t="shared" si="99"/>
        <v>0</v>
      </c>
      <c r="J230">
        <f t="shared" si="79"/>
        <v>19</v>
      </c>
      <c r="K230">
        <f t="shared" si="85"/>
        <v>225</v>
      </c>
      <c r="L230" s="49">
        <f t="shared" si="92"/>
        <v>6819</v>
      </c>
      <c r="M230" s="78">
        <f>IF(L230&gt;EDATE(DATE(YEAR(NEW_Origination_Date)+ NEW_Amort, MONTH(NEW_Origination_Date), DAY(NEW_Origination_Date)),NEW_Interest_Only),0,Q229)</f>
        <v>0</v>
      </c>
      <c r="N230" s="78">
        <f t="shared" si="86"/>
        <v>0</v>
      </c>
      <c r="O230" s="78">
        <f>IFERROR(IF(K230=0,0, PPMT(NEW_I_Adj,'Loan Amort Table'!K230,NEW_Amort_Periods,NEW_Orig_Loan_Amount)),0)</f>
        <v>0</v>
      </c>
      <c r="P230" s="78">
        <f>IFERROR(IF(NEW_Amort = 0, -M230* NEW_I_Adj,IPMT(NEW_I_Adj,IF(K230 = 0, 1, K230),NEW_Amort_Periods,NEW_Orig_Loan_Amount)),0)</f>
        <v>0</v>
      </c>
      <c r="Q230" s="78">
        <f t="shared" si="87"/>
        <v>0</v>
      </c>
      <c r="S230">
        <f t="shared" si="80"/>
        <v>19</v>
      </c>
      <c r="T230">
        <f t="shared" si="88"/>
        <v>225</v>
      </c>
      <c r="U230" s="49">
        <f t="shared" si="93"/>
        <v>6819</v>
      </c>
      <c r="V230" s="78">
        <f t="shared" si="89"/>
        <v>0</v>
      </c>
      <c r="W230" s="78">
        <f t="shared" ca="1" si="94"/>
        <v>0</v>
      </c>
      <c r="X230" s="78">
        <f>IFERROR(IF(OR(T230=0, U230&gt;=Refi_Origination_Date),0, PPMT(Mezz_I_Adj,'Loan Amort Table'!T230,Mezz_Amort_Periods,Mezz_Orig_Loan_Amount)),0)</f>
        <v>0</v>
      </c>
      <c r="Y230" s="78" cm="1">
        <f t="array" aca="1" ref="Y230" ca="1">IFERROR(_xlfn.IFS(U230&gt;=Refi_Origination_Date,0, Mezz_Amort = 0, -V230 * Mezz_I_Adj, 1, IPMT(Mezz_I_Adj,IF(T230 = 0, 1, T230),Mezz_Amort_Periods,Mezz_Orig_Loan_Amount)),0)</f>
        <v>0</v>
      </c>
      <c r="Z230" s="78">
        <f t="shared" si="95"/>
        <v>0</v>
      </c>
      <c r="AB230">
        <f t="shared" si="81"/>
        <v>19</v>
      </c>
      <c r="AC230">
        <f t="shared" si="90"/>
        <v>225</v>
      </c>
      <c r="AD230" s="49">
        <f t="shared" si="96"/>
        <v>6819</v>
      </c>
      <c r="AE230" s="78">
        <f t="shared" si="91"/>
        <v>0</v>
      </c>
      <c r="AF230" s="78">
        <f t="shared" ca="1" si="97"/>
        <v>0</v>
      </c>
      <c r="AG230" s="78">
        <f ca="1">IFERROR(IF(AC230=0,0, PPMT(Refi_I_Adj,'Loan Amort Table'!AC230,Refi_Amort_Periods,Refi_Orig_Loan_Amount)),0)</f>
        <v>0</v>
      </c>
      <c r="AH230" s="78">
        <f t="shared" ca="1" si="82"/>
        <v>0</v>
      </c>
      <c r="AI230" s="78">
        <f t="shared" ca="1" si="98"/>
        <v>0</v>
      </c>
    </row>
    <row r="231" spans="1:35" x14ac:dyDescent="0.25">
      <c r="A231">
        <f t="shared" si="78"/>
        <v>19</v>
      </c>
      <c r="B231">
        <f t="shared" si="83"/>
        <v>226</v>
      </c>
      <c r="C231" s="49">
        <f t="shared" si="77"/>
        <v>6849</v>
      </c>
      <c r="D231" s="78">
        <f>IF(C231&gt;EDATE(DATE(YEAR(SED_Origination_Date)+ SED_Amort, MONTH(SED_Origination_Date), DAY(SED_Origination_Date)),SED_Interest_Only),0,H230)</f>
        <v>0</v>
      </c>
      <c r="E231" s="78">
        <f t="shared" si="84"/>
        <v>0</v>
      </c>
      <c r="F231" s="78">
        <f>IFERROR(IF(OR(B231=0, C231&gt;=Refi_Origination_Date),0, PPMT(SED_I_Adj,'Loan Amort Table'!B231,SED_Amort_Periods,SED_Orig_Loan_Amount)),0)</f>
        <v>0</v>
      </c>
      <c r="G231" s="78" cm="1">
        <f t="array" ref="G231">IFERROR(_xlfn.IFS(C231&gt;=Refi_Origination_Date, 0, SED_Amort = 0, -D231 * SED_I_Adj, 1, IPMT(SED_I_Adj,IF(B231 = 0, 1, B231),SED_Amort_Periods,SED_Orig_Loan_Amount)),0)</f>
        <v>0</v>
      </c>
      <c r="H231" s="78">
        <f t="shared" si="99"/>
        <v>0</v>
      </c>
      <c r="J231">
        <f t="shared" si="79"/>
        <v>19</v>
      </c>
      <c r="K231">
        <f t="shared" si="85"/>
        <v>226</v>
      </c>
      <c r="L231" s="49">
        <f t="shared" si="92"/>
        <v>6849</v>
      </c>
      <c r="M231" s="78">
        <f>IF(L231&gt;EDATE(DATE(YEAR(NEW_Origination_Date)+ NEW_Amort, MONTH(NEW_Origination_Date), DAY(NEW_Origination_Date)),NEW_Interest_Only),0,Q230)</f>
        <v>0</v>
      </c>
      <c r="N231" s="78">
        <f t="shared" si="86"/>
        <v>0</v>
      </c>
      <c r="O231" s="78">
        <f>IFERROR(IF(K231=0,0, PPMT(NEW_I_Adj,'Loan Amort Table'!K231,NEW_Amort_Periods,NEW_Orig_Loan_Amount)),0)</f>
        <v>0</v>
      </c>
      <c r="P231" s="78">
        <f>IFERROR(IF(NEW_Amort = 0, -M231* NEW_I_Adj,IPMT(NEW_I_Adj,IF(K231 = 0, 1, K231),NEW_Amort_Periods,NEW_Orig_Loan_Amount)),0)</f>
        <v>0</v>
      </c>
      <c r="Q231" s="78">
        <f t="shared" si="87"/>
        <v>0</v>
      </c>
      <c r="S231">
        <f t="shared" si="80"/>
        <v>19</v>
      </c>
      <c r="T231">
        <f t="shared" si="88"/>
        <v>226</v>
      </c>
      <c r="U231" s="49">
        <f t="shared" si="93"/>
        <v>6849</v>
      </c>
      <c r="V231" s="78">
        <f t="shared" si="89"/>
        <v>0</v>
      </c>
      <c r="W231" s="78">
        <f t="shared" ca="1" si="94"/>
        <v>0</v>
      </c>
      <c r="X231" s="78">
        <f>IFERROR(IF(OR(T231=0, U231&gt;=Refi_Origination_Date),0, PPMT(Mezz_I_Adj,'Loan Amort Table'!T231,Mezz_Amort_Periods,Mezz_Orig_Loan_Amount)),0)</f>
        <v>0</v>
      </c>
      <c r="Y231" s="78" cm="1">
        <f t="array" aca="1" ref="Y231" ca="1">IFERROR(_xlfn.IFS(U231&gt;=Refi_Origination_Date,0, Mezz_Amort = 0, -V231 * Mezz_I_Adj, 1, IPMT(Mezz_I_Adj,IF(T231 = 0, 1, T231),Mezz_Amort_Periods,Mezz_Orig_Loan_Amount)),0)</f>
        <v>0</v>
      </c>
      <c r="Z231" s="78">
        <f t="shared" si="95"/>
        <v>0</v>
      </c>
      <c r="AB231">
        <f t="shared" si="81"/>
        <v>19</v>
      </c>
      <c r="AC231">
        <f t="shared" si="90"/>
        <v>226</v>
      </c>
      <c r="AD231" s="49">
        <f t="shared" si="96"/>
        <v>6849</v>
      </c>
      <c r="AE231" s="78">
        <f t="shared" si="91"/>
        <v>0</v>
      </c>
      <c r="AF231" s="78">
        <f t="shared" ca="1" si="97"/>
        <v>0</v>
      </c>
      <c r="AG231" s="78">
        <f ca="1">IFERROR(IF(AC231=0,0, PPMT(Refi_I_Adj,'Loan Amort Table'!AC231,Refi_Amort_Periods,Refi_Orig_Loan_Amount)),0)</f>
        <v>0</v>
      </c>
      <c r="AH231" s="78">
        <f t="shared" ca="1" si="82"/>
        <v>0</v>
      </c>
      <c r="AI231" s="78">
        <f t="shared" ca="1" si="98"/>
        <v>0</v>
      </c>
    </row>
    <row r="232" spans="1:35" x14ac:dyDescent="0.25">
      <c r="A232">
        <f t="shared" si="78"/>
        <v>19</v>
      </c>
      <c r="B232">
        <f t="shared" si="83"/>
        <v>227</v>
      </c>
      <c r="C232" s="49">
        <f t="shared" si="77"/>
        <v>6880</v>
      </c>
      <c r="D232" s="78">
        <f>IF(C232&gt;EDATE(DATE(YEAR(SED_Origination_Date)+ SED_Amort, MONTH(SED_Origination_Date), DAY(SED_Origination_Date)),SED_Interest_Only),0,H231)</f>
        <v>0</v>
      </c>
      <c r="E232" s="78">
        <f t="shared" si="84"/>
        <v>0</v>
      </c>
      <c r="F232" s="78">
        <f>IFERROR(IF(OR(B232=0, C232&gt;=Refi_Origination_Date),0, PPMT(SED_I_Adj,'Loan Amort Table'!B232,SED_Amort_Periods,SED_Orig_Loan_Amount)),0)</f>
        <v>0</v>
      </c>
      <c r="G232" s="78" cm="1">
        <f t="array" ref="G232">IFERROR(_xlfn.IFS(C232&gt;=Refi_Origination_Date, 0, SED_Amort = 0, -D232 * SED_I_Adj, 1, IPMT(SED_I_Adj,IF(B232 = 0, 1, B232),SED_Amort_Periods,SED_Orig_Loan_Amount)),0)</f>
        <v>0</v>
      </c>
      <c r="H232" s="78">
        <f t="shared" si="99"/>
        <v>0</v>
      </c>
      <c r="J232">
        <f t="shared" si="79"/>
        <v>19</v>
      </c>
      <c r="K232">
        <f t="shared" si="85"/>
        <v>227</v>
      </c>
      <c r="L232" s="49">
        <f t="shared" si="92"/>
        <v>6880</v>
      </c>
      <c r="M232" s="78">
        <f>IF(L232&gt;EDATE(DATE(YEAR(NEW_Origination_Date)+ NEW_Amort, MONTH(NEW_Origination_Date), DAY(NEW_Origination_Date)),NEW_Interest_Only),0,Q231)</f>
        <v>0</v>
      </c>
      <c r="N232" s="78">
        <f t="shared" si="86"/>
        <v>0</v>
      </c>
      <c r="O232" s="78">
        <f>IFERROR(IF(K232=0,0, PPMT(NEW_I_Adj,'Loan Amort Table'!K232,NEW_Amort_Periods,NEW_Orig_Loan_Amount)),0)</f>
        <v>0</v>
      </c>
      <c r="P232" s="78">
        <f>IFERROR(IF(NEW_Amort = 0, -M232* NEW_I_Adj,IPMT(NEW_I_Adj,IF(K232 = 0, 1, K232),NEW_Amort_Periods,NEW_Orig_Loan_Amount)),0)</f>
        <v>0</v>
      </c>
      <c r="Q232" s="78">
        <f t="shared" si="87"/>
        <v>0</v>
      </c>
      <c r="S232">
        <f t="shared" si="80"/>
        <v>19</v>
      </c>
      <c r="T232">
        <f t="shared" si="88"/>
        <v>227</v>
      </c>
      <c r="U232" s="49">
        <f t="shared" si="93"/>
        <v>6880</v>
      </c>
      <c r="V232" s="78">
        <f t="shared" si="89"/>
        <v>0</v>
      </c>
      <c r="W232" s="78">
        <f t="shared" ca="1" si="94"/>
        <v>0</v>
      </c>
      <c r="X232" s="78">
        <f>IFERROR(IF(OR(T232=0, U232&gt;=Refi_Origination_Date),0, PPMT(Mezz_I_Adj,'Loan Amort Table'!T232,Mezz_Amort_Periods,Mezz_Orig_Loan_Amount)),0)</f>
        <v>0</v>
      </c>
      <c r="Y232" s="78" cm="1">
        <f t="array" aca="1" ref="Y232" ca="1">IFERROR(_xlfn.IFS(U232&gt;=Refi_Origination_Date,0, Mezz_Amort = 0, -V232 * Mezz_I_Adj, 1, IPMT(Mezz_I_Adj,IF(T232 = 0, 1, T232),Mezz_Amort_Periods,Mezz_Orig_Loan_Amount)),0)</f>
        <v>0</v>
      </c>
      <c r="Z232" s="78">
        <f t="shared" si="95"/>
        <v>0</v>
      </c>
      <c r="AB232">
        <f t="shared" si="81"/>
        <v>19</v>
      </c>
      <c r="AC232">
        <f t="shared" si="90"/>
        <v>227</v>
      </c>
      <c r="AD232" s="49">
        <f t="shared" si="96"/>
        <v>6880</v>
      </c>
      <c r="AE232" s="78">
        <f t="shared" si="91"/>
        <v>0</v>
      </c>
      <c r="AF232" s="78">
        <f t="shared" ca="1" si="97"/>
        <v>0</v>
      </c>
      <c r="AG232" s="78">
        <f ca="1">IFERROR(IF(AC232=0,0, PPMT(Refi_I_Adj,'Loan Amort Table'!AC232,Refi_Amort_Periods,Refi_Orig_Loan_Amount)),0)</f>
        <v>0</v>
      </c>
      <c r="AH232" s="78">
        <f t="shared" ca="1" si="82"/>
        <v>0</v>
      </c>
      <c r="AI232" s="78">
        <f t="shared" ca="1" si="98"/>
        <v>0</v>
      </c>
    </row>
    <row r="233" spans="1:35" x14ac:dyDescent="0.25">
      <c r="A233">
        <f t="shared" si="78"/>
        <v>19</v>
      </c>
      <c r="B233">
        <f t="shared" si="83"/>
        <v>228</v>
      </c>
      <c r="C233" s="49">
        <f t="shared" si="77"/>
        <v>6910</v>
      </c>
      <c r="D233" s="78">
        <f>IF(C233&gt;EDATE(DATE(YEAR(SED_Origination_Date)+ SED_Amort, MONTH(SED_Origination_Date), DAY(SED_Origination_Date)),SED_Interest_Only),0,H232)</f>
        <v>0</v>
      </c>
      <c r="E233" s="78">
        <f t="shared" si="84"/>
        <v>0</v>
      </c>
      <c r="F233" s="78">
        <f>IFERROR(IF(OR(B233=0, C233&gt;=Refi_Origination_Date),0, PPMT(SED_I_Adj,'Loan Amort Table'!B233,SED_Amort_Periods,SED_Orig_Loan_Amount)),0)</f>
        <v>0</v>
      </c>
      <c r="G233" s="78" cm="1">
        <f t="array" ref="G233">IFERROR(_xlfn.IFS(C233&gt;=Refi_Origination_Date, 0, SED_Amort = 0, -D233 * SED_I_Adj, 1, IPMT(SED_I_Adj,IF(B233 = 0, 1, B233),SED_Amort_Periods,SED_Orig_Loan_Amount)),0)</f>
        <v>0</v>
      </c>
      <c r="H233" s="78">
        <f t="shared" si="99"/>
        <v>0</v>
      </c>
      <c r="J233">
        <f t="shared" si="79"/>
        <v>19</v>
      </c>
      <c r="K233">
        <f t="shared" si="85"/>
        <v>228</v>
      </c>
      <c r="L233" s="49">
        <f t="shared" si="92"/>
        <v>6910</v>
      </c>
      <c r="M233" s="78">
        <f>IF(L233&gt;EDATE(DATE(YEAR(NEW_Origination_Date)+ NEW_Amort, MONTH(NEW_Origination_Date), DAY(NEW_Origination_Date)),NEW_Interest_Only),0,Q232)</f>
        <v>0</v>
      </c>
      <c r="N233" s="78">
        <f t="shared" si="86"/>
        <v>0</v>
      </c>
      <c r="O233" s="78">
        <f>IFERROR(IF(K233=0,0, PPMT(NEW_I_Adj,'Loan Amort Table'!K233,NEW_Amort_Periods,NEW_Orig_Loan_Amount)),0)</f>
        <v>0</v>
      </c>
      <c r="P233" s="78">
        <f>IFERROR(IF(NEW_Amort = 0, -M233* NEW_I_Adj,IPMT(NEW_I_Adj,IF(K233 = 0, 1, K233),NEW_Amort_Periods,NEW_Orig_Loan_Amount)),0)</f>
        <v>0</v>
      </c>
      <c r="Q233" s="78">
        <f t="shared" si="87"/>
        <v>0</v>
      </c>
      <c r="S233">
        <f t="shared" si="80"/>
        <v>19</v>
      </c>
      <c r="T233">
        <f t="shared" si="88"/>
        <v>228</v>
      </c>
      <c r="U233" s="49">
        <f t="shared" si="93"/>
        <v>6910</v>
      </c>
      <c r="V233" s="78">
        <f t="shared" si="89"/>
        <v>0</v>
      </c>
      <c r="W233" s="78">
        <f t="shared" ca="1" si="94"/>
        <v>0</v>
      </c>
      <c r="X233" s="78">
        <f>IFERROR(IF(OR(T233=0, U233&gt;=Refi_Origination_Date),0, PPMT(Mezz_I_Adj,'Loan Amort Table'!T233,Mezz_Amort_Periods,Mezz_Orig_Loan_Amount)),0)</f>
        <v>0</v>
      </c>
      <c r="Y233" s="78" cm="1">
        <f t="array" aca="1" ref="Y233" ca="1">IFERROR(_xlfn.IFS(U233&gt;=Refi_Origination_Date,0, Mezz_Amort = 0, -V233 * Mezz_I_Adj, 1, IPMT(Mezz_I_Adj,IF(T233 = 0, 1, T233),Mezz_Amort_Periods,Mezz_Orig_Loan_Amount)),0)</f>
        <v>0</v>
      </c>
      <c r="Z233" s="78">
        <f t="shared" si="95"/>
        <v>0</v>
      </c>
      <c r="AB233">
        <f t="shared" si="81"/>
        <v>19</v>
      </c>
      <c r="AC233">
        <f t="shared" si="90"/>
        <v>228</v>
      </c>
      <c r="AD233" s="49">
        <f t="shared" si="96"/>
        <v>6910</v>
      </c>
      <c r="AE233" s="78">
        <f t="shared" si="91"/>
        <v>0</v>
      </c>
      <c r="AF233" s="78">
        <f t="shared" ca="1" si="97"/>
        <v>0</v>
      </c>
      <c r="AG233" s="78">
        <f ca="1">IFERROR(IF(AC233=0,0, PPMT(Refi_I_Adj,'Loan Amort Table'!AC233,Refi_Amort_Periods,Refi_Orig_Loan_Amount)),0)</f>
        <v>0</v>
      </c>
      <c r="AH233" s="78">
        <f t="shared" ca="1" si="82"/>
        <v>0</v>
      </c>
      <c r="AI233" s="78">
        <f t="shared" ca="1" si="98"/>
        <v>0</v>
      </c>
    </row>
    <row r="234" spans="1:35" x14ac:dyDescent="0.25">
      <c r="A234">
        <f t="shared" si="78"/>
        <v>20</v>
      </c>
      <c r="B234">
        <f t="shared" si="83"/>
        <v>229</v>
      </c>
      <c r="C234" s="49">
        <f t="shared" si="77"/>
        <v>6941</v>
      </c>
      <c r="D234" s="78">
        <f>IF(C234&gt;EDATE(DATE(YEAR(SED_Origination_Date)+ SED_Amort, MONTH(SED_Origination_Date), DAY(SED_Origination_Date)),SED_Interest_Only),0,H233)</f>
        <v>0</v>
      </c>
      <c r="E234" s="78">
        <f t="shared" si="84"/>
        <v>0</v>
      </c>
      <c r="F234" s="78">
        <f>IFERROR(IF(OR(B234=0, C234&gt;=Refi_Origination_Date),0, PPMT(SED_I_Adj,'Loan Amort Table'!B234,SED_Amort_Periods,SED_Orig_Loan_Amount)),0)</f>
        <v>0</v>
      </c>
      <c r="G234" s="78" cm="1">
        <f t="array" ref="G234">IFERROR(_xlfn.IFS(C234&gt;=Refi_Origination_Date, 0, SED_Amort = 0, -D234 * SED_I_Adj, 1, IPMT(SED_I_Adj,IF(B234 = 0, 1, B234),SED_Amort_Periods,SED_Orig_Loan_Amount)),0)</f>
        <v>0</v>
      </c>
      <c r="H234" s="78">
        <f t="shared" si="99"/>
        <v>0</v>
      </c>
      <c r="J234">
        <f t="shared" si="79"/>
        <v>20</v>
      </c>
      <c r="K234">
        <f t="shared" si="85"/>
        <v>229</v>
      </c>
      <c r="L234" s="49">
        <f t="shared" si="92"/>
        <v>6941</v>
      </c>
      <c r="M234" s="78">
        <f>IF(L234&gt;EDATE(DATE(YEAR(NEW_Origination_Date)+ NEW_Amort, MONTH(NEW_Origination_Date), DAY(NEW_Origination_Date)),NEW_Interest_Only),0,Q233)</f>
        <v>0</v>
      </c>
      <c r="N234" s="78">
        <f t="shared" si="86"/>
        <v>0</v>
      </c>
      <c r="O234" s="78">
        <f>IFERROR(IF(K234=0,0, PPMT(NEW_I_Adj,'Loan Amort Table'!K234,NEW_Amort_Periods,NEW_Orig_Loan_Amount)),0)</f>
        <v>0</v>
      </c>
      <c r="P234" s="78">
        <f>IFERROR(IF(NEW_Amort = 0, -M234* NEW_I_Adj,IPMT(NEW_I_Adj,IF(K234 = 0, 1, K234),NEW_Amort_Periods,NEW_Orig_Loan_Amount)),0)</f>
        <v>0</v>
      </c>
      <c r="Q234" s="78">
        <f t="shared" si="87"/>
        <v>0</v>
      </c>
      <c r="S234">
        <f t="shared" si="80"/>
        <v>20</v>
      </c>
      <c r="T234">
        <f t="shared" si="88"/>
        <v>229</v>
      </c>
      <c r="U234" s="49">
        <f t="shared" si="93"/>
        <v>6941</v>
      </c>
      <c r="V234" s="78">
        <f t="shared" si="89"/>
        <v>0</v>
      </c>
      <c r="W234" s="78">
        <f t="shared" ca="1" si="94"/>
        <v>0</v>
      </c>
      <c r="X234" s="78">
        <f>IFERROR(IF(OR(T234=0, U234&gt;=Refi_Origination_Date),0, PPMT(Mezz_I_Adj,'Loan Amort Table'!T234,Mezz_Amort_Periods,Mezz_Orig_Loan_Amount)),0)</f>
        <v>0</v>
      </c>
      <c r="Y234" s="78" cm="1">
        <f t="array" aca="1" ref="Y234" ca="1">IFERROR(_xlfn.IFS(U234&gt;=Refi_Origination_Date,0, Mezz_Amort = 0, -V234 * Mezz_I_Adj, 1, IPMT(Mezz_I_Adj,IF(T234 = 0, 1, T234),Mezz_Amort_Periods,Mezz_Orig_Loan_Amount)),0)</f>
        <v>0</v>
      </c>
      <c r="Z234" s="78">
        <f t="shared" si="95"/>
        <v>0</v>
      </c>
      <c r="AB234">
        <f t="shared" si="81"/>
        <v>20</v>
      </c>
      <c r="AC234">
        <f t="shared" si="90"/>
        <v>229</v>
      </c>
      <c r="AD234" s="49">
        <f t="shared" si="96"/>
        <v>6941</v>
      </c>
      <c r="AE234" s="78">
        <f t="shared" si="91"/>
        <v>0</v>
      </c>
      <c r="AF234" s="78">
        <f t="shared" ca="1" si="97"/>
        <v>0</v>
      </c>
      <c r="AG234" s="78">
        <f ca="1">IFERROR(IF(AC234=0,0, PPMT(Refi_I_Adj,'Loan Amort Table'!AC234,Refi_Amort_Periods,Refi_Orig_Loan_Amount)),0)</f>
        <v>0</v>
      </c>
      <c r="AH234" s="78">
        <f t="shared" ca="1" si="82"/>
        <v>0</v>
      </c>
      <c r="AI234" s="78">
        <f t="shared" ca="1" si="98"/>
        <v>0</v>
      </c>
    </row>
    <row r="235" spans="1:35" x14ac:dyDescent="0.25">
      <c r="A235">
        <f t="shared" si="78"/>
        <v>20</v>
      </c>
      <c r="B235">
        <f t="shared" si="83"/>
        <v>230</v>
      </c>
      <c r="C235" s="49">
        <f t="shared" si="77"/>
        <v>6972</v>
      </c>
      <c r="D235" s="78">
        <f>IF(C235&gt;EDATE(DATE(YEAR(SED_Origination_Date)+ SED_Amort, MONTH(SED_Origination_Date), DAY(SED_Origination_Date)),SED_Interest_Only),0,H234)</f>
        <v>0</v>
      </c>
      <c r="E235" s="78">
        <f t="shared" si="84"/>
        <v>0</v>
      </c>
      <c r="F235" s="78">
        <f>IFERROR(IF(OR(B235=0, C235&gt;=Refi_Origination_Date),0, PPMT(SED_I_Adj,'Loan Amort Table'!B235,SED_Amort_Periods,SED_Orig_Loan_Amount)),0)</f>
        <v>0</v>
      </c>
      <c r="G235" s="78" cm="1">
        <f t="array" ref="G235">IFERROR(_xlfn.IFS(C235&gt;=Refi_Origination_Date, 0, SED_Amort = 0, -D235 * SED_I_Adj, 1, IPMT(SED_I_Adj,IF(B235 = 0, 1, B235),SED_Amort_Periods,SED_Orig_Loan_Amount)),0)</f>
        <v>0</v>
      </c>
      <c r="H235" s="78">
        <f t="shared" si="99"/>
        <v>0</v>
      </c>
      <c r="J235">
        <f t="shared" si="79"/>
        <v>20</v>
      </c>
      <c r="K235">
        <f t="shared" si="85"/>
        <v>230</v>
      </c>
      <c r="L235" s="49">
        <f t="shared" si="92"/>
        <v>6972</v>
      </c>
      <c r="M235" s="78">
        <f>IF(L235&gt;EDATE(DATE(YEAR(NEW_Origination_Date)+ NEW_Amort, MONTH(NEW_Origination_Date), DAY(NEW_Origination_Date)),NEW_Interest_Only),0,Q234)</f>
        <v>0</v>
      </c>
      <c r="N235" s="78">
        <f t="shared" si="86"/>
        <v>0</v>
      </c>
      <c r="O235" s="78">
        <f>IFERROR(IF(K235=0,0, PPMT(NEW_I_Adj,'Loan Amort Table'!K235,NEW_Amort_Periods,NEW_Orig_Loan_Amount)),0)</f>
        <v>0</v>
      </c>
      <c r="P235" s="78">
        <f>IFERROR(IF(NEW_Amort = 0, -M235* NEW_I_Adj,IPMT(NEW_I_Adj,IF(K235 = 0, 1, K235),NEW_Amort_Periods,NEW_Orig_Loan_Amount)),0)</f>
        <v>0</v>
      </c>
      <c r="Q235" s="78">
        <f t="shared" si="87"/>
        <v>0</v>
      </c>
      <c r="S235">
        <f t="shared" si="80"/>
        <v>20</v>
      </c>
      <c r="T235">
        <f t="shared" si="88"/>
        <v>230</v>
      </c>
      <c r="U235" s="49">
        <f t="shared" si="93"/>
        <v>6972</v>
      </c>
      <c r="V235" s="78">
        <f t="shared" si="89"/>
        <v>0</v>
      </c>
      <c r="W235" s="78">
        <f t="shared" ca="1" si="94"/>
        <v>0</v>
      </c>
      <c r="X235" s="78">
        <f>IFERROR(IF(OR(T235=0, U235&gt;=Refi_Origination_Date),0, PPMT(Mezz_I_Adj,'Loan Amort Table'!T235,Mezz_Amort_Periods,Mezz_Orig_Loan_Amount)),0)</f>
        <v>0</v>
      </c>
      <c r="Y235" s="78" cm="1">
        <f t="array" aca="1" ref="Y235" ca="1">IFERROR(_xlfn.IFS(U235&gt;=Refi_Origination_Date,0, Mezz_Amort = 0, -V235 * Mezz_I_Adj, 1, IPMT(Mezz_I_Adj,IF(T235 = 0, 1, T235),Mezz_Amort_Periods,Mezz_Orig_Loan_Amount)),0)</f>
        <v>0</v>
      </c>
      <c r="Z235" s="78">
        <f t="shared" si="95"/>
        <v>0</v>
      </c>
      <c r="AB235">
        <f t="shared" si="81"/>
        <v>20</v>
      </c>
      <c r="AC235">
        <f t="shared" si="90"/>
        <v>230</v>
      </c>
      <c r="AD235" s="49">
        <f t="shared" si="96"/>
        <v>6972</v>
      </c>
      <c r="AE235" s="78">
        <f t="shared" si="91"/>
        <v>0</v>
      </c>
      <c r="AF235" s="78">
        <f t="shared" ca="1" si="97"/>
        <v>0</v>
      </c>
      <c r="AG235" s="78">
        <f ca="1">IFERROR(IF(AC235=0,0, PPMT(Refi_I_Adj,'Loan Amort Table'!AC235,Refi_Amort_Periods,Refi_Orig_Loan_Amount)),0)</f>
        <v>0</v>
      </c>
      <c r="AH235" s="78">
        <f t="shared" ca="1" si="82"/>
        <v>0</v>
      </c>
      <c r="AI235" s="78">
        <f t="shared" ca="1" si="98"/>
        <v>0</v>
      </c>
    </row>
    <row r="236" spans="1:35" x14ac:dyDescent="0.25">
      <c r="A236">
        <f t="shared" si="78"/>
        <v>20</v>
      </c>
      <c r="B236">
        <f t="shared" si="83"/>
        <v>231</v>
      </c>
      <c r="C236" s="49">
        <f t="shared" si="77"/>
        <v>7000</v>
      </c>
      <c r="D236" s="78">
        <f>IF(C236&gt;EDATE(DATE(YEAR(SED_Origination_Date)+ SED_Amort, MONTH(SED_Origination_Date), DAY(SED_Origination_Date)),SED_Interest_Only),0,H235)</f>
        <v>0</v>
      </c>
      <c r="E236" s="78">
        <f t="shared" si="84"/>
        <v>0</v>
      </c>
      <c r="F236" s="78">
        <f>IFERROR(IF(OR(B236=0, C236&gt;=Refi_Origination_Date),0, PPMT(SED_I_Adj,'Loan Amort Table'!B236,SED_Amort_Periods,SED_Orig_Loan_Amount)),0)</f>
        <v>0</v>
      </c>
      <c r="G236" s="78" cm="1">
        <f t="array" ref="G236">IFERROR(_xlfn.IFS(C236&gt;=Refi_Origination_Date, 0, SED_Amort = 0, -D236 * SED_I_Adj, 1, IPMT(SED_I_Adj,IF(B236 = 0, 1, B236),SED_Amort_Periods,SED_Orig_Loan_Amount)),0)</f>
        <v>0</v>
      </c>
      <c r="H236" s="78">
        <f t="shared" si="99"/>
        <v>0</v>
      </c>
      <c r="J236">
        <f t="shared" si="79"/>
        <v>20</v>
      </c>
      <c r="K236">
        <f t="shared" si="85"/>
        <v>231</v>
      </c>
      <c r="L236" s="49">
        <f t="shared" si="92"/>
        <v>7000</v>
      </c>
      <c r="M236" s="78">
        <f>IF(L236&gt;EDATE(DATE(YEAR(NEW_Origination_Date)+ NEW_Amort, MONTH(NEW_Origination_Date), DAY(NEW_Origination_Date)),NEW_Interest_Only),0,Q235)</f>
        <v>0</v>
      </c>
      <c r="N236" s="78">
        <f t="shared" si="86"/>
        <v>0</v>
      </c>
      <c r="O236" s="78">
        <f>IFERROR(IF(K236=0,0, PPMT(NEW_I_Adj,'Loan Amort Table'!K236,NEW_Amort_Periods,NEW_Orig_Loan_Amount)),0)</f>
        <v>0</v>
      </c>
      <c r="P236" s="78">
        <f>IFERROR(IF(NEW_Amort = 0, -M236* NEW_I_Adj,IPMT(NEW_I_Adj,IF(K236 = 0, 1, K236),NEW_Amort_Periods,NEW_Orig_Loan_Amount)),0)</f>
        <v>0</v>
      </c>
      <c r="Q236" s="78">
        <f t="shared" si="87"/>
        <v>0</v>
      </c>
      <c r="S236">
        <f t="shared" si="80"/>
        <v>20</v>
      </c>
      <c r="T236">
        <f t="shared" si="88"/>
        <v>231</v>
      </c>
      <c r="U236" s="49">
        <f t="shared" si="93"/>
        <v>7000</v>
      </c>
      <c r="V236" s="78">
        <f t="shared" si="89"/>
        <v>0</v>
      </c>
      <c r="W236" s="78">
        <f t="shared" ca="1" si="94"/>
        <v>0</v>
      </c>
      <c r="X236" s="78">
        <f>IFERROR(IF(OR(T236=0, U236&gt;=Refi_Origination_Date),0, PPMT(Mezz_I_Adj,'Loan Amort Table'!T236,Mezz_Amort_Periods,Mezz_Orig_Loan_Amount)),0)</f>
        <v>0</v>
      </c>
      <c r="Y236" s="78" cm="1">
        <f t="array" aca="1" ref="Y236" ca="1">IFERROR(_xlfn.IFS(U236&gt;=Refi_Origination_Date,0, Mezz_Amort = 0, -V236 * Mezz_I_Adj, 1, IPMT(Mezz_I_Adj,IF(T236 = 0, 1, T236),Mezz_Amort_Periods,Mezz_Orig_Loan_Amount)),0)</f>
        <v>0</v>
      </c>
      <c r="Z236" s="78">
        <f t="shared" si="95"/>
        <v>0</v>
      </c>
      <c r="AB236">
        <f t="shared" si="81"/>
        <v>20</v>
      </c>
      <c r="AC236">
        <f t="shared" si="90"/>
        <v>231</v>
      </c>
      <c r="AD236" s="49">
        <f t="shared" si="96"/>
        <v>7000</v>
      </c>
      <c r="AE236" s="78">
        <f t="shared" si="91"/>
        <v>0</v>
      </c>
      <c r="AF236" s="78">
        <f t="shared" ca="1" si="97"/>
        <v>0</v>
      </c>
      <c r="AG236" s="78">
        <f ca="1">IFERROR(IF(AC236=0,0, PPMT(Refi_I_Adj,'Loan Amort Table'!AC236,Refi_Amort_Periods,Refi_Orig_Loan_Amount)),0)</f>
        <v>0</v>
      </c>
      <c r="AH236" s="78">
        <f t="shared" ca="1" si="82"/>
        <v>0</v>
      </c>
      <c r="AI236" s="78">
        <f t="shared" ca="1" si="98"/>
        <v>0</v>
      </c>
    </row>
    <row r="237" spans="1:35" x14ac:dyDescent="0.25">
      <c r="A237">
        <f t="shared" si="78"/>
        <v>20</v>
      </c>
      <c r="B237">
        <f t="shared" si="83"/>
        <v>232</v>
      </c>
      <c r="C237" s="49">
        <f t="shared" si="77"/>
        <v>7031</v>
      </c>
      <c r="D237" s="78">
        <f>IF(C237&gt;EDATE(DATE(YEAR(SED_Origination_Date)+ SED_Amort, MONTH(SED_Origination_Date), DAY(SED_Origination_Date)),SED_Interest_Only),0,H236)</f>
        <v>0</v>
      </c>
      <c r="E237" s="78">
        <f t="shared" si="84"/>
        <v>0</v>
      </c>
      <c r="F237" s="78">
        <f>IFERROR(IF(OR(B237=0, C237&gt;=Refi_Origination_Date),0, PPMT(SED_I_Adj,'Loan Amort Table'!B237,SED_Amort_Periods,SED_Orig_Loan_Amount)),0)</f>
        <v>0</v>
      </c>
      <c r="G237" s="78" cm="1">
        <f t="array" ref="G237">IFERROR(_xlfn.IFS(C237&gt;=Refi_Origination_Date, 0, SED_Amort = 0, -D237 * SED_I_Adj, 1, IPMT(SED_I_Adj,IF(B237 = 0, 1, B237),SED_Amort_Periods,SED_Orig_Loan_Amount)),0)</f>
        <v>0</v>
      </c>
      <c r="H237" s="78">
        <f t="shared" si="99"/>
        <v>0</v>
      </c>
      <c r="J237">
        <f t="shared" si="79"/>
        <v>20</v>
      </c>
      <c r="K237">
        <f t="shared" si="85"/>
        <v>232</v>
      </c>
      <c r="L237" s="49">
        <f t="shared" si="92"/>
        <v>7031</v>
      </c>
      <c r="M237" s="78">
        <f>IF(L237&gt;EDATE(DATE(YEAR(NEW_Origination_Date)+ NEW_Amort, MONTH(NEW_Origination_Date), DAY(NEW_Origination_Date)),NEW_Interest_Only),0,Q236)</f>
        <v>0</v>
      </c>
      <c r="N237" s="78">
        <f t="shared" si="86"/>
        <v>0</v>
      </c>
      <c r="O237" s="78">
        <f>IFERROR(IF(K237=0,0, PPMT(NEW_I_Adj,'Loan Amort Table'!K237,NEW_Amort_Periods,NEW_Orig_Loan_Amount)),0)</f>
        <v>0</v>
      </c>
      <c r="P237" s="78">
        <f>IFERROR(IF(NEW_Amort = 0, -M237* NEW_I_Adj,IPMT(NEW_I_Adj,IF(K237 = 0, 1, K237),NEW_Amort_Periods,NEW_Orig_Loan_Amount)),0)</f>
        <v>0</v>
      </c>
      <c r="Q237" s="78">
        <f t="shared" si="87"/>
        <v>0</v>
      </c>
      <c r="S237">
        <f t="shared" si="80"/>
        <v>20</v>
      </c>
      <c r="T237">
        <f t="shared" si="88"/>
        <v>232</v>
      </c>
      <c r="U237" s="49">
        <f t="shared" si="93"/>
        <v>7031</v>
      </c>
      <c r="V237" s="78">
        <f t="shared" si="89"/>
        <v>0</v>
      </c>
      <c r="W237" s="78">
        <f t="shared" ca="1" si="94"/>
        <v>0</v>
      </c>
      <c r="X237" s="78">
        <f>IFERROR(IF(OR(T237=0, U237&gt;=Refi_Origination_Date),0, PPMT(Mezz_I_Adj,'Loan Amort Table'!T237,Mezz_Amort_Periods,Mezz_Orig_Loan_Amount)),0)</f>
        <v>0</v>
      </c>
      <c r="Y237" s="78" cm="1">
        <f t="array" aca="1" ref="Y237" ca="1">IFERROR(_xlfn.IFS(U237&gt;=Refi_Origination_Date,0, Mezz_Amort = 0, -V237 * Mezz_I_Adj, 1, IPMT(Mezz_I_Adj,IF(T237 = 0, 1, T237),Mezz_Amort_Periods,Mezz_Orig_Loan_Amount)),0)</f>
        <v>0</v>
      </c>
      <c r="Z237" s="78">
        <f t="shared" si="95"/>
        <v>0</v>
      </c>
      <c r="AB237">
        <f t="shared" si="81"/>
        <v>20</v>
      </c>
      <c r="AC237">
        <f t="shared" si="90"/>
        <v>232</v>
      </c>
      <c r="AD237" s="49">
        <f t="shared" si="96"/>
        <v>7031</v>
      </c>
      <c r="AE237" s="78">
        <f t="shared" si="91"/>
        <v>0</v>
      </c>
      <c r="AF237" s="78">
        <f t="shared" ca="1" si="97"/>
        <v>0</v>
      </c>
      <c r="AG237" s="78">
        <f ca="1">IFERROR(IF(AC237=0,0, PPMT(Refi_I_Adj,'Loan Amort Table'!AC237,Refi_Amort_Periods,Refi_Orig_Loan_Amount)),0)</f>
        <v>0</v>
      </c>
      <c r="AH237" s="78">
        <f t="shared" ca="1" si="82"/>
        <v>0</v>
      </c>
      <c r="AI237" s="78">
        <f t="shared" ca="1" si="98"/>
        <v>0</v>
      </c>
    </row>
    <row r="238" spans="1:35" x14ac:dyDescent="0.25">
      <c r="A238">
        <f t="shared" si="78"/>
        <v>20</v>
      </c>
      <c r="B238">
        <f t="shared" si="83"/>
        <v>233</v>
      </c>
      <c r="C238" s="49">
        <f t="shared" si="77"/>
        <v>7061</v>
      </c>
      <c r="D238" s="78">
        <f>IF(C238&gt;EDATE(DATE(YEAR(SED_Origination_Date)+ SED_Amort, MONTH(SED_Origination_Date), DAY(SED_Origination_Date)),SED_Interest_Only),0,H237)</f>
        <v>0</v>
      </c>
      <c r="E238" s="78">
        <f t="shared" si="84"/>
        <v>0</v>
      </c>
      <c r="F238" s="78">
        <f>IFERROR(IF(OR(B238=0, C238&gt;=Refi_Origination_Date),0, PPMT(SED_I_Adj,'Loan Amort Table'!B238,SED_Amort_Periods,SED_Orig_Loan_Amount)),0)</f>
        <v>0</v>
      </c>
      <c r="G238" s="78" cm="1">
        <f t="array" ref="G238">IFERROR(_xlfn.IFS(C238&gt;=Refi_Origination_Date, 0, SED_Amort = 0, -D238 * SED_I_Adj, 1, IPMT(SED_I_Adj,IF(B238 = 0, 1, B238),SED_Amort_Periods,SED_Orig_Loan_Amount)),0)</f>
        <v>0</v>
      </c>
      <c r="H238" s="78">
        <f t="shared" si="99"/>
        <v>0</v>
      </c>
      <c r="J238">
        <f t="shared" si="79"/>
        <v>20</v>
      </c>
      <c r="K238">
        <f t="shared" si="85"/>
        <v>233</v>
      </c>
      <c r="L238" s="49">
        <f t="shared" si="92"/>
        <v>7061</v>
      </c>
      <c r="M238" s="78">
        <f>IF(L238&gt;EDATE(DATE(YEAR(NEW_Origination_Date)+ NEW_Amort, MONTH(NEW_Origination_Date), DAY(NEW_Origination_Date)),NEW_Interest_Only),0,Q237)</f>
        <v>0</v>
      </c>
      <c r="N238" s="78">
        <f t="shared" si="86"/>
        <v>0</v>
      </c>
      <c r="O238" s="78">
        <f>IFERROR(IF(K238=0,0, PPMT(NEW_I_Adj,'Loan Amort Table'!K238,NEW_Amort_Periods,NEW_Orig_Loan_Amount)),0)</f>
        <v>0</v>
      </c>
      <c r="P238" s="78">
        <f>IFERROR(IF(NEW_Amort = 0, -M238* NEW_I_Adj,IPMT(NEW_I_Adj,IF(K238 = 0, 1, K238),NEW_Amort_Periods,NEW_Orig_Loan_Amount)),0)</f>
        <v>0</v>
      </c>
      <c r="Q238" s="78">
        <f t="shared" si="87"/>
        <v>0</v>
      </c>
      <c r="S238">
        <f t="shared" si="80"/>
        <v>20</v>
      </c>
      <c r="T238">
        <f t="shared" si="88"/>
        <v>233</v>
      </c>
      <c r="U238" s="49">
        <f t="shared" si="93"/>
        <v>7061</v>
      </c>
      <c r="V238" s="78">
        <f t="shared" si="89"/>
        <v>0</v>
      </c>
      <c r="W238" s="78">
        <f t="shared" ca="1" si="94"/>
        <v>0</v>
      </c>
      <c r="X238" s="78">
        <f>IFERROR(IF(OR(T238=0, U238&gt;=Refi_Origination_Date),0, PPMT(Mezz_I_Adj,'Loan Amort Table'!T238,Mezz_Amort_Periods,Mezz_Orig_Loan_Amount)),0)</f>
        <v>0</v>
      </c>
      <c r="Y238" s="78" cm="1">
        <f t="array" aca="1" ref="Y238" ca="1">IFERROR(_xlfn.IFS(U238&gt;=Refi_Origination_Date,0, Mezz_Amort = 0, -V238 * Mezz_I_Adj, 1, IPMT(Mezz_I_Adj,IF(T238 = 0, 1, T238),Mezz_Amort_Periods,Mezz_Orig_Loan_Amount)),0)</f>
        <v>0</v>
      </c>
      <c r="Z238" s="78">
        <f t="shared" si="95"/>
        <v>0</v>
      </c>
      <c r="AB238">
        <f t="shared" si="81"/>
        <v>20</v>
      </c>
      <c r="AC238">
        <f t="shared" si="90"/>
        <v>233</v>
      </c>
      <c r="AD238" s="49">
        <f t="shared" si="96"/>
        <v>7061</v>
      </c>
      <c r="AE238" s="78">
        <f t="shared" si="91"/>
        <v>0</v>
      </c>
      <c r="AF238" s="78">
        <f t="shared" ca="1" si="97"/>
        <v>0</v>
      </c>
      <c r="AG238" s="78">
        <f ca="1">IFERROR(IF(AC238=0,0, PPMT(Refi_I_Adj,'Loan Amort Table'!AC238,Refi_Amort_Periods,Refi_Orig_Loan_Amount)),0)</f>
        <v>0</v>
      </c>
      <c r="AH238" s="78">
        <f t="shared" ca="1" si="82"/>
        <v>0</v>
      </c>
      <c r="AI238" s="78">
        <f t="shared" ca="1" si="98"/>
        <v>0</v>
      </c>
    </row>
    <row r="239" spans="1:35" x14ac:dyDescent="0.25">
      <c r="A239">
        <f t="shared" si="78"/>
        <v>20</v>
      </c>
      <c r="B239">
        <f t="shared" si="83"/>
        <v>234</v>
      </c>
      <c r="C239" s="49">
        <f t="shared" si="77"/>
        <v>7092</v>
      </c>
      <c r="D239" s="78">
        <f>IF(C239&gt;EDATE(DATE(YEAR(SED_Origination_Date)+ SED_Amort, MONTH(SED_Origination_Date), DAY(SED_Origination_Date)),SED_Interest_Only),0,H238)</f>
        <v>0</v>
      </c>
      <c r="E239" s="78">
        <f t="shared" si="84"/>
        <v>0</v>
      </c>
      <c r="F239" s="78">
        <f>IFERROR(IF(OR(B239=0, C239&gt;=Refi_Origination_Date),0, PPMT(SED_I_Adj,'Loan Amort Table'!B239,SED_Amort_Periods,SED_Orig_Loan_Amount)),0)</f>
        <v>0</v>
      </c>
      <c r="G239" s="78" cm="1">
        <f t="array" ref="G239">IFERROR(_xlfn.IFS(C239&gt;=Refi_Origination_Date, 0, SED_Amort = 0, -D239 * SED_I_Adj, 1, IPMT(SED_I_Adj,IF(B239 = 0, 1, B239),SED_Amort_Periods,SED_Orig_Loan_Amount)),0)</f>
        <v>0</v>
      </c>
      <c r="H239" s="78">
        <f t="shared" si="99"/>
        <v>0</v>
      </c>
      <c r="J239">
        <f t="shared" si="79"/>
        <v>20</v>
      </c>
      <c r="K239">
        <f t="shared" si="85"/>
        <v>234</v>
      </c>
      <c r="L239" s="49">
        <f t="shared" si="92"/>
        <v>7092</v>
      </c>
      <c r="M239" s="78">
        <f>IF(L239&gt;EDATE(DATE(YEAR(NEW_Origination_Date)+ NEW_Amort, MONTH(NEW_Origination_Date), DAY(NEW_Origination_Date)),NEW_Interest_Only),0,Q238)</f>
        <v>0</v>
      </c>
      <c r="N239" s="78">
        <f t="shared" si="86"/>
        <v>0</v>
      </c>
      <c r="O239" s="78">
        <f>IFERROR(IF(K239=0,0, PPMT(NEW_I_Adj,'Loan Amort Table'!K239,NEW_Amort_Periods,NEW_Orig_Loan_Amount)),0)</f>
        <v>0</v>
      </c>
      <c r="P239" s="78">
        <f>IFERROR(IF(NEW_Amort = 0, -M239* NEW_I_Adj,IPMT(NEW_I_Adj,IF(K239 = 0, 1, K239),NEW_Amort_Periods,NEW_Orig_Loan_Amount)),0)</f>
        <v>0</v>
      </c>
      <c r="Q239" s="78">
        <f t="shared" si="87"/>
        <v>0</v>
      </c>
      <c r="S239">
        <f t="shared" si="80"/>
        <v>20</v>
      </c>
      <c r="T239">
        <f t="shared" si="88"/>
        <v>234</v>
      </c>
      <c r="U239" s="49">
        <f t="shared" si="93"/>
        <v>7092</v>
      </c>
      <c r="V239" s="78">
        <f t="shared" si="89"/>
        <v>0</v>
      </c>
      <c r="W239" s="78">
        <f t="shared" ca="1" si="94"/>
        <v>0</v>
      </c>
      <c r="X239" s="78">
        <f>IFERROR(IF(OR(T239=0, U239&gt;=Refi_Origination_Date),0, PPMT(Mezz_I_Adj,'Loan Amort Table'!T239,Mezz_Amort_Periods,Mezz_Orig_Loan_Amount)),0)</f>
        <v>0</v>
      </c>
      <c r="Y239" s="78" cm="1">
        <f t="array" aca="1" ref="Y239" ca="1">IFERROR(_xlfn.IFS(U239&gt;=Refi_Origination_Date,0, Mezz_Amort = 0, -V239 * Mezz_I_Adj, 1, IPMT(Mezz_I_Adj,IF(T239 = 0, 1, T239),Mezz_Amort_Periods,Mezz_Orig_Loan_Amount)),0)</f>
        <v>0</v>
      </c>
      <c r="Z239" s="78">
        <f t="shared" si="95"/>
        <v>0</v>
      </c>
      <c r="AB239">
        <f t="shared" si="81"/>
        <v>20</v>
      </c>
      <c r="AC239">
        <f t="shared" si="90"/>
        <v>234</v>
      </c>
      <c r="AD239" s="49">
        <f t="shared" si="96"/>
        <v>7092</v>
      </c>
      <c r="AE239" s="78">
        <f t="shared" si="91"/>
        <v>0</v>
      </c>
      <c r="AF239" s="78">
        <f t="shared" ca="1" si="97"/>
        <v>0</v>
      </c>
      <c r="AG239" s="78">
        <f ca="1">IFERROR(IF(AC239=0,0, PPMT(Refi_I_Adj,'Loan Amort Table'!AC239,Refi_Amort_Periods,Refi_Orig_Loan_Amount)),0)</f>
        <v>0</v>
      </c>
      <c r="AH239" s="78">
        <f t="shared" ca="1" si="82"/>
        <v>0</v>
      </c>
      <c r="AI239" s="78">
        <f t="shared" ca="1" si="98"/>
        <v>0</v>
      </c>
    </row>
    <row r="240" spans="1:35" x14ac:dyDescent="0.25">
      <c r="A240">
        <f t="shared" si="78"/>
        <v>20</v>
      </c>
      <c r="B240">
        <f t="shared" si="83"/>
        <v>235</v>
      </c>
      <c r="C240" s="49">
        <f t="shared" si="77"/>
        <v>7122</v>
      </c>
      <c r="D240" s="78">
        <f>IF(C240&gt;EDATE(DATE(YEAR(SED_Origination_Date)+ SED_Amort, MONTH(SED_Origination_Date), DAY(SED_Origination_Date)),SED_Interest_Only),0,H239)</f>
        <v>0</v>
      </c>
      <c r="E240" s="78">
        <f t="shared" si="84"/>
        <v>0</v>
      </c>
      <c r="F240" s="78">
        <f>IFERROR(IF(OR(B240=0, C240&gt;=Refi_Origination_Date),0, PPMT(SED_I_Adj,'Loan Amort Table'!B240,SED_Amort_Periods,SED_Orig_Loan_Amount)),0)</f>
        <v>0</v>
      </c>
      <c r="G240" s="78" cm="1">
        <f t="array" ref="G240">IFERROR(_xlfn.IFS(C240&gt;=Refi_Origination_Date, 0, SED_Amort = 0, -D240 * SED_I_Adj, 1, IPMT(SED_I_Adj,IF(B240 = 0, 1, B240),SED_Amort_Periods,SED_Orig_Loan_Amount)),0)</f>
        <v>0</v>
      </c>
      <c r="H240" s="78">
        <f t="shared" si="99"/>
        <v>0</v>
      </c>
      <c r="J240">
        <f t="shared" si="79"/>
        <v>20</v>
      </c>
      <c r="K240">
        <f t="shared" si="85"/>
        <v>235</v>
      </c>
      <c r="L240" s="49">
        <f t="shared" si="92"/>
        <v>7122</v>
      </c>
      <c r="M240" s="78">
        <f>IF(L240&gt;EDATE(DATE(YEAR(NEW_Origination_Date)+ NEW_Amort, MONTH(NEW_Origination_Date), DAY(NEW_Origination_Date)),NEW_Interest_Only),0,Q239)</f>
        <v>0</v>
      </c>
      <c r="N240" s="78">
        <f t="shared" si="86"/>
        <v>0</v>
      </c>
      <c r="O240" s="78">
        <f>IFERROR(IF(K240=0,0, PPMT(NEW_I_Adj,'Loan Amort Table'!K240,NEW_Amort_Periods,NEW_Orig_Loan_Amount)),0)</f>
        <v>0</v>
      </c>
      <c r="P240" s="78">
        <f>IFERROR(IF(NEW_Amort = 0, -M240* NEW_I_Adj,IPMT(NEW_I_Adj,IF(K240 = 0, 1, K240),NEW_Amort_Periods,NEW_Orig_Loan_Amount)),0)</f>
        <v>0</v>
      </c>
      <c r="Q240" s="78">
        <f t="shared" si="87"/>
        <v>0</v>
      </c>
      <c r="S240">
        <f t="shared" si="80"/>
        <v>20</v>
      </c>
      <c r="T240">
        <f t="shared" si="88"/>
        <v>235</v>
      </c>
      <c r="U240" s="49">
        <f t="shared" si="93"/>
        <v>7122</v>
      </c>
      <c r="V240" s="78">
        <f t="shared" si="89"/>
        <v>0</v>
      </c>
      <c r="W240" s="78">
        <f t="shared" ca="1" si="94"/>
        <v>0</v>
      </c>
      <c r="X240" s="78">
        <f>IFERROR(IF(OR(T240=0, U240&gt;=Refi_Origination_Date),0, PPMT(Mezz_I_Adj,'Loan Amort Table'!T240,Mezz_Amort_Periods,Mezz_Orig_Loan_Amount)),0)</f>
        <v>0</v>
      </c>
      <c r="Y240" s="78" cm="1">
        <f t="array" aca="1" ref="Y240" ca="1">IFERROR(_xlfn.IFS(U240&gt;=Refi_Origination_Date,0, Mezz_Amort = 0, -V240 * Mezz_I_Adj, 1, IPMT(Mezz_I_Adj,IF(T240 = 0, 1, T240),Mezz_Amort_Periods,Mezz_Orig_Loan_Amount)),0)</f>
        <v>0</v>
      </c>
      <c r="Z240" s="78">
        <f t="shared" si="95"/>
        <v>0</v>
      </c>
      <c r="AB240">
        <f t="shared" si="81"/>
        <v>20</v>
      </c>
      <c r="AC240">
        <f t="shared" si="90"/>
        <v>235</v>
      </c>
      <c r="AD240" s="49">
        <f t="shared" si="96"/>
        <v>7122</v>
      </c>
      <c r="AE240" s="78">
        <f t="shared" si="91"/>
        <v>0</v>
      </c>
      <c r="AF240" s="78">
        <f t="shared" ca="1" si="97"/>
        <v>0</v>
      </c>
      <c r="AG240" s="78">
        <f ca="1">IFERROR(IF(AC240=0,0, PPMT(Refi_I_Adj,'Loan Amort Table'!AC240,Refi_Amort_Periods,Refi_Orig_Loan_Amount)),0)</f>
        <v>0</v>
      </c>
      <c r="AH240" s="78">
        <f t="shared" ca="1" si="82"/>
        <v>0</v>
      </c>
      <c r="AI240" s="78">
        <f t="shared" ca="1" si="98"/>
        <v>0</v>
      </c>
    </row>
    <row r="241" spans="1:35" x14ac:dyDescent="0.25">
      <c r="A241">
        <f t="shared" si="78"/>
        <v>20</v>
      </c>
      <c r="B241">
        <f t="shared" si="83"/>
        <v>236</v>
      </c>
      <c r="C241" s="49">
        <f t="shared" si="77"/>
        <v>7153</v>
      </c>
      <c r="D241" s="78">
        <f>IF(C241&gt;EDATE(DATE(YEAR(SED_Origination_Date)+ SED_Amort, MONTH(SED_Origination_Date), DAY(SED_Origination_Date)),SED_Interest_Only),0,H240)</f>
        <v>0</v>
      </c>
      <c r="E241" s="78">
        <f t="shared" si="84"/>
        <v>0</v>
      </c>
      <c r="F241" s="78">
        <f>IFERROR(IF(OR(B241=0, C241&gt;=Refi_Origination_Date),0, PPMT(SED_I_Adj,'Loan Amort Table'!B241,SED_Amort_Periods,SED_Orig_Loan_Amount)),0)</f>
        <v>0</v>
      </c>
      <c r="G241" s="78" cm="1">
        <f t="array" ref="G241">IFERROR(_xlfn.IFS(C241&gt;=Refi_Origination_Date, 0, SED_Amort = 0, -D241 * SED_I_Adj, 1, IPMT(SED_I_Adj,IF(B241 = 0, 1, B241),SED_Amort_Periods,SED_Orig_Loan_Amount)),0)</f>
        <v>0</v>
      </c>
      <c r="H241" s="78">
        <f t="shared" si="99"/>
        <v>0</v>
      </c>
      <c r="J241">
        <f t="shared" si="79"/>
        <v>20</v>
      </c>
      <c r="K241">
        <f t="shared" si="85"/>
        <v>236</v>
      </c>
      <c r="L241" s="49">
        <f t="shared" si="92"/>
        <v>7153</v>
      </c>
      <c r="M241" s="78">
        <f>IF(L241&gt;EDATE(DATE(YEAR(NEW_Origination_Date)+ NEW_Amort, MONTH(NEW_Origination_Date), DAY(NEW_Origination_Date)),NEW_Interest_Only),0,Q240)</f>
        <v>0</v>
      </c>
      <c r="N241" s="78">
        <f t="shared" si="86"/>
        <v>0</v>
      </c>
      <c r="O241" s="78">
        <f>IFERROR(IF(K241=0,0, PPMT(NEW_I_Adj,'Loan Amort Table'!K241,NEW_Amort_Periods,NEW_Orig_Loan_Amount)),0)</f>
        <v>0</v>
      </c>
      <c r="P241" s="78">
        <f>IFERROR(IF(NEW_Amort = 0, -M241* NEW_I_Adj,IPMT(NEW_I_Adj,IF(K241 = 0, 1, K241),NEW_Amort_Periods,NEW_Orig_Loan_Amount)),0)</f>
        <v>0</v>
      </c>
      <c r="Q241" s="78">
        <f t="shared" si="87"/>
        <v>0</v>
      </c>
      <c r="S241">
        <f t="shared" si="80"/>
        <v>20</v>
      </c>
      <c r="T241">
        <f t="shared" si="88"/>
        <v>236</v>
      </c>
      <c r="U241" s="49">
        <f t="shared" si="93"/>
        <v>7153</v>
      </c>
      <c r="V241" s="78">
        <f t="shared" si="89"/>
        <v>0</v>
      </c>
      <c r="W241" s="78">
        <f t="shared" ca="1" si="94"/>
        <v>0</v>
      </c>
      <c r="X241" s="78">
        <f>IFERROR(IF(OR(T241=0, U241&gt;=Refi_Origination_Date),0, PPMT(Mezz_I_Adj,'Loan Amort Table'!T241,Mezz_Amort_Periods,Mezz_Orig_Loan_Amount)),0)</f>
        <v>0</v>
      </c>
      <c r="Y241" s="78" cm="1">
        <f t="array" aca="1" ref="Y241" ca="1">IFERROR(_xlfn.IFS(U241&gt;=Refi_Origination_Date,0, Mezz_Amort = 0, -V241 * Mezz_I_Adj, 1, IPMT(Mezz_I_Adj,IF(T241 = 0, 1, T241),Mezz_Amort_Periods,Mezz_Orig_Loan_Amount)),0)</f>
        <v>0</v>
      </c>
      <c r="Z241" s="78">
        <f t="shared" si="95"/>
        <v>0</v>
      </c>
      <c r="AB241">
        <f t="shared" si="81"/>
        <v>20</v>
      </c>
      <c r="AC241">
        <f t="shared" si="90"/>
        <v>236</v>
      </c>
      <c r="AD241" s="49">
        <f t="shared" si="96"/>
        <v>7153</v>
      </c>
      <c r="AE241" s="78">
        <f t="shared" si="91"/>
        <v>0</v>
      </c>
      <c r="AF241" s="78">
        <f t="shared" ca="1" si="97"/>
        <v>0</v>
      </c>
      <c r="AG241" s="78">
        <f ca="1">IFERROR(IF(AC241=0,0, PPMT(Refi_I_Adj,'Loan Amort Table'!AC241,Refi_Amort_Periods,Refi_Orig_Loan_Amount)),0)</f>
        <v>0</v>
      </c>
      <c r="AH241" s="78">
        <f t="shared" ca="1" si="82"/>
        <v>0</v>
      </c>
      <c r="AI241" s="78">
        <f t="shared" ca="1" si="98"/>
        <v>0</v>
      </c>
    </row>
    <row r="242" spans="1:35" x14ac:dyDescent="0.25">
      <c r="A242">
        <f t="shared" si="78"/>
        <v>20</v>
      </c>
      <c r="B242">
        <f t="shared" si="83"/>
        <v>237</v>
      </c>
      <c r="C242" s="49">
        <f t="shared" si="77"/>
        <v>7184</v>
      </c>
      <c r="D242" s="78">
        <f>IF(C242&gt;EDATE(DATE(YEAR(SED_Origination_Date)+ SED_Amort, MONTH(SED_Origination_Date), DAY(SED_Origination_Date)),SED_Interest_Only),0,H241)</f>
        <v>0</v>
      </c>
      <c r="E242" s="78">
        <f t="shared" si="84"/>
        <v>0</v>
      </c>
      <c r="F242" s="78">
        <f>IFERROR(IF(OR(B242=0, C242&gt;=Refi_Origination_Date),0, PPMT(SED_I_Adj,'Loan Amort Table'!B242,SED_Amort_Periods,SED_Orig_Loan_Amount)),0)</f>
        <v>0</v>
      </c>
      <c r="G242" s="78" cm="1">
        <f t="array" ref="G242">IFERROR(_xlfn.IFS(C242&gt;=Refi_Origination_Date, 0, SED_Amort = 0, -D242 * SED_I_Adj, 1, IPMT(SED_I_Adj,IF(B242 = 0, 1, B242),SED_Amort_Periods,SED_Orig_Loan_Amount)),0)</f>
        <v>0</v>
      </c>
      <c r="H242" s="78">
        <f t="shared" si="99"/>
        <v>0</v>
      </c>
      <c r="J242">
        <f t="shared" si="79"/>
        <v>20</v>
      </c>
      <c r="K242">
        <f t="shared" si="85"/>
        <v>237</v>
      </c>
      <c r="L242" s="49">
        <f t="shared" si="92"/>
        <v>7184</v>
      </c>
      <c r="M242" s="78">
        <f>IF(L242&gt;EDATE(DATE(YEAR(NEW_Origination_Date)+ NEW_Amort, MONTH(NEW_Origination_Date), DAY(NEW_Origination_Date)),NEW_Interest_Only),0,Q241)</f>
        <v>0</v>
      </c>
      <c r="N242" s="78">
        <f t="shared" si="86"/>
        <v>0</v>
      </c>
      <c r="O242" s="78">
        <f>IFERROR(IF(K242=0,0, PPMT(NEW_I_Adj,'Loan Amort Table'!K242,NEW_Amort_Periods,NEW_Orig_Loan_Amount)),0)</f>
        <v>0</v>
      </c>
      <c r="P242" s="78">
        <f>IFERROR(IF(NEW_Amort = 0, -M242* NEW_I_Adj,IPMT(NEW_I_Adj,IF(K242 = 0, 1, K242),NEW_Amort_Periods,NEW_Orig_Loan_Amount)),0)</f>
        <v>0</v>
      </c>
      <c r="Q242" s="78">
        <f t="shared" si="87"/>
        <v>0</v>
      </c>
      <c r="S242">
        <f t="shared" si="80"/>
        <v>20</v>
      </c>
      <c r="T242">
        <f t="shared" si="88"/>
        <v>237</v>
      </c>
      <c r="U242" s="49">
        <f t="shared" si="93"/>
        <v>7184</v>
      </c>
      <c r="V242" s="78">
        <f t="shared" si="89"/>
        <v>0</v>
      </c>
      <c r="W242" s="78">
        <f t="shared" ca="1" si="94"/>
        <v>0</v>
      </c>
      <c r="X242" s="78">
        <f>IFERROR(IF(OR(T242=0, U242&gt;=Refi_Origination_Date),0, PPMT(Mezz_I_Adj,'Loan Amort Table'!T242,Mezz_Amort_Periods,Mezz_Orig_Loan_Amount)),0)</f>
        <v>0</v>
      </c>
      <c r="Y242" s="78" cm="1">
        <f t="array" aca="1" ref="Y242" ca="1">IFERROR(_xlfn.IFS(U242&gt;=Refi_Origination_Date,0, Mezz_Amort = 0, -V242 * Mezz_I_Adj, 1, IPMT(Mezz_I_Adj,IF(T242 = 0, 1, T242),Mezz_Amort_Periods,Mezz_Orig_Loan_Amount)),0)</f>
        <v>0</v>
      </c>
      <c r="Z242" s="78">
        <f t="shared" si="95"/>
        <v>0</v>
      </c>
      <c r="AB242">
        <f t="shared" si="81"/>
        <v>20</v>
      </c>
      <c r="AC242">
        <f t="shared" si="90"/>
        <v>237</v>
      </c>
      <c r="AD242" s="49">
        <f t="shared" si="96"/>
        <v>7184</v>
      </c>
      <c r="AE242" s="78">
        <f t="shared" si="91"/>
        <v>0</v>
      </c>
      <c r="AF242" s="78">
        <f t="shared" ca="1" si="97"/>
        <v>0</v>
      </c>
      <c r="AG242" s="78">
        <f ca="1">IFERROR(IF(AC242=0,0, PPMT(Refi_I_Adj,'Loan Amort Table'!AC242,Refi_Amort_Periods,Refi_Orig_Loan_Amount)),0)</f>
        <v>0</v>
      </c>
      <c r="AH242" s="78">
        <f t="shared" ca="1" si="82"/>
        <v>0</v>
      </c>
      <c r="AI242" s="78">
        <f t="shared" ca="1" si="98"/>
        <v>0</v>
      </c>
    </row>
    <row r="243" spans="1:35" x14ac:dyDescent="0.25">
      <c r="A243">
        <f t="shared" si="78"/>
        <v>20</v>
      </c>
      <c r="B243">
        <f t="shared" si="83"/>
        <v>238</v>
      </c>
      <c r="C243" s="49">
        <f t="shared" si="77"/>
        <v>7214</v>
      </c>
      <c r="D243" s="78">
        <f>IF(C243&gt;EDATE(DATE(YEAR(SED_Origination_Date)+ SED_Amort, MONTH(SED_Origination_Date), DAY(SED_Origination_Date)),SED_Interest_Only),0,H242)</f>
        <v>0</v>
      </c>
      <c r="E243" s="78">
        <f t="shared" si="84"/>
        <v>0</v>
      </c>
      <c r="F243" s="78">
        <f>IFERROR(IF(OR(B243=0, C243&gt;=Refi_Origination_Date),0, PPMT(SED_I_Adj,'Loan Amort Table'!B243,SED_Amort_Periods,SED_Orig_Loan_Amount)),0)</f>
        <v>0</v>
      </c>
      <c r="G243" s="78" cm="1">
        <f t="array" ref="G243">IFERROR(_xlfn.IFS(C243&gt;=Refi_Origination_Date, 0, SED_Amort = 0, -D243 * SED_I_Adj, 1, IPMT(SED_I_Adj,IF(B243 = 0, 1, B243),SED_Amort_Periods,SED_Orig_Loan_Amount)),0)</f>
        <v>0</v>
      </c>
      <c r="H243" s="78">
        <f t="shared" si="99"/>
        <v>0</v>
      </c>
      <c r="J243">
        <f t="shared" si="79"/>
        <v>20</v>
      </c>
      <c r="K243">
        <f t="shared" si="85"/>
        <v>238</v>
      </c>
      <c r="L243" s="49">
        <f t="shared" si="92"/>
        <v>7214</v>
      </c>
      <c r="M243" s="78">
        <f>IF(L243&gt;EDATE(DATE(YEAR(NEW_Origination_Date)+ NEW_Amort, MONTH(NEW_Origination_Date), DAY(NEW_Origination_Date)),NEW_Interest_Only),0,Q242)</f>
        <v>0</v>
      </c>
      <c r="N243" s="78">
        <f t="shared" si="86"/>
        <v>0</v>
      </c>
      <c r="O243" s="78">
        <f>IFERROR(IF(K243=0,0, PPMT(NEW_I_Adj,'Loan Amort Table'!K243,NEW_Amort_Periods,NEW_Orig_Loan_Amount)),0)</f>
        <v>0</v>
      </c>
      <c r="P243" s="78">
        <f>IFERROR(IF(NEW_Amort = 0, -M243* NEW_I_Adj,IPMT(NEW_I_Adj,IF(K243 = 0, 1, K243),NEW_Amort_Periods,NEW_Orig_Loan_Amount)),0)</f>
        <v>0</v>
      </c>
      <c r="Q243" s="78">
        <f t="shared" si="87"/>
        <v>0</v>
      </c>
      <c r="S243">
        <f t="shared" si="80"/>
        <v>20</v>
      </c>
      <c r="T243">
        <f t="shared" si="88"/>
        <v>238</v>
      </c>
      <c r="U243" s="49">
        <f t="shared" si="93"/>
        <v>7214</v>
      </c>
      <c r="V243" s="78">
        <f t="shared" si="89"/>
        <v>0</v>
      </c>
      <c r="W243" s="78">
        <f t="shared" ca="1" si="94"/>
        <v>0</v>
      </c>
      <c r="X243" s="78">
        <f>IFERROR(IF(OR(T243=0, U243&gt;=Refi_Origination_Date),0, PPMT(Mezz_I_Adj,'Loan Amort Table'!T243,Mezz_Amort_Periods,Mezz_Orig_Loan_Amount)),0)</f>
        <v>0</v>
      </c>
      <c r="Y243" s="78" cm="1">
        <f t="array" aca="1" ref="Y243" ca="1">IFERROR(_xlfn.IFS(U243&gt;=Refi_Origination_Date,0, Mezz_Amort = 0, -V243 * Mezz_I_Adj, 1, IPMT(Mezz_I_Adj,IF(T243 = 0, 1, T243),Mezz_Amort_Periods,Mezz_Orig_Loan_Amount)),0)</f>
        <v>0</v>
      </c>
      <c r="Z243" s="78">
        <f t="shared" si="95"/>
        <v>0</v>
      </c>
      <c r="AB243">
        <f t="shared" si="81"/>
        <v>20</v>
      </c>
      <c r="AC243">
        <f t="shared" si="90"/>
        <v>238</v>
      </c>
      <c r="AD243" s="49">
        <f t="shared" si="96"/>
        <v>7214</v>
      </c>
      <c r="AE243" s="78">
        <f t="shared" si="91"/>
        <v>0</v>
      </c>
      <c r="AF243" s="78">
        <f t="shared" ca="1" si="97"/>
        <v>0</v>
      </c>
      <c r="AG243" s="78">
        <f ca="1">IFERROR(IF(AC243=0,0, PPMT(Refi_I_Adj,'Loan Amort Table'!AC243,Refi_Amort_Periods,Refi_Orig_Loan_Amount)),0)</f>
        <v>0</v>
      </c>
      <c r="AH243" s="78">
        <f t="shared" ca="1" si="82"/>
        <v>0</v>
      </c>
      <c r="AI243" s="78">
        <f t="shared" ca="1" si="98"/>
        <v>0</v>
      </c>
    </row>
    <row r="244" spans="1:35" x14ac:dyDescent="0.25">
      <c r="A244">
        <f t="shared" si="78"/>
        <v>20</v>
      </c>
      <c r="B244">
        <f t="shared" si="83"/>
        <v>239</v>
      </c>
      <c r="C244" s="49">
        <f t="shared" si="77"/>
        <v>7245</v>
      </c>
      <c r="D244" s="78">
        <f>IF(C244&gt;EDATE(DATE(YEAR(SED_Origination_Date)+ SED_Amort, MONTH(SED_Origination_Date), DAY(SED_Origination_Date)),SED_Interest_Only),0,H243)</f>
        <v>0</v>
      </c>
      <c r="E244" s="78">
        <f t="shared" si="84"/>
        <v>0</v>
      </c>
      <c r="F244" s="78">
        <f>IFERROR(IF(OR(B244=0, C244&gt;=Refi_Origination_Date),0, PPMT(SED_I_Adj,'Loan Amort Table'!B244,SED_Amort_Periods,SED_Orig_Loan_Amount)),0)</f>
        <v>0</v>
      </c>
      <c r="G244" s="78" cm="1">
        <f t="array" ref="G244">IFERROR(_xlfn.IFS(C244&gt;=Refi_Origination_Date, 0, SED_Amort = 0, -D244 * SED_I_Adj, 1, IPMT(SED_I_Adj,IF(B244 = 0, 1, B244),SED_Amort_Periods,SED_Orig_Loan_Amount)),0)</f>
        <v>0</v>
      </c>
      <c r="H244" s="78">
        <f t="shared" si="99"/>
        <v>0</v>
      </c>
      <c r="J244">
        <f t="shared" si="79"/>
        <v>20</v>
      </c>
      <c r="K244">
        <f t="shared" si="85"/>
        <v>239</v>
      </c>
      <c r="L244" s="49">
        <f t="shared" si="92"/>
        <v>7245</v>
      </c>
      <c r="M244" s="78">
        <f>IF(L244&gt;EDATE(DATE(YEAR(NEW_Origination_Date)+ NEW_Amort, MONTH(NEW_Origination_Date), DAY(NEW_Origination_Date)),NEW_Interest_Only),0,Q243)</f>
        <v>0</v>
      </c>
      <c r="N244" s="78">
        <f t="shared" si="86"/>
        <v>0</v>
      </c>
      <c r="O244" s="78">
        <f>IFERROR(IF(K244=0,0, PPMT(NEW_I_Adj,'Loan Amort Table'!K244,NEW_Amort_Periods,NEW_Orig_Loan_Amount)),0)</f>
        <v>0</v>
      </c>
      <c r="P244" s="78">
        <f>IFERROR(IF(NEW_Amort = 0, -M244* NEW_I_Adj,IPMT(NEW_I_Adj,IF(K244 = 0, 1, K244),NEW_Amort_Periods,NEW_Orig_Loan_Amount)),0)</f>
        <v>0</v>
      </c>
      <c r="Q244" s="78">
        <f t="shared" si="87"/>
        <v>0</v>
      </c>
      <c r="S244">
        <f t="shared" si="80"/>
        <v>20</v>
      </c>
      <c r="T244">
        <f t="shared" si="88"/>
        <v>239</v>
      </c>
      <c r="U244" s="49">
        <f t="shared" si="93"/>
        <v>7245</v>
      </c>
      <c r="V244" s="78">
        <f t="shared" si="89"/>
        <v>0</v>
      </c>
      <c r="W244" s="78">
        <f t="shared" ca="1" si="94"/>
        <v>0</v>
      </c>
      <c r="X244" s="78">
        <f>IFERROR(IF(OR(T244=0, U244&gt;=Refi_Origination_Date),0, PPMT(Mezz_I_Adj,'Loan Amort Table'!T244,Mezz_Amort_Periods,Mezz_Orig_Loan_Amount)),0)</f>
        <v>0</v>
      </c>
      <c r="Y244" s="78" cm="1">
        <f t="array" aca="1" ref="Y244" ca="1">IFERROR(_xlfn.IFS(U244&gt;=Refi_Origination_Date,0, Mezz_Amort = 0, -V244 * Mezz_I_Adj, 1, IPMT(Mezz_I_Adj,IF(T244 = 0, 1, T244),Mezz_Amort_Periods,Mezz_Orig_Loan_Amount)),0)</f>
        <v>0</v>
      </c>
      <c r="Z244" s="78">
        <f t="shared" si="95"/>
        <v>0</v>
      </c>
      <c r="AB244">
        <f t="shared" si="81"/>
        <v>20</v>
      </c>
      <c r="AC244">
        <f t="shared" si="90"/>
        <v>239</v>
      </c>
      <c r="AD244" s="49">
        <f t="shared" si="96"/>
        <v>7245</v>
      </c>
      <c r="AE244" s="78">
        <f t="shared" si="91"/>
        <v>0</v>
      </c>
      <c r="AF244" s="78">
        <f t="shared" ca="1" si="97"/>
        <v>0</v>
      </c>
      <c r="AG244" s="78">
        <f ca="1">IFERROR(IF(AC244=0,0, PPMT(Refi_I_Adj,'Loan Amort Table'!AC244,Refi_Amort_Periods,Refi_Orig_Loan_Amount)),0)</f>
        <v>0</v>
      </c>
      <c r="AH244" s="78">
        <f t="shared" ca="1" si="82"/>
        <v>0</v>
      </c>
      <c r="AI244" s="78">
        <f t="shared" ca="1" si="98"/>
        <v>0</v>
      </c>
    </row>
    <row r="245" spans="1:35" x14ac:dyDescent="0.25">
      <c r="A245">
        <f t="shared" si="78"/>
        <v>20</v>
      </c>
      <c r="B245">
        <f t="shared" si="83"/>
        <v>240</v>
      </c>
      <c r="C245" s="49">
        <f t="shared" si="77"/>
        <v>7275</v>
      </c>
      <c r="D245" s="78">
        <f>IF(C245&gt;EDATE(DATE(YEAR(SED_Origination_Date)+ SED_Amort, MONTH(SED_Origination_Date), DAY(SED_Origination_Date)),SED_Interest_Only),0,H244)</f>
        <v>0</v>
      </c>
      <c r="E245" s="78">
        <f t="shared" si="84"/>
        <v>0</v>
      </c>
      <c r="F245" s="78">
        <f>IFERROR(IF(OR(B245=0, C245&gt;=Refi_Origination_Date),0, PPMT(SED_I_Adj,'Loan Amort Table'!B245,SED_Amort_Periods,SED_Orig_Loan_Amount)),0)</f>
        <v>0</v>
      </c>
      <c r="G245" s="78" cm="1">
        <f t="array" ref="G245">IFERROR(_xlfn.IFS(C245&gt;=Refi_Origination_Date, 0, SED_Amort = 0, -D245 * SED_I_Adj, 1, IPMT(SED_I_Adj,IF(B245 = 0, 1, B245),SED_Amort_Periods,SED_Orig_Loan_Amount)),0)</f>
        <v>0</v>
      </c>
      <c r="H245" s="78">
        <f t="shared" si="99"/>
        <v>0</v>
      </c>
      <c r="J245">
        <f t="shared" si="79"/>
        <v>20</v>
      </c>
      <c r="K245">
        <f t="shared" si="85"/>
        <v>240</v>
      </c>
      <c r="L245" s="49">
        <f t="shared" si="92"/>
        <v>7275</v>
      </c>
      <c r="M245" s="78">
        <f>IF(L245&gt;EDATE(DATE(YEAR(NEW_Origination_Date)+ NEW_Amort, MONTH(NEW_Origination_Date), DAY(NEW_Origination_Date)),NEW_Interest_Only),0,Q244)</f>
        <v>0</v>
      </c>
      <c r="N245" s="78">
        <f t="shared" si="86"/>
        <v>0</v>
      </c>
      <c r="O245" s="78">
        <f>IFERROR(IF(K245=0,0, PPMT(NEW_I_Adj,'Loan Amort Table'!K245,NEW_Amort_Periods,NEW_Orig_Loan_Amount)),0)</f>
        <v>0</v>
      </c>
      <c r="P245" s="78">
        <f>IFERROR(IF(NEW_Amort = 0, -M245* NEW_I_Adj,IPMT(NEW_I_Adj,IF(K245 = 0, 1, K245),NEW_Amort_Periods,NEW_Orig_Loan_Amount)),0)</f>
        <v>0</v>
      </c>
      <c r="Q245" s="78">
        <f t="shared" si="87"/>
        <v>0</v>
      </c>
      <c r="S245">
        <f t="shared" si="80"/>
        <v>20</v>
      </c>
      <c r="T245">
        <f t="shared" si="88"/>
        <v>240</v>
      </c>
      <c r="U245" s="49">
        <f t="shared" si="93"/>
        <v>7275</v>
      </c>
      <c r="V245" s="78">
        <f t="shared" si="89"/>
        <v>0</v>
      </c>
      <c r="W245" s="78">
        <f t="shared" ca="1" si="94"/>
        <v>0</v>
      </c>
      <c r="X245" s="78">
        <f>IFERROR(IF(OR(T245=0, U245&gt;=Refi_Origination_Date),0, PPMT(Mezz_I_Adj,'Loan Amort Table'!T245,Mezz_Amort_Periods,Mezz_Orig_Loan_Amount)),0)</f>
        <v>0</v>
      </c>
      <c r="Y245" s="78" cm="1">
        <f t="array" aca="1" ref="Y245" ca="1">IFERROR(_xlfn.IFS(U245&gt;=Refi_Origination_Date,0, Mezz_Amort = 0, -V245 * Mezz_I_Adj, 1, IPMT(Mezz_I_Adj,IF(T245 = 0, 1, T245),Mezz_Amort_Periods,Mezz_Orig_Loan_Amount)),0)</f>
        <v>0</v>
      </c>
      <c r="Z245" s="78">
        <f t="shared" si="95"/>
        <v>0</v>
      </c>
      <c r="AB245">
        <f t="shared" si="81"/>
        <v>20</v>
      </c>
      <c r="AC245">
        <f t="shared" si="90"/>
        <v>240</v>
      </c>
      <c r="AD245" s="49">
        <f t="shared" si="96"/>
        <v>7275</v>
      </c>
      <c r="AE245" s="78">
        <f t="shared" si="91"/>
        <v>0</v>
      </c>
      <c r="AF245" s="78">
        <f t="shared" ca="1" si="97"/>
        <v>0</v>
      </c>
      <c r="AG245" s="78">
        <f ca="1">IFERROR(IF(AC245=0,0, PPMT(Refi_I_Adj,'Loan Amort Table'!AC245,Refi_Amort_Periods,Refi_Orig_Loan_Amount)),0)</f>
        <v>0</v>
      </c>
      <c r="AH245" s="78">
        <f t="shared" ca="1" si="82"/>
        <v>0</v>
      </c>
      <c r="AI245" s="78">
        <f t="shared" ca="1" si="98"/>
        <v>0</v>
      </c>
    </row>
    <row r="246" spans="1:35" x14ac:dyDescent="0.25">
      <c r="A246">
        <f t="shared" si="78"/>
        <v>21</v>
      </c>
      <c r="B246">
        <f t="shared" si="83"/>
        <v>241</v>
      </c>
      <c r="C246" s="49">
        <f t="shared" si="77"/>
        <v>7306</v>
      </c>
      <c r="D246" s="78">
        <f>IF(C246&gt;EDATE(DATE(YEAR(SED_Origination_Date)+ SED_Amort, MONTH(SED_Origination_Date), DAY(SED_Origination_Date)),SED_Interest_Only),0,H245)</f>
        <v>0</v>
      </c>
      <c r="E246" s="78">
        <f t="shared" si="84"/>
        <v>0</v>
      </c>
      <c r="F246" s="78">
        <f>IFERROR(IF(OR(B246=0, C246&gt;=Refi_Origination_Date),0, PPMT(SED_I_Adj,'Loan Amort Table'!B246,SED_Amort_Periods,SED_Orig_Loan_Amount)),0)</f>
        <v>0</v>
      </c>
      <c r="G246" s="78" cm="1">
        <f t="array" ref="G246">IFERROR(_xlfn.IFS(C246&gt;=Refi_Origination_Date, 0, SED_Amort = 0, -D246 * SED_I_Adj, 1, IPMT(SED_I_Adj,IF(B246 = 0, 1, B246),SED_Amort_Periods,SED_Orig_Loan_Amount)),0)</f>
        <v>0</v>
      </c>
      <c r="H246" s="78">
        <f t="shared" si="99"/>
        <v>0</v>
      </c>
      <c r="J246">
        <f t="shared" si="79"/>
        <v>21</v>
      </c>
      <c r="K246">
        <f t="shared" si="85"/>
        <v>241</v>
      </c>
      <c r="L246" s="49">
        <f t="shared" si="92"/>
        <v>7306</v>
      </c>
      <c r="M246" s="78">
        <f>IF(L246&gt;EDATE(DATE(YEAR(NEW_Origination_Date)+ NEW_Amort, MONTH(NEW_Origination_Date), DAY(NEW_Origination_Date)),NEW_Interest_Only),0,Q245)</f>
        <v>0</v>
      </c>
      <c r="N246" s="78">
        <f t="shared" si="86"/>
        <v>0</v>
      </c>
      <c r="O246" s="78">
        <f>IFERROR(IF(K246=0,0, PPMT(NEW_I_Adj,'Loan Amort Table'!K246,NEW_Amort_Periods,NEW_Orig_Loan_Amount)),0)</f>
        <v>0</v>
      </c>
      <c r="P246" s="78">
        <f>IFERROR(IF(NEW_Amort = 0, -M246* NEW_I_Adj,IPMT(NEW_I_Adj,IF(K246 = 0, 1, K246),NEW_Amort_Periods,NEW_Orig_Loan_Amount)),0)</f>
        <v>0</v>
      </c>
      <c r="Q246" s="78">
        <f t="shared" si="87"/>
        <v>0</v>
      </c>
      <c r="S246">
        <f t="shared" si="80"/>
        <v>21</v>
      </c>
      <c r="T246">
        <f t="shared" si="88"/>
        <v>241</v>
      </c>
      <c r="U246" s="49">
        <f t="shared" si="93"/>
        <v>7306</v>
      </c>
      <c r="V246" s="78">
        <f t="shared" si="89"/>
        <v>0</v>
      </c>
      <c r="W246" s="78">
        <f t="shared" ca="1" si="94"/>
        <v>0</v>
      </c>
      <c r="X246" s="78">
        <f>IFERROR(IF(OR(T246=0, U246&gt;=Refi_Origination_Date),0, PPMT(Mezz_I_Adj,'Loan Amort Table'!T246,Mezz_Amort_Periods,Mezz_Orig_Loan_Amount)),0)</f>
        <v>0</v>
      </c>
      <c r="Y246" s="78" cm="1">
        <f t="array" aca="1" ref="Y246" ca="1">IFERROR(_xlfn.IFS(U246&gt;=Refi_Origination_Date,0, Mezz_Amort = 0, -V246 * Mezz_I_Adj, 1, IPMT(Mezz_I_Adj,IF(T246 = 0, 1, T246),Mezz_Amort_Periods,Mezz_Orig_Loan_Amount)),0)</f>
        <v>0</v>
      </c>
      <c r="Z246" s="78">
        <f t="shared" si="95"/>
        <v>0</v>
      </c>
      <c r="AB246">
        <f t="shared" si="81"/>
        <v>21</v>
      </c>
      <c r="AC246">
        <f t="shared" si="90"/>
        <v>241</v>
      </c>
      <c r="AD246" s="49">
        <f t="shared" si="96"/>
        <v>7306</v>
      </c>
      <c r="AE246" s="78">
        <f t="shared" si="91"/>
        <v>0</v>
      </c>
      <c r="AF246" s="78">
        <f t="shared" ca="1" si="97"/>
        <v>0</v>
      </c>
      <c r="AG246" s="78">
        <f ca="1">IFERROR(IF(AC246=0,0, PPMT(Refi_I_Adj,'Loan Amort Table'!AC246,Refi_Amort_Periods,Refi_Orig_Loan_Amount)),0)</f>
        <v>0</v>
      </c>
      <c r="AH246" s="78">
        <f t="shared" ca="1" si="82"/>
        <v>0</v>
      </c>
      <c r="AI246" s="78">
        <f t="shared" ca="1" si="98"/>
        <v>0</v>
      </c>
    </row>
    <row r="247" spans="1:35" x14ac:dyDescent="0.25">
      <c r="A247">
        <f t="shared" si="78"/>
        <v>21</v>
      </c>
      <c r="B247">
        <f t="shared" si="83"/>
        <v>242</v>
      </c>
      <c r="C247" s="49">
        <f t="shared" si="77"/>
        <v>7337</v>
      </c>
      <c r="D247" s="78">
        <f>IF(C247&gt;EDATE(DATE(YEAR(SED_Origination_Date)+ SED_Amort, MONTH(SED_Origination_Date), DAY(SED_Origination_Date)),SED_Interest_Only),0,H246)</f>
        <v>0</v>
      </c>
      <c r="E247" s="78">
        <f t="shared" si="84"/>
        <v>0</v>
      </c>
      <c r="F247" s="78">
        <f>IFERROR(IF(OR(B247=0, C247&gt;=Refi_Origination_Date),0, PPMT(SED_I_Adj,'Loan Amort Table'!B247,SED_Amort_Periods,SED_Orig_Loan_Amount)),0)</f>
        <v>0</v>
      </c>
      <c r="G247" s="78" cm="1">
        <f t="array" ref="G247">IFERROR(_xlfn.IFS(C247&gt;=Refi_Origination_Date, 0, SED_Amort = 0, -D247 * SED_I_Adj, 1, IPMT(SED_I_Adj,IF(B247 = 0, 1, B247),SED_Amort_Periods,SED_Orig_Loan_Amount)),0)</f>
        <v>0</v>
      </c>
      <c r="H247" s="78">
        <f t="shared" si="99"/>
        <v>0</v>
      </c>
      <c r="J247">
        <f t="shared" si="79"/>
        <v>21</v>
      </c>
      <c r="K247">
        <f t="shared" si="85"/>
        <v>242</v>
      </c>
      <c r="L247" s="49">
        <f t="shared" si="92"/>
        <v>7337</v>
      </c>
      <c r="M247" s="78">
        <f>IF(L247&gt;EDATE(DATE(YEAR(NEW_Origination_Date)+ NEW_Amort, MONTH(NEW_Origination_Date), DAY(NEW_Origination_Date)),NEW_Interest_Only),0,Q246)</f>
        <v>0</v>
      </c>
      <c r="N247" s="78">
        <f t="shared" si="86"/>
        <v>0</v>
      </c>
      <c r="O247" s="78">
        <f>IFERROR(IF(K247=0,0, PPMT(NEW_I_Adj,'Loan Amort Table'!K247,NEW_Amort_Periods,NEW_Orig_Loan_Amount)),0)</f>
        <v>0</v>
      </c>
      <c r="P247" s="78">
        <f>IFERROR(IF(NEW_Amort = 0, -M247* NEW_I_Adj,IPMT(NEW_I_Adj,IF(K247 = 0, 1, K247),NEW_Amort_Periods,NEW_Orig_Loan_Amount)),0)</f>
        <v>0</v>
      </c>
      <c r="Q247" s="78">
        <f t="shared" si="87"/>
        <v>0</v>
      </c>
      <c r="S247">
        <f t="shared" si="80"/>
        <v>21</v>
      </c>
      <c r="T247">
        <f t="shared" si="88"/>
        <v>242</v>
      </c>
      <c r="U247" s="49">
        <f t="shared" si="93"/>
        <v>7337</v>
      </c>
      <c r="V247" s="78">
        <f t="shared" si="89"/>
        <v>0</v>
      </c>
      <c r="W247" s="78">
        <f t="shared" ca="1" si="94"/>
        <v>0</v>
      </c>
      <c r="X247" s="78">
        <f>IFERROR(IF(OR(T247=0, U247&gt;=Refi_Origination_Date),0, PPMT(Mezz_I_Adj,'Loan Amort Table'!T247,Mezz_Amort_Periods,Mezz_Orig_Loan_Amount)),0)</f>
        <v>0</v>
      </c>
      <c r="Y247" s="78" cm="1">
        <f t="array" aca="1" ref="Y247" ca="1">IFERROR(_xlfn.IFS(U247&gt;=Refi_Origination_Date,0, Mezz_Amort = 0, -V247 * Mezz_I_Adj, 1, IPMT(Mezz_I_Adj,IF(T247 = 0, 1, T247),Mezz_Amort_Periods,Mezz_Orig_Loan_Amount)),0)</f>
        <v>0</v>
      </c>
      <c r="Z247" s="78">
        <f t="shared" si="95"/>
        <v>0</v>
      </c>
      <c r="AB247">
        <f t="shared" si="81"/>
        <v>21</v>
      </c>
      <c r="AC247">
        <f t="shared" si="90"/>
        <v>242</v>
      </c>
      <c r="AD247" s="49">
        <f t="shared" si="96"/>
        <v>7337</v>
      </c>
      <c r="AE247" s="78">
        <f t="shared" si="91"/>
        <v>0</v>
      </c>
      <c r="AF247" s="78">
        <f t="shared" ca="1" si="97"/>
        <v>0</v>
      </c>
      <c r="AG247" s="78">
        <f ca="1">IFERROR(IF(AC247=0,0, PPMT(Refi_I_Adj,'Loan Amort Table'!AC247,Refi_Amort_Periods,Refi_Orig_Loan_Amount)),0)</f>
        <v>0</v>
      </c>
      <c r="AH247" s="78">
        <f t="shared" ca="1" si="82"/>
        <v>0</v>
      </c>
      <c r="AI247" s="78">
        <f t="shared" ca="1" si="98"/>
        <v>0</v>
      </c>
    </row>
    <row r="248" spans="1:35" x14ac:dyDescent="0.25">
      <c r="A248">
        <f t="shared" si="78"/>
        <v>21</v>
      </c>
      <c r="B248">
        <f t="shared" si="83"/>
        <v>243</v>
      </c>
      <c r="C248" s="49">
        <f t="shared" ref="C248:C311" si="100">EDATE(C247,1)</f>
        <v>7366</v>
      </c>
      <c r="D248" s="78">
        <f>IF(C248&gt;EDATE(DATE(YEAR(SED_Origination_Date)+ SED_Amort, MONTH(SED_Origination_Date), DAY(SED_Origination_Date)),SED_Interest_Only),0,H247)</f>
        <v>0</v>
      </c>
      <c r="E248" s="78">
        <f t="shared" si="84"/>
        <v>0</v>
      </c>
      <c r="F248" s="78">
        <f>IFERROR(IF(OR(B248=0, C248&gt;=Refi_Origination_Date),0, PPMT(SED_I_Adj,'Loan Amort Table'!B248,SED_Amort_Periods,SED_Orig_Loan_Amount)),0)</f>
        <v>0</v>
      </c>
      <c r="G248" s="78" cm="1">
        <f t="array" ref="G248">IFERROR(_xlfn.IFS(C248&gt;=Refi_Origination_Date, 0, SED_Amort = 0, -D248 * SED_I_Adj, 1, IPMT(SED_I_Adj,IF(B248 = 0, 1, B248),SED_Amort_Periods,SED_Orig_Loan_Amount)),0)</f>
        <v>0</v>
      </c>
      <c r="H248" s="78">
        <f t="shared" si="99"/>
        <v>0</v>
      </c>
      <c r="J248">
        <f t="shared" si="79"/>
        <v>21</v>
      </c>
      <c r="K248">
        <f t="shared" si="85"/>
        <v>243</v>
      </c>
      <c r="L248" s="49">
        <f t="shared" si="92"/>
        <v>7366</v>
      </c>
      <c r="M248" s="78">
        <f>IF(L248&gt;EDATE(DATE(YEAR(NEW_Origination_Date)+ NEW_Amort, MONTH(NEW_Origination_Date), DAY(NEW_Origination_Date)),NEW_Interest_Only),0,Q247)</f>
        <v>0</v>
      </c>
      <c r="N248" s="78">
        <f t="shared" si="86"/>
        <v>0</v>
      </c>
      <c r="O248" s="78">
        <f>IFERROR(IF(K248=0,0, PPMT(NEW_I_Adj,'Loan Amort Table'!K248,NEW_Amort_Periods,NEW_Orig_Loan_Amount)),0)</f>
        <v>0</v>
      </c>
      <c r="P248" s="78">
        <f>IFERROR(IF(NEW_Amort = 0, -M248* NEW_I_Adj,IPMT(NEW_I_Adj,IF(K248 = 0, 1, K248),NEW_Amort_Periods,NEW_Orig_Loan_Amount)),0)</f>
        <v>0</v>
      </c>
      <c r="Q248" s="78">
        <f t="shared" si="87"/>
        <v>0</v>
      </c>
      <c r="S248">
        <f t="shared" si="80"/>
        <v>21</v>
      </c>
      <c r="T248">
        <f t="shared" si="88"/>
        <v>243</v>
      </c>
      <c r="U248" s="49">
        <f t="shared" si="93"/>
        <v>7366</v>
      </c>
      <c r="V248" s="78">
        <f t="shared" si="89"/>
        <v>0</v>
      </c>
      <c r="W248" s="78">
        <f t="shared" ca="1" si="94"/>
        <v>0</v>
      </c>
      <c r="X248" s="78">
        <f>IFERROR(IF(OR(T248=0, U248&gt;=Refi_Origination_Date),0, PPMT(Mezz_I_Adj,'Loan Amort Table'!T248,Mezz_Amort_Periods,Mezz_Orig_Loan_Amount)),0)</f>
        <v>0</v>
      </c>
      <c r="Y248" s="78" cm="1">
        <f t="array" aca="1" ref="Y248" ca="1">IFERROR(_xlfn.IFS(U248&gt;=Refi_Origination_Date,0, Mezz_Amort = 0, -V248 * Mezz_I_Adj, 1, IPMT(Mezz_I_Adj,IF(T248 = 0, 1, T248),Mezz_Amort_Periods,Mezz_Orig_Loan_Amount)),0)</f>
        <v>0</v>
      </c>
      <c r="Z248" s="78">
        <f t="shared" si="95"/>
        <v>0</v>
      </c>
      <c r="AB248">
        <f t="shared" si="81"/>
        <v>21</v>
      </c>
      <c r="AC248">
        <f t="shared" si="90"/>
        <v>243</v>
      </c>
      <c r="AD248" s="49">
        <f t="shared" si="96"/>
        <v>7366</v>
      </c>
      <c r="AE248" s="78">
        <f t="shared" si="91"/>
        <v>0</v>
      </c>
      <c r="AF248" s="78">
        <f t="shared" ca="1" si="97"/>
        <v>0</v>
      </c>
      <c r="AG248" s="78">
        <f ca="1">IFERROR(IF(AC248=0,0, PPMT(Refi_I_Adj,'Loan Amort Table'!AC248,Refi_Amort_Periods,Refi_Orig_Loan_Amount)),0)</f>
        <v>0</v>
      </c>
      <c r="AH248" s="78">
        <f t="shared" ca="1" si="82"/>
        <v>0</v>
      </c>
      <c r="AI248" s="78">
        <f t="shared" ca="1" si="98"/>
        <v>0</v>
      </c>
    </row>
    <row r="249" spans="1:35" x14ac:dyDescent="0.25">
      <c r="A249">
        <f t="shared" si="78"/>
        <v>21</v>
      </c>
      <c r="B249">
        <f t="shared" si="83"/>
        <v>244</v>
      </c>
      <c r="C249" s="49">
        <f t="shared" si="100"/>
        <v>7397</v>
      </c>
      <c r="D249" s="78">
        <f>IF(C249&gt;EDATE(DATE(YEAR(SED_Origination_Date)+ SED_Amort, MONTH(SED_Origination_Date), DAY(SED_Origination_Date)),SED_Interest_Only),0,H248)</f>
        <v>0</v>
      </c>
      <c r="E249" s="78">
        <f t="shared" si="84"/>
        <v>0</v>
      </c>
      <c r="F249" s="78">
        <f>IFERROR(IF(OR(B249=0, C249&gt;=Refi_Origination_Date),0, PPMT(SED_I_Adj,'Loan Amort Table'!B249,SED_Amort_Periods,SED_Orig_Loan_Amount)),0)</f>
        <v>0</v>
      </c>
      <c r="G249" s="78" cm="1">
        <f t="array" ref="G249">IFERROR(_xlfn.IFS(C249&gt;=Refi_Origination_Date, 0, SED_Amort = 0, -D249 * SED_I_Adj, 1, IPMT(SED_I_Adj,IF(B249 = 0, 1, B249),SED_Amort_Periods,SED_Orig_Loan_Amount)),0)</f>
        <v>0</v>
      </c>
      <c r="H249" s="78">
        <f t="shared" si="99"/>
        <v>0</v>
      </c>
      <c r="J249">
        <f t="shared" si="79"/>
        <v>21</v>
      </c>
      <c r="K249">
        <f t="shared" si="85"/>
        <v>244</v>
      </c>
      <c r="L249" s="49">
        <f t="shared" si="92"/>
        <v>7397</v>
      </c>
      <c r="M249" s="78">
        <f>IF(L249&gt;EDATE(DATE(YEAR(NEW_Origination_Date)+ NEW_Amort, MONTH(NEW_Origination_Date), DAY(NEW_Origination_Date)),NEW_Interest_Only),0,Q248)</f>
        <v>0</v>
      </c>
      <c r="N249" s="78">
        <f t="shared" si="86"/>
        <v>0</v>
      </c>
      <c r="O249" s="78">
        <f>IFERROR(IF(K249=0,0, PPMT(NEW_I_Adj,'Loan Amort Table'!K249,NEW_Amort_Periods,NEW_Orig_Loan_Amount)),0)</f>
        <v>0</v>
      </c>
      <c r="P249" s="78">
        <f>IFERROR(IF(NEW_Amort = 0, -M249* NEW_I_Adj,IPMT(NEW_I_Adj,IF(K249 = 0, 1, K249),NEW_Amort_Periods,NEW_Orig_Loan_Amount)),0)</f>
        <v>0</v>
      </c>
      <c r="Q249" s="78">
        <f t="shared" si="87"/>
        <v>0</v>
      </c>
      <c r="S249">
        <f t="shared" si="80"/>
        <v>21</v>
      </c>
      <c r="T249">
        <f t="shared" si="88"/>
        <v>244</v>
      </c>
      <c r="U249" s="49">
        <f t="shared" si="93"/>
        <v>7397</v>
      </c>
      <c r="V249" s="78">
        <f t="shared" si="89"/>
        <v>0</v>
      </c>
      <c r="W249" s="78">
        <f t="shared" ca="1" si="94"/>
        <v>0</v>
      </c>
      <c r="X249" s="78">
        <f>IFERROR(IF(OR(T249=0, U249&gt;=Refi_Origination_Date),0, PPMT(Mezz_I_Adj,'Loan Amort Table'!T249,Mezz_Amort_Periods,Mezz_Orig_Loan_Amount)),0)</f>
        <v>0</v>
      </c>
      <c r="Y249" s="78" cm="1">
        <f t="array" aca="1" ref="Y249" ca="1">IFERROR(_xlfn.IFS(U249&gt;=Refi_Origination_Date,0, Mezz_Amort = 0, -V249 * Mezz_I_Adj, 1, IPMT(Mezz_I_Adj,IF(T249 = 0, 1, T249),Mezz_Amort_Periods,Mezz_Orig_Loan_Amount)),0)</f>
        <v>0</v>
      </c>
      <c r="Z249" s="78">
        <f t="shared" si="95"/>
        <v>0</v>
      </c>
      <c r="AB249">
        <f t="shared" si="81"/>
        <v>21</v>
      </c>
      <c r="AC249">
        <f t="shared" si="90"/>
        <v>244</v>
      </c>
      <c r="AD249" s="49">
        <f t="shared" si="96"/>
        <v>7397</v>
      </c>
      <c r="AE249" s="78">
        <f t="shared" si="91"/>
        <v>0</v>
      </c>
      <c r="AF249" s="78">
        <f t="shared" ca="1" si="97"/>
        <v>0</v>
      </c>
      <c r="AG249" s="78">
        <f ca="1">IFERROR(IF(AC249=0,0, PPMT(Refi_I_Adj,'Loan Amort Table'!AC249,Refi_Amort_Periods,Refi_Orig_Loan_Amount)),0)</f>
        <v>0</v>
      </c>
      <c r="AH249" s="78">
        <f t="shared" ca="1" si="82"/>
        <v>0</v>
      </c>
      <c r="AI249" s="78">
        <f t="shared" ca="1" si="98"/>
        <v>0</v>
      </c>
    </row>
    <row r="250" spans="1:35" x14ac:dyDescent="0.25">
      <c r="A250">
        <f t="shared" si="78"/>
        <v>21</v>
      </c>
      <c r="B250">
        <f t="shared" si="83"/>
        <v>245</v>
      </c>
      <c r="C250" s="49">
        <f t="shared" si="100"/>
        <v>7427</v>
      </c>
      <c r="D250" s="78">
        <f>IF(C250&gt;EDATE(DATE(YEAR(SED_Origination_Date)+ SED_Amort, MONTH(SED_Origination_Date), DAY(SED_Origination_Date)),SED_Interest_Only),0,H249)</f>
        <v>0</v>
      </c>
      <c r="E250" s="78">
        <f t="shared" si="84"/>
        <v>0</v>
      </c>
      <c r="F250" s="78">
        <f>IFERROR(IF(OR(B250=0, C250&gt;=Refi_Origination_Date),0, PPMT(SED_I_Adj,'Loan Amort Table'!B250,SED_Amort_Periods,SED_Orig_Loan_Amount)),0)</f>
        <v>0</v>
      </c>
      <c r="G250" s="78" cm="1">
        <f t="array" ref="G250">IFERROR(_xlfn.IFS(C250&gt;=Refi_Origination_Date, 0, SED_Amort = 0, -D250 * SED_I_Adj, 1, IPMT(SED_I_Adj,IF(B250 = 0, 1, B250),SED_Amort_Periods,SED_Orig_Loan_Amount)),0)</f>
        <v>0</v>
      </c>
      <c r="H250" s="78">
        <f t="shared" si="99"/>
        <v>0</v>
      </c>
      <c r="J250">
        <f t="shared" si="79"/>
        <v>21</v>
      </c>
      <c r="K250">
        <f t="shared" si="85"/>
        <v>245</v>
      </c>
      <c r="L250" s="49">
        <f t="shared" si="92"/>
        <v>7427</v>
      </c>
      <c r="M250" s="78">
        <f>IF(L250&gt;EDATE(DATE(YEAR(NEW_Origination_Date)+ NEW_Amort, MONTH(NEW_Origination_Date), DAY(NEW_Origination_Date)),NEW_Interest_Only),0,Q249)</f>
        <v>0</v>
      </c>
      <c r="N250" s="78">
        <f t="shared" si="86"/>
        <v>0</v>
      </c>
      <c r="O250" s="78">
        <f>IFERROR(IF(K250=0,0, PPMT(NEW_I_Adj,'Loan Amort Table'!K250,NEW_Amort_Periods,NEW_Orig_Loan_Amount)),0)</f>
        <v>0</v>
      </c>
      <c r="P250" s="78">
        <f>IFERROR(IF(NEW_Amort = 0, -M250* NEW_I_Adj,IPMT(NEW_I_Adj,IF(K250 = 0, 1, K250),NEW_Amort_Periods,NEW_Orig_Loan_Amount)),0)</f>
        <v>0</v>
      </c>
      <c r="Q250" s="78">
        <f t="shared" si="87"/>
        <v>0</v>
      </c>
      <c r="S250">
        <f t="shared" si="80"/>
        <v>21</v>
      </c>
      <c r="T250">
        <f t="shared" si="88"/>
        <v>245</v>
      </c>
      <c r="U250" s="49">
        <f t="shared" si="93"/>
        <v>7427</v>
      </c>
      <c r="V250" s="78">
        <f t="shared" si="89"/>
        <v>0</v>
      </c>
      <c r="W250" s="78">
        <f t="shared" ca="1" si="94"/>
        <v>0</v>
      </c>
      <c r="X250" s="78">
        <f>IFERROR(IF(OR(T250=0, U250&gt;=Refi_Origination_Date),0, PPMT(Mezz_I_Adj,'Loan Amort Table'!T250,Mezz_Amort_Periods,Mezz_Orig_Loan_Amount)),0)</f>
        <v>0</v>
      </c>
      <c r="Y250" s="78" cm="1">
        <f t="array" aca="1" ref="Y250" ca="1">IFERROR(_xlfn.IFS(U250&gt;=Refi_Origination_Date,0, Mezz_Amort = 0, -V250 * Mezz_I_Adj, 1, IPMT(Mezz_I_Adj,IF(T250 = 0, 1, T250),Mezz_Amort_Periods,Mezz_Orig_Loan_Amount)),0)</f>
        <v>0</v>
      </c>
      <c r="Z250" s="78">
        <f t="shared" si="95"/>
        <v>0</v>
      </c>
      <c r="AB250">
        <f t="shared" si="81"/>
        <v>21</v>
      </c>
      <c r="AC250">
        <f t="shared" si="90"/>
        <v>245</v>
      </c>
      <c r="AD250" s="49">
        <f t="shared" si="96"/>
        <v>7427</v>
      </c>
      <c r="AE250" s="78">
        <f t="shared" si="91"/>
        <v>0</v>
      </c>
      <c r="AF250" s="78">
        <f t="shared" ca="1" si="97"/>
        <v>0</v>
      </c>
      <c r="AG250" s="78">
        <f ca="1">IFERROR(IF(AC250=0,0, PPMT(Refi_I_Adj,'Loan Amort Table'!AC250,Refi_Amort_Periods,Refi_Orig_Loan_Amount)),0)</f>
        <v>0</v>
      </c>
      <c r="AH250" s="78">
        <f t="shared" ca="1" si="82"/>
        <v>0</v>
      </c>
      <c r="AI250" s="78">
        <f t="shared" ca="1" si="98"/>
        <v>0</v>
      </c>
    </row>
    <row r="251" spans="1:35" x14ac:dyDescent="0.25">
      <c r="A251">
        <f t="shared" si="78"/>
        <v>21</v>
      </c>
      <c r="B251">
        <f t="shared" si="83"/>
        <v>246</v>
      </c>
      <c r="C251" s="49">
        <f t="shared" si="100"/>
        <v>7458</v>
      </c>
      <c r="D251" s="78">
        <f>IF(C251&gt;EDATE(DATE(YEAR(SED_Origination_Date)+ SED_Amort, MONTH(SED_Origination_Date), DAY(SED_Origination_Date)),SED_Interest_Only),0,H250)</f>
        <v>0</v>
      </c>
      <c r="E251" s="78">
        <f t="shared" si="84"/>
        <v>0</v>
      </c>
      <c r="F251" s="78">
        <f>IFERROR(IF(OR(B251=0, C251&gt;=Refi_Origination_Date),0, PPMT(SED_I_Adj,'Loan Amort Table'!B251,SED_Amort_Periods,SED_Orig_Loan_Amount)),0)</f>
        <v>0</v>
      </c>
      <c r="G251" s="78" cm="1">
        <f t="array" ref="G251">IFERROR(_xlfn.IFS(C251&gt;=Refi_Origination_Date, 0, SED_Amort = 0, -D251 * SED_I_Adj, 1, IPMT(SED_I_Adj,IF(B251 = 0, 1, B251),SED_Amort_Periods,SED_Orig_Loan_Amount)),0)</f>
        <v>0</v>
      </c>
      <c r="H251" s="78">
        <f t="shared" si="99"/>
        <v>0</v>
      </c>
      <c r="J251">
        <f t="shared" si="79"/>
        <v>21</v>
      </c>
      <c r="K251">
        <f t="shared" si="85"/>
        <v>246</v>
      </c>
      <c r="L251" s="49">
        <f t="shared" si="92"/>
        <v>7458</v>
      </c>
      <c r="M251" s="78">
        <f>IF(L251&gt;EDATE(DATE(YEAR(NEW_Origination_Date)+ NEW_Amort, MONTH(NEW_Origination_Date), DAY(NEW_Origination_Date)),NEW_Interest_Only),0,Q250)</f>
        <v>0</v>
      </c>
      <c r="N251" s="78">
        <f t="shared" si="86"/>
        <v>0</v>
      </c>
      <c r="O251" s="78">
        <f>IFERROR(IF(K251=0,0, PPMT(NEW_I_Adj,'Loan Amort Table'!K251,NEW_Amort_Periods,NEW_Orig_Loan_Amount)),0)</f>
        <v>0</v>
      </c>
      <c r="P251" s="78">
        <f>IFERROR(IF(NEW_Amort = 0, -M251* NEW_I_Adj,IPMT(NEW_I_Adj,IF(K251 = 0, 1, K251),NEW_Amort_Periods,NEW_Orig_Loan_Amount)),0)</f>
        <v>0</v>
      </c>
      <c r="Q251" s="78">
        <f t="shared" si="87"/>
        <v>0</v>
      </c>
      <c r="S251">
        <f t="shared" si="80"/>
        <v>21</v>
      </c>
      <c r="T251">
        <f t="shared" si="88"/>
        <v>246</v>
      </c>
      <c r="U251" s="49">
        <f t="shared" si="93"/>
        <v>7458</v>
      </c>
      <c r="V251" s="78">
        <f t="shared" si="89"/>
        <v>0</v>
      </c>
      <c r="W251" s="78">
        <f t="shared" ca="1" si="94"/>
        <v>0</v>
      </c>
      <c r="X251" s="78">
        <f>IFERROR(IF(OR(T251=0, U251&gt;=Refi_Origination_Date),0, PPMT(Mezz_I_Adj,'Loan Amort Table'!T251,Mezz_Amort_Periods,Mezz_Orig_Loan_Amount)),0)</f>
        <v>0</v>
      </c>
      <c r="Y251" s="78" cm="1">
        <f t="array" aca="1" ref="Y251" ca="1">IFERROR(_xlfn.IFS(U251&gt;=Refi_Origination_Date,0, Mezz_Amort = 0, -V251 * Mezz_I_Adj, 1, IPMT(Mezz_I_Adj,IF(T251 = 0, 1, T251),Mezz_Amort_Periods,Mezz_Orig_Loan_Amount)),0)</f>
        <v>0</v>
      </c>
      <c r="Z251" s="78">
        <f t="shared" si="95"/>
        <v>0</v>
      </c>
      <c r="AB251">
        <f t="shared" si="81"/>
        <v>21</v>
      </c>
      <c r="AC251">
        <f t="shared" si="90"/>
        <v>246</v>
      </c>
      <c r="AD251" s="49">
        <f t="shared" si="96"/>
        <v>7458</v>
      </c>
      <c r="AE251" s="78">
        <f t="shared" si="91"/>
        <v>0</v>
      </c>
      <c r="AF251" s="78">
        <f t="shared" ca="1" si="97"/>
        <v>0</v>
      </c>
      <c r="AG251" s="78">
        <f ca="1">IFERROR(IF(AC251=0,0, PPMT(Refi_I_Adj,'Loan Amort Table'!AC251,Refi_Amort_Periods,Refi_Orig_Loan_Amount)),0)</f>
        <v>0</v>
      </c>
      <c r="AH251" s="78">
        <f t="shared" ca="1" si="82"/>
        <v>0</v>
      </c>
      <c r="AI251" s="78">
        <f t="shared" ca="1" si="98"/>
        <v>0</v>
      </c>
    </row>
    <row r="252" spans="1:35" x14ac:dyDescent="0.25">
      <c r="A252">
        <f t="shared" si="78"/>
        <v>21</v>
      </c>
      <c r="B252">
        <f t="shared" si="83"/>
        <v>247</v>
      </c>
      <c r="C252" s="49">
        <f t="shared" si="100"/>
        <v>7488</v>
      </c>
      <c r="D252" s="78">
        <f>IF(C252&gt;EDATE(DATE(YEAR(SED_Origination_Date)+ SED_Amort, MONTH(SED_Origination_Date), DAY(SED_Origination_Date)),SED_Interest_Only),0,H251)</f>
        <v>0</v>
      </c>
      <c r="E252" s="78">
        <f t="shared" si="84"/>
        <v>0</v>
      </c>
      <c r="F252" s="78">
        <f>IFERROR(IF(OR(B252=0, C252&gt;=Refi_Origination_Date),0, PPMT(SED_I_Adj,'Loan Amort Table'!B252,SED_Amort_Periods,SED_Orig_Loan_Amount)),0)</f>
        <v>0</v>
      </c>
      <c r="G252" s="78" cm="1">
        <f t="array" ref="G252">IFERROR(_xlfn.IFS(C252&gt;=Refi_Origination_Date, 0, SED_Amort = 0, -D252 * SED_I_Adj, 1, IPMT(SED_I_Adj,IF(B252 = 0, 1, B252),SED_Amort_Periods,SED_Orig_Loan_Amount)),0)</f>
        <v>0</v>
      </c>
      <c r="H252" s="78">
        <f t="shared" si="99"/>
        <v>0</v>
      </c>
      <c r="J252">
        <f t="shared" si="79"/>
        <v>21</v>
      </c>
      <c r="K252">
        <f t="shared" si="85"/>
        <v>247</v>
      </c>
      <c r="L252" s="49">
        <f t="shared" si="92"/>
        <v>7488</v>
      </c>
      <c r="M252" s="78">
        <f>IF(L252&gt;EDATE(DATE(YEAR(NEW_Origination_Date)+ NEW_Amort, MONTH(NEW_Origination_Date), DAY(NEW_Origination_Date)),NEW_Interest_Only),0,Q251)</f>
        <v>0</v>
      </c>
      <c r="N252" s="78">
        <f t="shared" si="86"/>
        <v>0</v>
      </c>
      <c r="O252" s="78">
        <f>IFERROR(IF(K252=0,0, PPMT(NEW_I_Adj,'Loan Amort Table'!K252,NEW_Amort_Periods,NEW_Orig_Loan_Amount)),0)</f>
        <v>0</v>
      </c>
      <c r="P252" s="78">
        <f>IFERROR(IF(NEW_Amort = 0, -M252* NEW_I_Adj,IPMT(NEW_I_Adj,IF(K252 = 0, 1, K252),NEW_Amort_Periods,NEW_Orig_Loan_Amount)),0)</f>
        <v>0</v>
      </c>
      <c r="Q252" s="78">
        <f t="shared" si="87"/>
        <v>0</v>
      </c>
      <c r="S252">
        <f t="shared" si="80"/>
        <v>21</v>
      </c>
      <c r="T252">
        <f t="shared" si="88"/>
        <v>247</v>
      </c>
      <c r="U252" s="49">
        <f t="shared" si="93"/>
        <v>7488</v>
      </c>
      <c r="V252" s="78">
        <f t="shared" si="89"/>
        <v>0</v>
      </c>
      <c r="W252" s="78">
        <f t="shared" ca="1" si="94"/>
        <v>0</v>
      </c>
      <c r="X252" s="78">
        <f>IFERROR(IF(OR(T252=0, U252&gt;=Refi_Origination_Date),0, PPMT(Mezz_I_Adj,'Loan Amort Table'!T252,Mezz_Amort_Periods,Mezz_Orig_Loan_Amount)),0)</f>
        <v>0</v>
      </c>
      <c r="Y252" s="78" cm="1">
        <f t="array" aca="1" ref="Y252" ca="1">IFERROR(_xlfn.IFS(U252&gt;=Refi_Origination_Date,0, Mezz_Amort = 0, -V252 * Mezz_I_Adj, 1, IPMT(Mezz_I_Adj,IF(T252 = 0, 1, T252),Mezz_Amort_Periods,Mezz_Orig_Loan_Amount)),0)</f>
        <v>0</v>
      </c>
      <c r="Z252" s="78">
        <f t="shared" si="95"/>
        <v>0</v>
      </c>
      <c r="AB252">
        <f t="shared" si="81"/>
        <v>21</v>
      </c>
      <c r="AC252">
        <f t="shared" si="90"/>
        <v>247</v>
      </c>
      <c r="AD252" s="49">
        <f t="shared" si="96"/>
        <v>7488</v>
      </c>
      <c r="AE252" s="78">
        <f t="shared" si="91"/>
        <v>0</v>
      </c>
      <c r="AF252" s="78">
        <f t="shared" ca="1" si="97"/>
        <v>0</v>
      </c>
      <c r="AG252" s="78">
        <f ca="1">IFERROR(IF(AC252=0,0, PPMT(Refi_I_Adj,'Loan Amort Table'!AC252,Refi_Amort_Periods,Refi_Orig_Loan_Amount)),0)</f>
        <v>0</v>
      </c>
      <c r="AH252" s="78">
        <f t="shared" ca="1" si="82"/>
        <v>0</v>
      </c>
      <c r="AI252" s="78">
        <f t="shared" ca="1" si="98"/>
        <v>0</v>
      </c>
    </row>
    <row r="253" spans="1:35" x14ac:dyDescent="0.25">
      <c r="A253">
        <f t="shared" si="78"/>
        <v>21</v>
      </c>
      <c r="B253">
        <f t="shared" si="83"/>
        <v>248</v>
      </c>
      <c r="C253" s="49">
        <f t="shared" si="100"/>
        <v>7519</v>
      </c>
      <c r="D253" s="78">
        <f>IF(C253&gt;EDATE(DATE(YEAR(SED_Origination_Date)+ SED_Amort, MONTH(SED_Origination_Date), DAY(SED_Origination_Date)),SED_Interest_Only),0,H252)</f>
        <v>0</v>
      </c>
      <c r="E253" s="78">
        <f t="shared" si="84"/>
        <v>0</v>
      </c>
      <c r="F253" s="78">
        <f>IFERROR(IF(OR(B253=0, C253&gt;=Refi_Origination_Date),0, PPMT(SED_I_Adj,'Loan Amort Table'!B253,SED_Amort_Periods,SED_Orig_Loan_Amount)),0)</f>
        <v>0</v>
      </c>
      <c r="G253" s="78" cm="1">
        <f t="array" ref="G253">IFERROR(_xlfn.IFS(C253&gt;=Refi_Origination_Date, 0, SED_Amort = 0, -D253 * SED_I_Adj, 1, IPMT(SED_I_Adj,IF(B253 = 0, 1, B253),SED_Amort_Periods,SED_Orig_Loan_Amount)),0)</f>
        <v>0</v>
      </c>
      <c r="H253" s="78">
        <f t="shared" si="99"/>
        <v>0</v>
      </c>
      <c r="J253">
        <f t="shared" si="79"/>
        <v>21</v>
      </c>
      <c r="K253">
        <f t="shared" si="85"/>
        <v>248</v>
      </c>
      <c r="L253" s="49">
        <f t="shared" si="92"/>
        <v>7519</v>
      </c>
      <c r="M253" s="78">
        <f>IF(L253&gt;EDATE(DATE(YEAR(NEW_Origination_Date)+ NEW_Amort, MONTH(NEW_Origination_Date), DAY(NEW_Origination_Date)),NEW_Interest_Only),0,Q252)</f>
        <v>0</v>
      </c>
      <c r="N253" s="78">
        <f t="shared" si="86"/>
        <v>0</v>
      </c>
      <c r="O253" s="78">
        <f>IFERROR(IF(K253=0,0, PPMT(NEW_I_Adj,'Loan Amort Table'!K253,NEW_Amort_Periods,NEW_Orig_Loan_Amount)),0)</f>
        <v>0</v>
      </c>
      <c r="P253" s="78">
        <f>IFERROR(IF(NEW_Amort = 0, -M253* NEW_I_Adj,IPMT(NEW_I_Adj,IF(K253 = 0, 1, K253),NEW_Amort_Periods,NEW_Orig_Loan_Amount)),0)</f>
        <v>0</v>
      </c>
      <c r="Q253" s="78">
        <f t="shared" si="87"/>
        <v>0</v>
      </c>
      <c r="S253">
        <f t="shared" si="80"/>
        <v>21</v>
      </c>
      <c r="T253">
        <f t="shared" si="88"/>
        <v>248</v>
      </c>
      <c r="U253" s="49">
        <f t="shared" si="93"/>
        <v>7519</v>
      </c>
      <c r="V253" s="78">
        <f t="shared" si="89"/>
        <v>0</v>
      </c>
      <c r="W253" s="78">
        <f t="shared" ca="1" si="94"/>
        <v>0</v>
      </c>
      <c r="X253" s="78">
        <f>IFERROR(IF(OR(T253=0, U253&gt;=Refi_Origination_Date),0, PPMT(Mezz_I_Adj,'Loan Amort Table'!T253,Mezz_Amort_Periods,Mezz_Orig_Loan_Amount)),0)</f>
        <v>0</v>
      </c>
      <c r="Y253" s="78" cm="1">
        <f t="array" aca="1" ref="Y253" ca="1">IFERROR(_xlfn.IFS(U253&gt;=Refi_Origination_Date,0, Mezz_Amort = 0, -V253 * Mezz_I_Adj, 1, IPMT(Mezz_I_Adj,IF(T253 = 0, 1, T253),Mezz_Amort_Periods,Mezz_Orig_Loan_Amount)),0)</f>
        <v>0</v>
      </c>
      <c r="Z253" s="78">
        <f t="shared" si="95"/>
        <v>0</v>
      </c>
      <c r="AB253">
        <f t="shared" si="81"/>
        <v>21</v>
      </c>
      <c r="AC253">
        <f t="shared" si="90"/>
        <v>248</v>
      </c>
      <c r="AD253" s="49">
        <f t="shared" si="96"/>
        <v>7519</v>
      </c>
      <c r="AE253" s="78">
        <f t="shared" si="91"/>
        <v>0</v>
      </c>
      <c r="AF253" s="78">
        <f t="shared" ca="1" si="97"/>
        <v>0</v>
      </c>
      <c r="AG253" s="78">
        <f ca="1">IFERROR(IF(AC253=0,0, PPMT(Refi_I_Adj,'Loan Amort Table'!AC253,Refi_Amort_Periods,Refi_Orig_Loan_Amount)),0)</f>
        <v>0</v>
      </c>
      <c r="AH253" s="78">
        <f t="shared" ca="1" si="82"/>
        <v>0</v>
      </c>
      <c r="AI253" s="78">
        <f t="shared" ca="1" si="98"/>
        <v>0</v>
      </c>
    </row>
    <row r="254" spans="1:35" x14ac:dyDescent="0.25">
      <c r="A254">
        <f t="shared" si="78"/>
        <v>21</v>
      </c>
      <c r="B254">
        <f t="shared" si="83"/>
        <v>249</v>
      </c>
      <c r="C254" s="49">
        <f t="shared" si="100"/>
        <v>7550</v>
      </c>
      <c r="D254" s="78">
        <f>IF(C254&gt;EDATE(DATE(YEAR(SED_Origination_Date)+ SED_Amort, MONTH(SED_Origination_Date), DAY(SED_Origination_Date)),SED_Interest_Only),0,H253)</f>
        <v>0</v>
      </c>
      <c r="E254" s="78">
        <f t="shared" si="84"/>
        <v>0</v>
      </c>
      <c r="F254" s="78">
        <f>IFERROR(IF(OR(B254=0, C254&gt;=Refi_Origination_Date),0, PPMT(SED_I_Adj,'Loan Amort Table'!B254,SED_Amort_Periods,SED_Orig_Loan_Amount)),0)</f>
        <v>0</v>
      </c>
      <c r="G254" s="78" cm="1">
        <f t="array" ref="G254">IFERROR(_xlfn.IFS(C254&gt;=Refi_Origination_Date, 0, SED_Amort = 0, -D254 * SED_I_Adj, 1, IPMT(SED_I_Adj,IF(B254 = 0, 1, B254),SED_Amort_Periods,SED_Orig_Loan_Amount)),0)</f>
        <v>0</v>
      </c>
      <c r="H254" s="78">
        <f t="shared" si="99"/>
        <v>0</v>
      </c>
      <c r="J254">
        <f t="shared" si="79"/>
        <v>21</v>
      </c>
      <c r="K254">
        <f t="shared" si="85"/>
        <v>249</v>
      </c>
      <c r="L254" s="49">
        <f t="shared" si="92"/>
        <v>7550</v>
      </c>
      <c r="M254" s="78">
        <f>IF(L254&gt;EDATE(DATE(YEAR(NEW_Origination_Date)+ NEW_Amort, MONTH(NEW_Origination_Date), DAY(NEW_Origination_Date)),NEW_Interest_Only),0,Q253)</f>
        <v>0</v>
      </c>
      <c r="N254" s="78">
        <f t="shared" si="86"/>
        <v>0</v>
      </c>
      <c r="O254" s="78">
        <f>IFERROR(IF(K254=0,0, PPMT(NEW_I_Adj,'Loan Amort Table'!K254,NEW_Amort_Periods,NEW_Orig_Loan_Amount)),0)</f>
        <v>0</v>
      </c>
      <c r="P254" s="78">
        <f>IFERROR(IF(NEW_Amort = 0, -M254* NEW_I_Adj,IPMT(NEW_I_Adj,IF(K254 = 0, 1, K254),NEW_Amort_Periods,NEW_Orig_Loan_Amount)),0)</f>
        <v>0</v>
      </c>
      <c r="Q254" s="78">
        <f t="shared" si="87"/>
        <v>0</v>
      </c>
      <c r="S254">
        <f t="shared" si="80"/>
        <v>21</v>
      </c>
      <c r="T254">
        <f t="shared" si="88"/>
        <v>249</v>
      </c>
      <c r="U254" s="49">
        <f t="shared" si="93"/>
        <v>7550</v>
      </c>
      <c r="V254" s="78">
        <f t="shared" si="89"/>
        <v>0</v>
      </c>
      <c r="W254" s="78">
        <f t="shared" ca="1" si="94"/>
        <v>0</v>
      </c>
      <c r="X254" s="78">
        <f>IFERROR(IF(OR(T254=0, U254&gt;=Refi_Origination_Date),0, PPMT(Mezz_I_Adj,'Loan Amort Table'!T254,Mezz_Amort_Periods,Mezz_Orig_Loan_Amount)),0)</f>
        <v>0</v>
      </c>
      <c r="Y254" s="78" cm="1">
        <f t="array" aca="1" ref="Y254" ca="1">IFERROR(_xlfn.IFS(U254&gt;=Refi_Origination_Date,0, Mezz_Amort = 0, -V254 * Mezz_I_Adj, 1, IPMT(Mezz_I_Adj,IF(T254 = 0, 1, T254),Mezz_Amort_Periods,Mezz_Orig_Loan_Amount)),0)</f>
        <v>0</v>
      </c>
      <c r="Z254" s="78">
        <f t="shared" si="95"/>
        <v>0</v>
      </c>
      <c r="AB254">
        <f t="shared" si="81"/>
        <v>21</v>
      </c>
      <c r="AC254">
        <f t="shared" si="90"/>
        <v>249</v>
      </c>
      <c r="AD254" s="49">
        <f t="shared" si="96"/>
        <v>7550</v>
      </c>
      <c r="AE254" s="78">
        <f t="shared" si="91"/>
        <v>0</v>
      </c>
      <c r="AF254" s="78">
        <f t="shared" ca="1" si="97"/>
        <v>0</v>
      </c>
      <c r="AG254" s="78">
        <f ca="1">IFERROR(IF(AC254=0,0, PPMT(Refi_I_Adj,'Loan Amort Table'!AC254,Refi_Amort_Periods,Refi_Orig_Loan_Amount)),0)</f>
        <v>0</v>
      </c>
      <c r="AH254" s="78">
        <f t="shared" ca="1" si="82"/>
        <v>0</v>
      </c>
      <c r="AI254" s="78">
        <f t="shared" ca="1" si="98"/>
        <v>0</v>
      </c>
    </row>
    <row r="255" spans="1:35" x14ac:dyDescent="0.25">
      <c r="A255">
        <f t="shared" si="78"/>
        <v>21</v>
      </c>
      <c r="B255">
        <f t="shared" si="83"/>
        <v>250</v>
      </c>
      <c r="C255" s="49">
        <f t="shared" si="100"/>
        <v>7580</v>
      </c>
      <c r="D255" s="78">
        <f>IF(C255&gt;EDATE(DATE(YEAR(SED_Origination_Date)+ SED_Amort, MONTH(SED_Origination_Date), DAY(SED_Origination_Date)),SED_Interest_Only),0,H254)</f>
        <v>0</v>
      </c>
      <c r="E255" s="78">
        <f t="shared" si="84"/>
        <v>0</v>
      </c>
      <c r="F255" s="78">
        <f>IFERROR(IF(OR(B255=0, C255&gt;=Refi_Origination_Date),0, PPMT(SED_I_Adj,'Loan Amort Table'!B255,SED_Amort_Periods,SED_Orig_Loan_Amount)),0)</f>
        <v>0</v>
      </c>
      <c r="G255" s="78" cm="1">
        <f t="array" ref="G255">IFERROR(_xlfn.IFS(C255&gt;=Refi_Origination_Date, 0, SED_Amort = 0, -D255 * SED_I_Adj, 1, IPMT(SED_I_Adj,IF(B255 = 0, 1, B255),SED_Amort_Periods,SED_Orig_Loan_Amount)),0)</f>
        <v>0</v>
      </c>
      <c r="H255" s="78">
        <f t="shared" si="99"/>
        <v>0</v>
      </c>
      <c r="J255">
        <f t="shared" si="79"/>
        <v>21</v>
      </c>
      <c r="K255">
        <f t="shared" si="85"/>
        <v>250</v>
      </c>
      <c r="L255" s="49">
        <f t="shared" si="92"/>
        <v>7580</v>
      </c>
      <c r="M255" s="78">
        <f>IF(L255&gt;EDATE(DATE(YEAR(NEW_Origination_Date)+ NEW_Amort, MONTH(NEW_Origination_Date), DAY(NEW_Origination_Date)),NEW_Interest_Only),0,Q254)</f>
        <v>0</v>
      </c>
      <c r="N255" s="78">
        <f t="shared" si="86"/>
        <v>0</v>
      </c>
      <c r="O255" s="78">
        <f>IFERROR(IF(K255=0,0, PPMT(NEW_I_Adj,'Loan Amort Table'!K255,NEW_Amort_Periods,NEW_Orig_Loan_Amount)),0)</f>
        <v>0</v>
      </c>
      <c r="P255" s="78">
        <f>IFERROR(IF(NEW_Amort = 0, -M255* NEW_I_Adj,IPMT(NEW_I_Adj,IF(K255 = 0, 1, K255),NEW_Amort_Periods,NEW_Orig_Loan_Amount)),0)</f>
        <v>0</v>
      </c>
      <c r="Q255" s="78">
        <f t="shared" si="87"/>
        <v>0</v>
      </c>
      <c r="S255">
        <f t="shared" si="80"/>
        <v>21</v>
      </c>
      <c r="T255">
        <f t="shared" si="88"/>
        <v>250</v>
      </c>
      <c r="U255" s="49">
        <f t="shared" si="93"/>
        <v>7580</v>
      </c>
      <c r="V255" s="78">
        <f t="shared" si="89"/>
        <v>0</v>
      </c>
      <c r="W255" s="78">
        <f t="shared" ca="1" si="94"/>
        <v>0</v>
      </c>
      <c r="X255" s="78">
        <f>IFERROR(IF(OR(T255=0, U255&gt;=Refi_Origination_Date),0, PPMT(Mezz_I_Adj,'Loan Amort Table'!T255,Mezz_Amort_Periods,Mezz_Orig_Loan_Amount)),0)</f>
        <v>0</v>
      </c>
      <c r="Y255" s="78" cm="1">
        <f t="array" aca="1" ref="Y255" ca="1">IFERROR(_xlfn.IFS(U255&gt;=Refi_Origination_Date,0, Mezz_Amort = 0, -V255 * Mezz_I_Adj, 1, IPMT(Mezz_I_Adj,IF(T255 = 0, 1, T255),Mezz_Amort_Periods,Mezz_Orig_Loan_Amount)),0)</f>
        <v>0</v>
      </c>
      <c r="Z255" s="78">
        <f t="shared" si="95"/>
        <v>0</v>
      </c>
      <c r="AB255">
        <f t="shared" si="81"/>
        <v>21</v>
      </c>
      <c r="AC255">
        <f t="shared" si="90"/>
        <v>250</v>
      </c>
      <c r="AD255" s="49">
        <f t="shared" si="96"/>
        <v>7580</v>
      </c>
      <c r="AE255" s="78">
        <f t="shared" si="91"/>
        <v>0</v>
      </c>
      <c r="AF255" s="78">
        <f t="shared" ca="1" si="97"/>
        <v>0</v>
      </c>
      <c r="AG255" s="78">
        <f ca="1">IFERROR(IF(AC255=0,0, PPMT(Refi_I_Adj,'Loan Amort Table'!AC255,Refi_Amort_Periods,Refi_Orig_Loan_Amount)),0)</f>
        <v>0</v>
      </c>
      <c r="AH255" s="78">
        <f t="shared" ca="1" si="82"/>
        <v>0</v>
      </c>
      <c r="AI255" s="78">
        <f t="shared" ca="1" si="98"/>
        <v>0</v>
      </c>
    </row>
    <row r="256" spans="1:35" x14ac:dyDescent="0.25">
      <c r="A256">
        <f t="shared" si="78"/>
        <v>21</v>
      </c>
      <c r="B256">
        <f t="shared" si="83"/>
        <v>251</v>
      </c>
      <c r="C256" s="49">
        <f t="shared" si="100"/>
        <v>7611</v>
      </c>
      <c r="D256" s="78">
        <f>IF(C256&gt;EDATE(DATE(YEAR(SED_Origination_Date)+ SED_Amort, MONTH(SED_Origination_Date), DAY(SED_Origination_Date)),SED_Interest_Only),0,H255)</f>
        <v>0</v>
      </c>
      <c r="E256" s="78">
        <f t="shared" si="84"/>
        <v>0</v>
      </c>
      <c r="F256" s="78">
        <f>IFERROR(IF(OR(B256=0, C256&gt;=Refi_Origination_Date),0, PPMT(SED_I_Adj,'Loan Amort Table'!B256,SED_Amort_Periods,SED_Orig_Loan_Amount)),0)</f>
        <v>0</v>
      </c>
      <c r="G256" s="78" cm="1">
        <f t="array" ref="G256">IFERROR(_xlfn.IFS(C256&gt;=Refi_Origination_Date, 0, SED_Amort = 0, -D256 * SED_I_Adj, 1, IPMT(SED_I_Adj,IF(B256 = 0, 1, B256),SED_Amort_Periods,SED_Orig_Loan_Amount)),0)</f>
        <v>0</v>
      </c>
      <c r="H256" s="78">
        <f t="shared" si="99"/>
        <v>0</v>
      </c>
      <c r="J256">
        <f t="shared" si="79"/>
        <v>21</v>
      </c>
      <c r="K256">
        <f t="shared" si="85"/>
        <v>251</v>
      </c>
      <c r="L256" s="49">
        <f t="shared" si="92"/>
        <v>7611</v>
      </c>
      <c r="M256" s="78">
        <f>IF(L256&gt;EDATE(DATE(YEAR(NEW_Origination_Date)+ NEW_Amort, MONTH(NEW_Origination_Date), DAY(NEW_Origination_Date)),NEW_Interest_Only),0,Q255)</f>
        <v>0</v>
      </c>
      <c r="N256" s="78">
        <f t="shared" si="86"/>
        <v>0</v>
      </c>
      <c r="O256" s="78">
        <f>IFERROR(IF(K256=0,0, PPMT(NEW_I_Adj,'Loan Amort Table'!K256,NEW_Amort_Periods,NEW_Orig_Loan_Amount)),0)</f>
        <v>0</v>
      </c>
      <c r="P256" s="78">
        <f>IFERROR(IF(NEW_Amort = 0, -M256* NEW_I_Adj,IPMT(NEW_I_Adj,IF(K256 = 0, 1, K256),NEW_Amort_Periods,NEW_Orig_Loan_Amount)),0)</f>
        <v>0</v>
      </c>
      <c r="Q256" s="78">
        <f t="shared" si="87"/>
        <v>0</v>
      </c>
      <c r="S256">
        <f t="shared" si="80"/>
        <v>21</v>
      </c>
      <c r="T256">
        <f t="shared" si="88"/>
        <v>251</v>
      </c>
      <c r="U256" s="49">
        <f t="shared" si="93"/>
        <v>7611</v>
      </c>
      <c r="V256" s="78">
        <f t="shared" si="89"/>
        <v>0</v>
      </c>
      <c r="W256" s="78">
        <f t="shared" ca="1" si="94"/>
        <v>0</v>
      </c>
      <c r="X256" s="78">
        <f>IFERROR(IF(OR(T256=0, U256&gt;=Refi_Origination_Date),0, PPMT(Mezz_I_Adj,'Loan Amort Table'!T256,Mezz_Amort_Periods,Mezz_Orig_Loan_Amount)),0)</f>
        <v>0</v>
      </c>
      <c r="Y256" s="78" cm="1">
        <f t="array" aca="1" ref="Y256" ca="1">IFERROR(_xlfn.IFS(U256&gt;=Refi_Origination_Date,0, Mezz_Amort = 0, -V256 * Mezz_I_Adj, 1, IPMT(Mezz_I_Adj,IF(T256 = 0, 1, T256),Mezz_Amort_Periods,Mezz_Orig_Loan_Amount)),0)</f>
        <v>0</v>
      </c>
      <c r="Z256" s="78">
        <f t="shared" si="95"/>
        <v>0</v>
      </c>
      <c r="AB256">
        <f t="shared" si="81"/>
        <v>21</v>
      </c>
      <c r="AC256">
        <f t="shared" si="90"/>
        <v>251</v>
      </c>
      <c r="AD256" s="49">
        <f t="shared" si="96"/>
        <v>7611</v>
      </c>
      <c r="AE256" s="78">
        <f t="shared" si="91"/>
        <v>0</v>
      </c>
      <c r="AF256" s="78">
        <f t="shared" ca="1" si="97"/>
        <v>0</v>
      </c>
      <c r="AG256" s="78">
        <f ca="1">IFERROR(IF(AC256=0,0, PPMT(Refi_I_Adj,'Loan Amort Table'!AC256,Refi_Amort_Periods,Refi_Orig_Loan_Amount)),0)</f>
        <v>0</v>
      </c>
      <c r="AH256" s="78">
        <f t="shared" ca="1" si="82"/>
        <v>0</v>
      </c>
      <c r="AI256" s="78">
        <f t="shared" ca="1" si="98"/>
        <v>0</v>
      </c>
    </row>
    <row r="257" spans="1:35" x14ac:dyDescent="0.25">
      <c r="A257">
        <f t="shared" si="78"/>
        <v>21</v>
      </c>
      <c r="B257">
        <f t="shared" si="83"/>
        <v>252</v>
      </c>
      <c r="C257" s="49">
        <f t="shared" si="100"/>
        <v>7641</v>
      </c>
      <c r="D257" s="78">
        <f>IF(C257&gt;EDATE(DATE(YEAR(SED_Origination_Date)+ SED_Amort, MONTH(SED_Origination_Date), DAY(SED_Origination_Date)),SED_Interest_Only),0,H256)</f>
        <v>0</v>
      </c>
      <c r="E257" s="78">
        <f t="shared" si="84"/>
        <v>0</v>
      </c>
      <c r="F257" s="78">
        <f>IFERROR(IF(OR(B257=0, C257&gt;=Refi_Origination_Date),0, PPMT(SED_I_Adj,'Loan Amort Table'!B257,SED_Amort_Periods,SED_Orig_Loan_Amount)),0)</f>
        <v>0</v>
      </c>
      <c r="G257" s="78" cm="1">
        <f t="array" ref="G257">IFERROR(_xlfn.IFS(C257&gt;=Refi_Origination_Date, 0, SED_Amort = 0, -D257 * SED_I_Adj, 1, IPMT(SED_I_Adj,IF(B257 = 0, 1, B257),SED_Amort_Periods,SED_Orig_Loan_Amount)),0)</f>
        <v>0</v>
      </c>
      <c r="H257" s="78">
        <f t="shared" si="99"/>
        <v>0</v>
      </c>
      <c r="J257">
        <f t="shared" si="79"/>
        <v>21</v>
      </c>
      <c r="K257">
        <f t="shared" si="85"/>
        <v>252</v>
      </c>
      <c r="L257" s="49">
        <f t="shared" si="92"/>
        <v>7641</v>
      </c>
      <c r="M257" s="78">
        <f>IF(L257&gt;EDATE(DATE(YEAR(NEW_Origination_Date)+ NEW_Amort, MONTH(NEW_Origination_Date), DAY(NEW_Origination_Date)),NEW_Interest_Only),0,Q256)</f>
        <v>0</v>
      </c>
      <c r="N257" s="78">
        <f t="shared" si="86"/>
        <v>0</v>
      </c>
      <c r="O257" s="78">
        <f>IFERROR(IF(K257=0,0, PPMT(NEW_I_Adj,'Loan Amort Table'!K257,NEW_Amort_Periods,NEW_Orig_Loan_Amount)),0)</f>
        <v>0</v>
      </c>
      <c r="P257" s="78">
        <f>IFERROR(IF(NEW_Amort = 0, -M257* NEW_I_Adj,IPMT(NEW_I_Adj,IF(K257 = 0, 1, K257),NEW_Amort_Periods,NEW_Orig_Loan_Amount)),0)</f>
        <v>0</v>
      </c>
      <c r="Q257" s="78">
        <f t="shared" si="87"/>
        <v>0</v>
      </c>
      <c r="S257">
        <f t="shared" si="80"/>
        <v>21</v>
      </c>
      <c r="T257">
        <f t="shared" si="88"/>
        <v>252</v>
      </c>
      <c r="U257" s="49">
        <f t="shared" si="93"/>
        <v>7641</v>
      </c>
      <c r="V257" s="78">
        <f t="shared" si="89"/>
        <v>0</v>
      </c>
      <c r="W257" s="78">
        <f t="shared" ca="1" si="94"/>
        <v>0</v>
      </c>
      <c r="X257" s="78">
        <f>IFERROR(IF(OR(T257=0, U257&gt;=Refi_Origination_Date),0, PPMT(Mezz_I_Adj,'Loan Amort Table'!T257,Mezz_Amort_Periods,Mezz_Orig_Loan_Amount)),0)</f>
        <v>0</v>
      </c>
      <c r="Y257" s="78" cm="1">
        <f t="array" aca="1" ref="Y257" ca="1">IFERROR(_xlfn.IFS(U257&gt;=Refi_Origination_Date,0, Mezz_Amort = 0, -V257 * Mezz_I_Adj, 1, IPMT(Mezz_I_Adj,IF(T257 = 0, 1, T257),Mezz_Amort_Periods,Mezz_Orig_Loan_Amount)),0)</f>
        <v>0</v>
      </c>
      <c r="Z257" s="78">
        <f t="shared" si="95"/>
        <v>0</v>
      </c>
      <c r="AB257">
        <f t="shared" si="81"/>
        <v>21</v>
      </c>
      <c r="AC257">
        <f t="shared" si="90"/>
        <v>252</v>
      </c>
      <c r="AD257" s="49">
        <f t="shared" si="96"/>
        <v>7641</v>
      </c>
      <c r="AE257" s="78">
        <f t="shared" si="91"/>
        <v>0</v>
      </c>
      <c r="AF257" s="78">
        <f t="shared" ca="1" si="97"/>
        <v>0</v>
      </c>
      <c r="AG257" s="78">
        <f ca="1">IFERROR(IF(AC257=0,0, PPMT(Refi_I_Adj,'Loan Amort Table'!AC257,Refi_Amort_Periods,Refi_Orig_Loan_Amount)),0)</f>
        <v>0</v>
      </c>
      <c r="AH257" s="78">
        <f t="shared" ca="1" si="82"/>
        <v>0</v>
      </c>
      <c r="AI257" s="78">
        <f t="shared" ca="1" si="98"/>
        <v>0</v>
      </c>
    </row>
    <row r="258" spans="1:35" x14ac:dyDescent="0.25">
      <c r="A258">
        <f t="shared" si="78"/>
        <v>22</v>
      </c>
      <c r="B258">
        <f t="shared" si="83"/>
        <v>253</v>
      </c>
      <c r="C258" s="49">
        <f t="shared" si="100"/>
        <v>7672</v>
      </c>
      <c r="D258" s="78">
        <f>IF(C258&gt;EDATE(DATE(YEAR(SED_Origination_Date)+ SED_Amort, MONTH(SED_Origination_Date), DAY(SED_Origination_Date)),SED_Interest_Only),0,H257)</f>
        <v>0</v>
      </c>
      <c r="E258" s="78">
        <f t="shared" si="84"/>
        <v>0</v>
      </c>
      <c r="F258" s="78">
        <f>IFERROR(IF(OR(B258=0, C258&gt;=Refi_Origination_Date),0, PPMT(SED_I_Adj,'Loan Amort Table'!B258,SED_Amort_Periods,SED_Orig_Loan_Amount)),0)</f>
        <v>0</v>
      </c>
      <c r="G258" s="78" cm="1">
        <f t="array" ref="G258">IFERROR(_xlfn.IFS(C258&gt;=Refi_Origination_Date, 0, SED_Amort = 0, -D258 * SED_I_Adj, 1, IPMT(SED_I_Adj,IF(B258 = 0, 1, B258),SED_Amort_Periods,SED_Orig_Loan_Amount)),0)</f>
        <v>0</v>
      </c>
      <c r="H258" s="78">
        <f t="shared" si="99"/>
        <v>0</v>
      </c>
      <c r="J258">
        <f t="shared" si="79"/>
        <v>22</v>
      </c>
      <c r="K258">
        <f t="shared" si="85"/>
        <v>253</v>
      </c>
      <c r="L258" s="49">
        <f t="shared" si="92"/>
        <v>7672</v>
      </c>
      <c r="M258" s="78">
        <f>IF(L258&gt;EDATE(DATE(YEAR(NEW_Origination_Date)+ NEW_Amort, MONTH(NEW_Origination_Date), DAY(NEW_Origination_Date)),NEW_Interest_Only),0,Q257)</f>
        <v>0</v>
      </c>
      <c r="N258" s="78">
        <f t="shared" si="86"/>
        <v>0</v>
      </c>
      <c r="O258" s="78">
        <f>IFERROR(IF(K258=0,0, PPMT(NEW_I_Adj,'Loan Amort Table'!K258,NEW_Amort_Periods,NEW_Orig_Loan_Amount)),0)</f>
        <v>0</v>
      </c>
      <c r="P258" s="78">
        <f>IFERROR(IF(NEW_Amort = 0, -M258* NEW_I_Adj,IPMT(NEW_I_Adj,IF(K258 = 0, 1, K258),NEW_Amort_Periods,NEW_Orig_Loan_Amount)),0)</f>
        <v>0</v>
      </c>
      <c r="Q258" s="78">
        <f t="shared" si="87"/>
        <v>0</v>
      </c>
      <c r="S258">
        <f t="shared" si="80"/>
        <v>22</v>
      </c>
      <c r="T258">
        <f t="shared" si="88"/>
        <v>253</v>
      </c>
      <c r="U258" s="49">
        <f t="shared" si="93"/>
        <v>7672</v>
      </c>
      <c r="V258" s="78">
        <f t="shared" si="89"/>
        <v>0</v>
      </c>
      <c r="W258" s="78">
        <f t="shared" ca="1" si="94"/>
        <v>0</v>
      </c>
      <c r="X258" s="78">
        <f>IFERROR(IF(OR(T258=0, U258&gt;=Refi_Origination_Date),0, PPMT(Mezz_I_Adj,'Loan Amort Table'!T258,Mezz_Amort_Periods,Mezz_Orig_Loan_Amount)),0)</f>
        <v>0</v>
      </c>
      <c r="Y258" s="78" cm="1">
        <f t="array" aca="1" ref="Y258" ca="1">IFERROR(_xlfn.IFS(U258&gt;=Refi_Origination_Date,0, Mezz_Amort = 0, -V258 * Mezz_I_Adj, 1, IPMT(Mezz_I_Adj,IF(T258 = 0, 1, T258),Mezz_Amort_Periods,Mezz_Orig_Loan_Amount)),0)</f>
        <v>0</v>
      </c>
      <c r="Z258" s="78">
        <f t="shared" si="95"/>
        <v>0</v>
      </c>
      <c r="AB258">
        <f t="shared" si="81"/>
        <v>22</v>
      </c>
      <c r="AC258">
        <f t="shared" si="90"/>
        <v>253</v>
      </c>
      <c r="AD258" s="49">
        <f t="shared" si="96"/>
        <v>7672</v>
      </c>
      <c r="AE258" s="78">
        <f t="shared" si="91"/>
        <v>0</v>
      </c>
      <c r="AF258" s="78">
        <f t="shared" ca="1" si="97"/>
        <v>0</v>
      </c>
      <c r="AG258" s="78">
        <f ca="1">IFERROR(IF(AC258=0,0, PPMT(Refi_I_Adj,'Loan Amort Table'!AC258,Refi_Amort_Periods,Refi_Orig_Loan_Amount)),0)</f>
        <v>0</v>
      </c>
      <c r="AH258" s="78">
        <f t="shared" ca="1" si="82"/>
        <v>0</v>
      </c>
      <c r="AI258" s="78">
        <f t="shared" ca="1" si="98"/>
        <v>0</v>
      </c>
    </row>
    <row r="259" spans="1:35" x14ac:dyDescent="0.25">
      <c r="A259">
        <f t="shared" si="78"/>
        <v>22</v>
      </c>
      <c r="B259">
        <f t="shared" si="83"/>
        <v>254</v>
      </c>
      <c r="C259" s="49">
        <f t="shared" si="100"/>
        <v>7703</v>
      </c>
      <c r="D259" s="78">
        <f>IF(C259&gt;EDATE(DATE(YEAR(SED_Origination_Date)+ SED_Amort, MONTH(SED_Origination_Date), DAY(SED_Origination_Date)),SED_Interest_Only),0,H258)</f>
        <v>0</v>
      </c>
      <c r="E259" s="78">
        <f t="shared" si="84"/>
        <v>0</v>
      </c>
      <c r="F259" s="78">
        <f>IFERROR(IF(OR(B259=0, C259&gt;=Refi_Origination_Date),0, PPMT(SED_I_Adj,'Loan Amort Table'!B259,SED_Amort_Periods,SED_Orig_Loan_Amount)),0)</f>
        <v>0</v>
      </c>
      <c r="G259" s="78" cm="1">
        <f t="array" ref="G259">IFERROR(_xlfn.IFS(C259&gt;=Refi_Origination_Date, 0, SED_Amort = 0, -D259 * SED_I_Adj, 1, IPMT(SED_I_Adj,IF(B259 = 0, 1, B259),SED_Amort_Periods,SED_Orig_Loan_Amount)),0)</f>
        <v>0</v>
      </c>
      <c r="H259" s="78">
        <f t="shared" si="99"/>
        <v>0</v>
      </c>
      <c r="J259">
        <f t="shared" si="79"/>
        <v>22</v>
      </c>
      <c r="K259">
        <f t="shared" si="85"/>
        <v>254</v>
      </c>
      <c r="L259" s="49">
        <f t="shared" si="92"/>
        <v>7703</v>
      </c>
      <c r="M259" s="78">
        <f>IF(L259&gt;EDATE(DATE(YEAR(NEW_Origination_Date)+ NEW_Amort, MONTH(NEW_Origination_Date), DAY(NEW_Origination_Date)),NEW_Interest_Only),0,Q258)</f>
        <v>0</v>
      </c>
      <c r="N259" s="78">
        <f t="shared" si="86"/>
        <v>0</v>
      </c>
      <c r="O259" s="78">
        <f>IFERROR(IF(K259=0,0, PPMT(NEW_I_Adj,'Loan Amort Table'!K259,NEW_Amort_Periods,NEW_Orig_Loan_Amount)),0)</f>
        <v>0</v>
      </c>
      <c r="P259" s="78">
        <f>IFERROR(IF(NEW_Amort = 0, -M259* NEW_I_Adj,IPMT(NEW_I_Adj,IF(K259 = 0, 1, K259),NEW_Amort_Periods,NEW_Orig_Loan_Amount)),0)</f>
        <v>0</v>
      </c>
      <c r="Q259" s="78">
        <f t="shared" si="87"/>
        <v>0</v>
      </c>
      <c r="S259">
        <f t="shared" si="80"/>
        <v>22</v>
      </c>
      <c r="T259">
        <f t="shared" si="88"/>
        <v>254</v>
      </c>
      <c r="U259" s="49">
        <f t="shared" si="93"/>
        <v>7703</v>
      </c>
      <c r="V259" s="78">
        <f t="shared" si="89"/>
        <v>0</v>
      </c>
      <c r="W259" s="78">
        <f t="shared" ca="1" si="94"/>
        <v>0</v>
      </c>
      <c r="X259" s="78">
        <f>IFERROR(IF(OR(T259=0, U259&gt;=Refi_Origination_Date),0, PPMT(Mezz_I_Adj,'Loan Amort Table'!T259,Mezz_Amort_Periods,Mezz_Orig_Loan_Amount)),0)</f>
        <v>0</v>
      </c>
      <c r="Y259" s="78" cm="1">
        <f t="array" aca="1" ref="Y259" ca="1">IFERROR(_xlfn.IFS(U259&gt;=Refi_Origination_Date,0, Mezz_Amort = 0, -V259 * Mezz_I_Adj, 1, IPMT(Mezz_I_Adj,IF(T259 = 0, 1, T259),Mezz_Amort_Periods,Mezz_Orig_Loan_Amount)),0)</f>
        <v>0</v>
      </c>
      <c r="Z259" s="78">
        <f t="shared" si="95"/>
        <v>0</v>
      </c>
      <c r="AB259">
        <f t="shared" si="81"/>
        <v>22</v>
      </c>
      <c r="AC259">
        <f t="shared" si="90"/>
        <v>254</v>
      </c>
      <c r="AD259" s="49">
        <f t="shared" si="96"/>
        <v>7703</v>
      </c>
      <c r="AE259" s="78">
        <f t="shared" si="91"/>
        <v>0</v>
      </c>
      <c r="AF259" s="78">
        <f t="shared" ca="1" si="97"/>
        <v>0</v>
      </c>
      <c r="AG259" s="78">
        <f ca="1">IFERROR(IF(AC259=0,0, PPMT(Refi_I_Adj,'Loan Amort Table'!AC259,Refi_Amort_Periods,Refi_Orig_Loan_Amount)),0)</f>
        <v>0</v>
      </c>
      <c r="AH259" s="78">
        <f t="shared" ca="1" si="82"/>
        <v>0</v>
      </c>
      <c r="AI259" s="78">
        <f t="shared" ca="1" si="98"/>
        <v>0</v>
      </c>
    </row>
    <row r="260" spans="1:35" x14ac:dyDescent="0.25">
      <c r="A260">
        <f t="shared" si="78"/>
        <v>22</v>
      </c>
      <c r="B260">
        <f t="shared" si="83"/>
        <v>255</v>
      </c>
      <c r="C260" s="49">
        <f t="shared" si="100"/>
        <v>7731</v>
      </c>
      <c r="D260" s="78">
        <f>IF(C260&gt;EDATE(DATE(YEAR(SED_Origination_Date)+ SED_Amort, MONTH(SED_Origination_Date), DAY(SED_Origination_Date)),SED_Interest_Only),0,H259)</f>
        <v>0</v>
      </c>
      <c r="E260" s="78">
        <f t="shared" si="84"/>
        <v>0</v>
      </c>
      <c r="F260" s="78">
        <f>IFERROR(IF(OR(B260=0, C260&gt;=Refi_Origination_Date),0, PPMT(SED_I_Adj,'Loan Amort Table'!B260,SED_Amort_Periods,SED_Orig_Loan_Amount)),0)</f>
        <v>0</v>
      </c>
      <c r="G260" s="78" cm="1">
        <f t="array" ref="G260">IFERROR(_xlfn.IFS(C260&gt;=Refi_Origination_Date, 0, SED_Amort = 0, -D260 * SED_I_Adj, 1, IPMT(SED_I_Adj,IF(B260 = 0, 1, B260),SED_Amort_Periods,SED_Orig_Loan_Amount)),0)</f>
        <v>0</v>
      </c>
      <c r="H260" s="78">
        <f t="shared" si="99"/>
        <v>0</v>
      </c>
      <c r="J260">
        <f t="shared" si="79"/>
        <v>22</v>
      </c>
      <c r="K260">
        <f t="shared" si="85"/>
        <v>255</v>
      </c>
      <c r="L260" s="49">
        <f t="shared" si="92"/>
        <v>7731</v>
      </c>
      <c r="M260" s="78">
        <f>IF(L260&gt;EDATE(DATE(YEAR(NEW_Origination_Date)+ NEW_Amort, MONTH(NEW_Origination_Date), DAY(NEW_Origination_Date)),NEW_Interest_Only),0,Q259)</f>
        <v>0</v>
      </c>
      <c r="N260" s="78">
        <f t="shared" si="86"/>
        <v>0</v>
      </c>
      <c r="O260" s="78">
        <f>IFERROR(IF(K260=0,0, PPMT(NEW_I_Adj,'Loan Amort Table'!K260,NEW_Amort_Periods,NEW_Orig_Loan_Amount)),0)</f>
        <v>0</v>
      </c>
      <c r="P260" s="78">
        <f>IFERROR(IF(NEW_Amort = 0, -M260* NEW_I_Adj,IPMT(NEW_I_Adj,IF(K260 = 0, 1, K260),NEW_Amort_Periods,NEW_Orig_Loan_Amount)),0)</f>
        <v>0</v>
      </c>
      <c r="Q260" s="78">
        <f t="shared" si="87"/>
        <v>0</v>
      </c>
      <c r="S260">
        <f t="shared" si="80"/>
        <v>22</v>
      </c>
      <c r="T260">
        <f t="shared" si="88"/>
        <v>255</v>
      </c>
      <c r="U260" s="49">
        <f t="shared" si="93"/>
        <v>7731</v>
      </c>
      <c r="V260" s="78">
        <f t="shared" si="89"/>
        <v>0</v>
      </c>
      <c r="W260" s="78">
        <f t="shared" ca="1" si="94"/>
        <v>0</v>
      </c>
      <c r="X260" s="78">
        <f>IFERROR(IF(OR(T260=0, U260&gt;=Refi_Origination_Date),0, PPMT(Mezz_I_Adj,'Loan Amort Table'!T260,Mezz_Amort_Periods,Mezz_Orig_Loan_Amount)),0)</f>
        <v>0</v>
      </c>
      <c r="Y260" s="78" cm="1">
        <f t="array" aca="1" ref="Y260" ca="1">IFERROR(_xlfn.IFS(U260&gt;=Refi_Origination_Date,0, Mezz_Amort = 0, -V260 * Mezz_I_Adj, 1, IPMT(Mezz_I_Adj,IF(T260 = 0, 1, T260),Mezz_Amort_Periods,Mezz_Orig_Loan_Amount)),0)</f>
        <v>0</v>
      </c>
      <c r="Z260" s="78">
        <f t="shared" si="95"/>
        <v>0</v>
      </c>
      <c r="AB260">
        <f t="shared" si="81"/>
        <v>22</v>
      </c>
      <c r="AC260">
        <f t="shared" si="90"/>
        <v>255</v>
      </c>
      <c r="AD260" s="49">
        <f t="shared" si="96"/>
        <v>7731</v>
      </c>
      <c r="AE260" s="78">
        <f t="shared" si="91"/>
        <v>0</v>
      </c>
      <c r="AF260" s="78">
        <f t="shared" ca="1" si="97"/>
        <v>0</v>
      </c>
      <c r="AG260" s="78">
        <f ca="1">IFERROR(IF(AC260=0,0, PPMT(Refi_I_Adj,'Loan Amort Table'!AC260,Refi_Amort_Periods,Refi_Orig_Loan_Amount)),0)</f>
        <v>0</v>
      </c>
      <c r="AH260" s="78">
        <f t="shared" ca="1" si="82"/>
        <v>0</v>
      </c>
      <c r="AI260" s="78">
        <f t="shared" ca="1" si="98"/>
        <v>0</v>
      </c>
    </row>
    <row r="261" spans="1:35" x14ac:dyDescent="0.25">
      <c r="A261">
        <f t="shared" si="78"/>
        <v>22</v>
      </c>
      <c r="B261">
        <f t="shared" si="83"/>
        <v>256</v>
      </c>
      <c r="C261" s="49">
        <f t="shared" si="100"/>
        <v>7762</v>
      </c>
      <c r="D261" s="78">
        <f>IF(C261&gt;EDATE(DATE(YEAR(SED_Origination_Date)+ SED_Amort, MONTH(SED_Origination_Date), DAY(SED_Origination_Date)),SED_Interest_Only),0,H260)</f>
        <v>0</v>
      </c>
      <c r="E261" s="78">
        <f t="shared" si="84"/>
        <v>0</v>
      </c>
      <c r="F261" s="78">
        <f>IFERROR(IF(OR(B261=0, C261&gt;=Refi_Origination_Date),0, PPMT(SED_I_Adj,'Loan Amort Table'!B261,SED_Amort_Periods,SED_Orig_Loan_Amount)),0)</f>
        <v>0</v>
      </c>
      <c r="G261" s="78" cm="1">
        <f t="array" ref="G261">IFERROR(_xlfn.IFS(C261&gt;=Refi_Origination_Date, 0, SED_Amort = 0, -D261 * SED_I_Adj, 1, IPMT(SED_I_Adj,IF(B261 = 0, 1, B261),SED_Amort_Periods,SED_Orig_Loan_Amount)),0)</f>
        <v>0</v>
      </c>
      <c r="H261" s="78">
        <f t="shared" si="99"/>
        <v>0</v>
      </c>
      <c r="J261">
        <f t="shared" si="79"/>
        <v>22</v>
      </c>
      <c r="K261">
        <f t="shared" si="85"/>
        <v>256</v>
      </c>
      <c r="L261" s="49">
        <f t="shared" si="92"/>
        <v>7762</v>
      </c>
      <c r="M261" s="78">
        <f>IF(L261&gt;EDATE(DATE(YEAR(NEW_Origination_Date)+ NEW_Amort, MONTH(NEW_Origination_Date), DAY(NEW_Origination_Date)),NEW_Interest_Only),0,Q260)</f>
        <v>0</v>
      </c>
      <c r="N261" s="78">
        <f t="shared" si="86"/>
        <v>0</v>
      </c>
      <c r="O261" s="78">
        <f>IFERROR(IF(K261=0,0, PPMT(NEW_I_Adj,'Loan Amort Table'!K261,NEW_Amort_Periods,NEW_Orig_Loan_Amount)),0)</f>
        <v>0</v>
      </c>
      <c r="P261" s="78">
        <f>IFERROR(IF(NEW_Amort = 0, -M261* NEW_I_Adj,IPMT(NEW_I_Adj,IF(K261 = 0, 1, K261),NEW_Amort_Periods,NEW_Orig_Loan_Amount)),0)</f>
        <v>0</v>
      </c>
      <c r="Q261" s="78">
        <f t="shared" si="87"/>
        <v>0</v>
      </c>
      <c r="S261">
        <f t="shared" si="80"/>
        <v>22</v>
      </c>
      <c r="T261">
        <f t="shared" si="88"/>
        <v>256</v>
      </c>
      <c r="U261" s="49">
        <f t="shared" si="93"/>
        <v>7762</v>
      </c>
      <c r="V261" s="78">
        <f t="shared" si="89"/>
        <v>0</v>
      </c>
      <c r="W261" s="78">
        <f t="shared" ca="1" si="94"/>
        <v>0</v>
      </c>
      <c r="X261" s="78">
        <f>IFERROR(IF(OR(T261=0, U261&gt;=Refi_Origination_Date),0, PPMT(Mezz_I_Adj,'Loan Amort Table'!T261,Mezz_Amort_Periods,Mezz_Orig_Loan_Amount)),0)</f>
        <v>0</v>
      </c>
      <c r="Y261" s="78" cm="1">
        <f t="array" aca="1" ref="Y261" ca="1">IFERROR(_xlfn.IFS(U261&gt;=Refi_Origination_Date,0, Mezz_Amort = 0, -V261 * Mezz_I_Adj, 1, IPMT(Mezz_I_Adj,IF(T261 = 0, 1, T261),Mezz_Amort_Periods,Mezz_Orig_Loan_Amount)),0)</f>
        <v>0</v>
      </c>
      <c r="Z261" s="78">
        <f t="shared" si="95"/>
        <v>0</v>
      </c>
      <c r="AB261">
        <f t="shared" si="81"/>
        <v>22</v>
      </c>
      <c r="AC261">
        <f t="shared" si="90"/>
        <v>256</v>
      </c>
      <c r="AD261" s="49">
        <f t="shared" si="96"/>
        <v>7762</v>
      </c>
      <c r="AE261" s="78">
        <f t="shared" si="91"/>
        <v>0</v>
      </c>
      <c r="AF261" s="78">
        <f t="shared" ca="1" si="97"/>
        <v>0</v>
      </c>
      <c r="AG261" s="78">
        <f ca="1">IFERROR(IF(AC261=0,0, PPMT(Refi_I_Adj,'Loan Amort Table'!AC261,Refi_Amort_Periods,Refi_Orig_Loan_Amount)),0)</f>
        <v>0</v>
      </c>
      <c r="AH261" s="78">
        <f t="shared" ca="1" si="82"/>
        <v>0</v>
      </c>
      <c r="AI261" s="78">
        <f t="shared" ca="1" si="98"/>
        <v>0</v>
      </c>
    </row>
    <row r="262" spans="1:35" x14ac:dyDescent="0.25">
      <c r="A262">
        <f t="shared" ref="A262:A325" si="101">IFERROR(ROUNDUP((DATEDIF(SED_Origination_Date,C262,"m")+1)/12,0),"")</f>
        <v>22</v>
      </c>
      <c r="B262">
        <f t="shared" si="83"/>
        <v>257</v>
      </c>
      <c r="C262" s="49">
        <f t="shared" si="100"/>
        <v>7792</v>
      </c>
      <c r="D262" s="78">
        <f>IF(C262&gt;EDATE(DATE(YEAR(SED_Origination_Date)+ SED_Amort, MONTH(SED_Origination_Date), DAY(SED_Origination_Date)),SED_Interest_Only),0,H261)</f>
        <v>0</v>
      </c>
      <c r="E262" s="78">
        <f t="shared" si="84"/>
        <v>0</v>
      </c>
      <c r="F262" s="78">
        <f>IFERROR(IF(OR(B262=0, C262&gt;=Refi_Origination_Date),0, PPMT(SED_I_Adj,'Loan Amort Table'!B262,SED_Amort_Periods,SED_Orig_Loan_Amount)),0)</f>
        <v>0</v>
      </c>
      <c r="G262" s="78" cm="1">
        <f t="array" ref="G262">IFERROR(_xlfn.IFS(C262&gt;=Refi_Origination_Date, 0, SED_Amort = 0, -D262 * SED_I_Adj, 1, IPMT(SED_I_Adj,IF(B262 = 0, 1, B262),SED_Amort_Periods,SED_Orig_Loan_Amount)),0)</f>
        <v>0</v>
      </c>
      <c r="H262" s="78">
        <f t="shared" si="99"/>
        <v>0</v>
      </c>
      <c r="J262">
        <f t="shared" ref="J262:J325" si="102">IFERROR(ROUNDUP((DATEDIF(NEW_Origination_Date,L262,"m")+1)/12,0),"")</f>
        <v>22</v>
      </c>
      <c r="K262">
        <f t="shared" si="85"/>
        <v>257</v>
      </c>
      <c r="L262" s="49">
        <f t="shared" si="92"/>
        <v>7792</v>
      </c>
      <c r="M262" s="78">
        <f>IF(L262&gt;EDATE(DATE(YEAR(NEW_Origination_Date)+ NEW_Amort, MONTH(NEW_Origination_Date), DAY(NEW_Origination_Date)),NEW_Interest_Only),0,Q261)</f>
        <v>0</v>
      </c>
      <c r="N262" s="78">
        <f t="shared" si="86"/>
        <v>0</v>
      </c>
      <c r="O262" s="78">
        <f>IFERROR(IF(K262=0,0, PPMT(NEW_I_Adj,'Loan Amort Table'!K262,NEW_Amort_Periods,NEW_Orig_Loan_Amount)),0)</f>
        <v>0</v>
      </c>
      <c r="P262" s="78">
        <f>IFERROR(IF(NEW_Amort = 0, -M262* NEW_I_Adj,IPMT(NEW_I_Adj,IF(K262 = 0, 1, K262),NEW_Amort_Periods,NEW_Orig_Loan_Amount)),0)</f>
        <v>0</v>
      </c>
      <c r="Q262" s="78">
        <f t="shared" si="87"/>
        <v>0</v>
      </c>
      <c r="S262">
        <f t="shared" ref="S262:S325" si="103">IFERROR(ROUNDUP((DATEDIF(Mezz_Origination_Date,U262,"m")+1)/12,0),"")</f>
        <v>22</v>
      </c>
      <c r="T262">
        <f t="shared" si="88"/>
        <v>257</v>
      </c>
      <c r="U262" s="49">
        <f t="shared" si="93"/>
        <v>7792</v>
      </c>
      <c r="V262" s="78">
        <f t="shared" si="89"/>
        <v>0</v>
      </c>
      <c r="W262" s="78">
        <f t="shared" ca="1" si="94"/>
        <v>0</v>
      </c>
      <c r="X262" s="78">
        <f>IFERROR(IF(OR(T262=0, U262&gt;=Refi_Origination_Date),0, PPMT(Mezz_I_Adj,'Loan Amort Table'!T262,Mezz_Amort_Periods,Mezz_Orig_Loan_Amount)),0)</f>
        <v>0</v>
      </c>
      <c r="Y262" s="78" cm="1">
        <f t="array" aca="1" ref="Y262" ca="1">IFERROR(_xlfn.IFS(U262&gt;=Refi_Origination_Date,0, Mezz_Amort = 0, -V262 * Mezz_I_Adj, 1, IPMT(Mezz_I_Adj,IF(T262 = 0, 1, T262),Mezz_Amort_Periods,Mezz_Orig_Loan_Amount)),0)</f>
        <v>0</v>
      </c>
      <c r="Z262" s="78">
        <f t="shared" si="95"/>
        <v>0</v>
      </c>
      <c r="AB262">
        <f t="shared" ref="AB262:AB325" si="104">IFERROR(ROUNDUP((DATEDIF(Refi_Origination_Date,AD262,"m")+1)/12,0),"")</f>
        <v>22</v>
      </c>
      <c r="AC262">
        <f t="shared" si="90"/>
        <v>257</v>
      </c>
      <c r="AD262" s="49">
        <f t="shared" si="96"/>
        <v>7792</v>
      </c>
      <c r="AE262" s="78">
        <f t="shared" si="91"/>
        <v>0</v>
      </c>
      <c r="AF262" s="78">
        <f t="shared" ca="1" si="97"/>
        <v>0</v>
      </c>
      <c r="AG262" s="78">
        <f ca="1">IFERROR(IF(AC262=0,0, PPMT(Refi_I_Adj,'Loan Amort Table'!AC262,Refi_Amort_Periods,Refi_Orig_Loan_Amount)),0)</f>
        <v>0</v>
      </c>
      <c r="AH262" s="78">
        <f t="shared" ref="AH262:AH325" ca="1" si="105">IFERROR(IF(Refi_Amort = 0, -AE262 * Refi_I_Adj, IPMT(Refi_I_Adj,IF(AC262 = 0, 1, AC262),Refi_Amort_Periods,Refi_Orig_Loan_Amount)),0)</f>
        <v>0</v>
      </c>
      <c r="AI262" s="78">
        <f t="shared" ca="1" si="98"/>
        <v>0</v>
      </c>
    </row>
    <row r="263" spans="1:35" x14ac:dyDescent="0.25">
      <c r="A263">
        <f t="shared" si="101"/>
        <v>22</v>
      </c>
      <c r="B263">
        <f t="shared" ref="B263:B326" si="106">IF(C263&lt;SED_Begin_PMT,0, B262+1)</f>
        <v>258</v>
      </c>
      <c r="C263" s="49">
        <f t="shared" si="100"/>
        <v>7823</v>
      </c>
      <c r="D263" s="78">
        <f>IF(C263&gt;EDATE(DATE(YEAR(SED_Origination_Date)+ SED_Amort, MONTH(SED_Origination_Date), DAY(SED_Origination_Date)),SED_Interest_Only),0,H262)</f>
        <v>0</v>
      </c>
      <c r="E263" s="78">
        <f t="shared" ref="E263:E326" si="107">F263+G263</f>
        <v>0</v>
      </c>
      <c r="F263" s="78">
        <f>IFERROR(IF(OR(B263=0, C263&gt;=Refi_Origination_Date),0, PPMT(SED_I_Adj,'Loan Amort Table'!B263,SED_Amort_Periods,SED_Orig_Loan_Amount)),0)</f>
        <v>0</v>
      </c>
      <c r="G263" s="78" cm="1">
        <f t="array" ref="G263">IFERROR(_xlfn.IFS(C263&gt;=Refi_Origination_Date, 0, SED_Amort = 0, -D263 * SED_I_Adj, 1, IPMT(SED_I_Adj,IF(B263 = 0, 1, B263),SED_Amort_Periods,SED_Orig_Loan_Amount)),0)</f>
        <v>0</v>
      </c>
      <c r="H263" s="78">
        <f t="shared" si="99"/>
        <v>0</v>
      </c>
      <c r="J263">
        <f t="shared" si="102"/>
        <v>22</v>
      </c>
      <c r="K263">
        <f t="shared" ref="K263:K326" si="108">IF(L263&lt;NEW_Begin_PMT,0, K262+1)</f>
        <v>258</v>
      </c>
      <c r="L263" s="49">
        <f t="shared" si="92"/>
        <v>7823</v>
      </c>
      <c r="M263" s="78">
        <f>IF(L263&gt;EDATE(DATE(YEAR(NEW_Origination_Date)+ NEW_Amort, MONTH(NEW_Origination_Date), DAY(NEW_Origination_Date)),NEW_Interest_Only),0,Q262)</f>
        <v>0</v>
      </c>
      <c r="N263" s="78">
        <f t="shared" ref="N263:N326" si="109">O263+P263</f>
        <v>0</v>
      </c>
      <c r="O263" s="78">
        <f>IFERROR(IF(K263=0,0, PPMT(NEW_I_Adj,'Loan Amort Table'!K263,NEW_Amort_Periods,NEW_Orig_Loan_Amount)),0)</f>
        <v>0</v>
      </c>
      <c r="P263" s="78">
        <f>IFERROR(IF(NEW_Amort = 0, -M263* NEW_I_Adj,IPMT(NEW_I_Adj,IF(K263 = 0, 1, K263),NEW_Amort_Periods,NEW_Orig_Loan_Amount)),0)</f>
        <v>0</v>
      </c>
      <c r="Q263" s="78">
        <f t="shared" ref="Q263:Q326" si="110">M263+O263</f>
        <v>0</v>
      </c>
      <c r="S263">
        <f t="shared" si="103"/>
        <v>22</v>
      </c>
      <c r="T263">
        <f t="shared" ref="T263:T326" si="111">IF(U263&lt;Mezz_Begin_PMT,0, T262+1)</f>
        <v>258</v>
      </c>
      <c r="U263" s="49">
        <f t="shared" si="93"/>
        <v>7823</v>
      </c>
      <c r="V263" s="78">
        <f t="shared" ref="V263:V326" si="112">IF(U263&gt;EDATE(DATE(YEAR(Mezz_Origination_Date)+ Mezz_Amort, MONTH(Mezz_Origination_Date), DAY(Mezz_Origination_Date)),Mezz_Interest_Only),0,Z262)</f>
        <v>0</v>
      </c>
      <c r="W263" s="78">
        <f t="shared" ca="1" si="94"/>
        <v>0</v>
      </c>
      <c r="X263" s="78">
        <f>IFERROR(IF(OR(T263=0, U263&gt;=Refi_Origination_Date),0, PPMT(Mezz_I_Adj,'Loan Amort Table'!T263,Mezz_Amort_Periods,Mezz_Orig_Loan_Amount)),0)</f>
        <v>0</v>
      </c>
      <c r="Y263" s="78" cm="1">
        <f t="array" aca="1" ref="Y263" ca="1">IFERROR(_xlfn.IFS(U263&gt;=Refi_Origination_Date,0, Mezz_Amort = 0, -V263 * Mezz_I_Adj, 1, IPMT(Mezz_I_Adj,IF(T263 = 0, 1, T263),Mezz_Amort_Periods,Mezz_Orig_Loan_Amount)),0)</f>
        <v>0</v>
      </c>
      <c r="Z263" s="78">
        <f t="shared" si="95"/>
        <v>0</v>
      </c>
      <c r="AB263">
        <f t="shared" si="104"/>
        <v>22</v>
      </c>
      <c r="AC263">
        <f t="shared" ref="AC263:AC326" si="113">IF(AD263&lt;Refi_Begin_PMT,0, AC262+1)</f>
        <v>258</v>
      </c>
      <c r="AD263" s="49">
        <f t="shared" si="96"/>
        <v>7823</v>
      </c>
      <c r="AE263" s="78">
        <f t="shared" ref="AE263:AE326" si="114">IF(AD263&gt;EDATE(DATE(YEAR(Refi_Origination_Date)+ Refi_Amort, MONTH(Refi_Origination_Date), DAY(Refi_Origination_Date)),Refi_Interest_Only),0,AI262)</f>
        <v>0</v>
      </c>
      <c r="AF263" s="78">
        <f t="shared" ca="1" si="97"/>
        <v>0</v>
      </c>
      <c r="AG263" s="78">
        <f ca="1">IFERROR(IF(AC263=0,0, PPMT(Refi_I_Adj,'Loan Amort Table'!AC263,Refi_Amort_Periods,Refi_Orig_Loan_Amount)),0)</f>
        <v>0</v>
      </c>
      <c r="AH263" s="78">
        <f t="shared" ca="1" si="105"/>
        <v>0</v>
      </c>
      <c r="AI263" s="78">
        <f t="shared" ca="1" si="98"/>
        <v>0</v>
      </c>
    </row>
    <row r="264" spans="1:35" x14ac:dyDescent="0.25">
      <c r="A264">
        <f t="shared" si="101"/>
        <v>22</v>
      </c>
      <c r="B264">
        <f t="shared" si="106"/>
        <v>259</v>
      </c>
      <c r="C264" s="49">
        <f t="shared" si="100"/>
        <v>7853</v>
      </c>
      <c r="D264" s="78">
        <f>IF(C264&gt;EDATE(DATE(YEAR(SED_Origination_Date)+ SED_Amort, MONTH(SED_Origination_Date), DAY(SED_Origination_Date)),SED_Interest_Only),0,H263)</f>
        <v>0</v>
      </c>
      <c r="E264" s="78">
        <f t="shared" si="107"/>
        <v>0</v>
      </c>
      <c r="F264" s="78">
        <f>IFERROR(IF(OR(B264=0, C264&gt;=Refi_Origination_Date),0, PPMT(SED_I_Adj,'Loan Amort Table'!B264,SED_Amort_Periods,SED_Orig_Loan_Amount)),0)</f>
        <v>0</v>
      </c>
      <c r="G264" s="78" cm="1">
        <f t="array" ref="G264">IFERROR(_xlfn.IFS(C264&gt;=Refi_Origination_Date, 0, SED_Amort = 0, -D264 * SED_I_Adj, 1, IPMT(SED_I_Adj,IF(B264 = 0, 1, B264),SED_Amort_Periods,SED_Orig_Loan_Amount)),0)</f>
        <v>0</v>
      </c>
      <c r="H264" s="78">
        <f t="shared" si="99"/>
        <v>0</v>
      </c>
      <c r="J264">
        <f t="shared" si="102"/>
        <v>22</v>
      </c>
      <c r="K264">
        <f t="shared" si="108"/>
        <v>259</v>
      </c>
      <c r="L264" s="49">
        <f t="shared" ref="L264:L327" si="115">EDATE(L263,1)</f>
        <v>7853</v>
      </c>
      <c r="M264" s="78">
        <f>IF(L264&gt;EDATE(DATE(YEAR(NEW_Origination_Date)+ NEW_Amort, MONTH(NEW_Origination_Date), DAY(NEW_Origination_Date)),NEW_Interest_Only),0,Q263)</f>
        <v>0</v>
      </c>
      <c r="N264" s="78">
        <f t="shared" si="109"/>
        <v>0</v>
      </c>
      <c r="O264" s="78">
        <f>IFERROR(IF(K264=0,0, PPMT(NEW_I_Adj,'Loan Amort Table'!K264,NEW_Amort_Periods,NEW_Orig_Loan_Amount)),0)</f>
        <v>0</v>
      </c>
      <c r="P264" s="78">
        <f>IFERROR(IF(NEW_Amort = 0, -M264* NEW_I_Adj,IPMT(NEW_I_Adj,IF(K264 = 0, 1, K264),NEW_Amort_Periods,NEW_Orig_Loan_Amount)),0)</f>
        <v>0</v>
      </c>
      <c r="Q264" s="78">
        <f t="shared" si="110"/>
        <v>0</v>
      </c>
      <c r="S264">
        <f t="shared" si="103"/>
        <v>22</v>
      </c>
      <c r="T264">
        <f t="shared" si="111"/>
        <v>259</v>
      </c>
      <c r="U264" s="49">
        <f t="shared" ref="U264:U327" si="116">EDATE(U263,1)</f>
        <v>7853</v>
      </c>
      <c r="V264" s="78">
        <f t="shared" si="112"/>
        <v>0</v>
      </c>
      <c r="W264" s="78">
        <f t="shared" ref="W264:W327" ca="1" si="117">X264+Y264</f>
        <v>0</v>
      </c>
      <c r="X264" s="78">
        <f>IFERROR(IF(OR(T264=0, U264&gt;=Refi_Origination_Date),0, PPMT(Mezz_I_Adj,'Loan Amort Table'!T264,Mezz_Amort_Periods,Mezz_Orig_Loan_Amount)),0)</f>
        <v>0</v>
      </c>
      <c r="Y264" s="78" cm="1">
        <f t="array" aca="1" ref="Y264" ca="1">IFERROR(_xlfn.IFS(U264&gt;=Refi_Origination_Date,0, Mezz_Amort = 0, -V264 * Mezz_I_Adj, 1, IPMT(Mezz_I_Adj,IF(T264 = 0, 1, T264),Mezz_Amort_Periods,Mezz_Orig_Loan_Amount)),0)</f>
        <v>0</v>
      </c>
      <c r="Z264" s="78">
        <f t="shared" ref="Z264:Z327" si="118">V264+X264</f>
        <v>0</v>
      </c>
      <c r="AB264">
        <f t="shared" si="104"/>
        <v>22</v>
      </c>
      <c r="AC264">
        <f t="shared" si="113"/>
        <v>259</v>
      </c>
      <c r="AD264" s="49">
        <f t="shared" ref="AD264:AD327" si="119">EDATE(AD263,1)</f>
        <v>7853</v>
      </c>
      <c r="AE264" s="78">
        <f t="shared" si="114"/>
        <v>0</v>
      </c>
      <c r="AF264" s="78">
        <f t="shared" ref="AF264:AF327" ca="1" si="120">AG264+AH264</f>
        <v>0</v>
      </c>
      <c r="AG264" s="78">
        <f ca="1">IFERROR(IF(AC264=0,0, PPMT(Refi_I_Adj,'Loan Amort Table'!AC264,Refi_Amort_Periods,Refi_Orig_Loan_Amount)),0)</f>
        <v>0</v>
      </c>
      <c r="AH264" s="78">
        <f t="shared" ca="1" si="105"/>
        <v>0</v>
      </c>
      <c r="AI264" s="78">
        <f t="shared" ref="AI264:AI327" ca="1" si="121">AE264+AG264</f>
        <v>0</v>
      </c>
    </row>
    <row r="265" spans="1:35" x14ac:dyDescent="0.25">
      <c r="A265">
        <f t="shared" si="101"/>
        <v>22</v>
      </c>
      <c r="B265">
        <f t="shared" si="106"/>
        <v>260</v>
      </c>
      <c r="C265" s="49">
        <f t="shared" si="100"/>
        <v>7884</v>
      </c>
      <c r="D265" s="78">
        <f>IF(C265&gt;EDATE(DATE(YEAR(SED_Origination_Date)+ SED_Amort, MONTH(SED_Origination_Date), DAY(SED_Origination_Date)),SED_Interest_Only),0,H264)</f>
        <v>0</v>
      </c>
      <c r="E265" s="78">
        <f t="shared" si="107"/>
        <v>0</v>
      </c>
      <c r="F265" s="78">
        <f>IFERROR(IF(OR(B265=0, C265&gt;=Refi_Origination_Date),0, PPMT(SED_I_Adj,'Loan Amort Table'!B265,SED_Amort_Periods,SED_Orig_Loan_Amount)),0)</f>
        <v>0</v>
      </c>
      <c r="G265" s="78" cm="1">
        <f t="array" ref="G265">IFERROR(_xlfn.IFS(C265&gt;=Refi_Origination_Date, 0, SED_Amort = 0, -D265 * SED_I_Adj, 1, IPMT(SED_I_Adj,IF(B265 = 0, 1, B265),SED_Amort_Periods,SED_Orig_Loan_Amount)),0)</f>
        <v>0</v>
      </c>
      <c r="H265" s="78">
        <f t="shared" si="99"/>
        <v>0</v>
      </c>
      <c r="J265">
        <f t="shared" si="102"/>
        <v>22</v>
      </c>
      <c r="K265">
        <f t="shared" si="108"/>
        <v>260</v>
      </c>
      <c r="L265" s="49">
        <f t="shared" si="115"/>
        <v>7884</v>
      </c>
      <c r="M265" s="78">
        <f>IF(L265&gt;EDATE(DATE(YEAR(NEW_Origination_Date)+ NEW_Amort, MONTH(NEW_Origination_Date), DAY(NEW_Origination_Date)),NEW_Interest_Only),0,Q264)</f>
        <v>0</v>
      </c>
      <c r="N265" s="78">
        <f t="shared" si="109"/>
        <v>0</v>
      </c>
      <c r="O265" s="78">
        <f>IFERROR(IF(K265=0,0, PPMT(NEW_I_Adj,'Loan Amort Table'!K265,NEW_Amort_Periods,NEW_Orig_Loan_Amount)),0)</f>
        <v>0</v>
      </c>
      <c r="P265" s="78">
        <f>IFERROR(IF(NEW_Amort = 0, -M265* NEW_I_Adj,IPMT(NEW_I_Adj,IF(K265 = 0, 1, K265),NEW_Amort_Periods,NEW_Orig_Loan_Amount)),0)</f>
        <v>0</v>
      </c>
      <c r="Q265" s="78">
        <f t="shared" si="110"/>
        <v>0</v>
      </c>
      <c r="S265">
        <f t="shared" si="103"/>
        <v>22</v>
      </c>
      <c r="T265">
        <f t="shared" si="111"/>
        <v>260</v>
      </c>
      <c r="U265" s="49">
        <f t="shared" si="116"/>
        <v>7884</v>
      </c>
      <c r="V265" s="78">
        <f t="shared" si="112"/>
        <v>0</v>
      </c>
      <c r="W265" s="78">
        <f t="shared" ca="1" si="117"/>
        <v>0</v>
      </c>
      <c r="X265" s="78">
        <f>IFERROR(IF(OR(T265=0, U265&gt;=Refi_Origination_Date),0, PPMT(Mezz_I_Adj,'Loan Amort Table'!T265,Mezz_Amort_Periods,Mezz_Orig_Loan_Amount)),0)</f>
        <v>0</v>
      </c>
      <c r="Y265" s="78" cm="1">
        <f t="array" aca="1" ref="Y265" ca="1">IFERROR(_xlfn.IFS(U265&gt;=Refi_Origination_Date,0, Mezz_Amort = 0, -V265 * Mezz_I_Adj, 1, IPMT(Mezz_I_Adj,IF(T265 = 0, 1, T265),Mezz_Amort_Periods,Mezz_Orig_Loan_Amount)),0)</f>
        <v>0</v>
      </c>
      <c r="Z265" s="78">
        <f t="shared" si="118"/>
        <v>0</v>
      </c>
      <c r="AB265">
        <f t="shared" si="104"/>
        <v>22</v>
      </c>
      <c r="AC265">
        <f t="shared" si="113"/>
        <v>260</v>
      </c>
      <c r="AD265" s="49">
        <f t="shared" si="119"/>
        <v>7884</v>
      </c>
      <c r="AE265" s="78">
        <f t="shared" si="114"/>
        <v>0</v>
      </c>
      <c r="AF265" s="78">
        <f t="shared" ca="1" si="120"/>
        <v>0</v>
      </c>
      <c r="AG265" s="78">
        <f ca="1">IFERROR(IF(AC265=0,0, PPMT(Refi_I_Adj,'Loan Amort Table'!AC265,Refi_Amort_Periods,Refi_Orig_Loan_Amount)),0)</f>
        <v>0</v>
      </c>
      <c r="AH265" s="78">
        <f t="shared" ca="1" si="105"/>
        <v>0</v>
      </c>
      <c r="AI265" s="78">
        <f t="shared" ca="1" si="121"/>
        <v>0</v>
      </c>
    </row>
    <row r="266" spans="1:35" x14ac:dyDescent="0.25">
      <c r="A266">
        <f t="shared" si="101"/>
        <v>22</v>
      </c>
      <c r="B266">
        <f t="shared" si="106"/>
        <v>261</v>
      </c>
      <c r="C266" s="49">
        <f t="shared" si="100"/>
        <v>7915</v>
      </c>
      <c r="D266" s="78">
        <f>IF(C266&gt;EDATE(DATE(YEAR(SED_Origination_Date)+ SED_Amort, MONTH(SED_Origination_Date), DAY(SED_Origination_Date)),SED_Interest_Only),0,H265)</f>
        <v>0</v>
      </c>
      <c r="E266" s="78">
        <f t="shared" si="107"/>
        <v>0</v>
      </c>
      <c r="F266" s="78">
        <f>IFERROR(IF(OR(B266=0, C266&gt;=Refi_Origination_Date),0, PPMT(SED_I_Adj,'Loan Amort Table'!B266,SED_Amort_Periods,SED_Orig_Loan_Amount)),0)</f>
        <v>0</v>
      </c>
      <c r="G266" s="78" cm="1">
        <f t="array" ref="G266">IFERROR(_xlfn.IFS(C266&gt;=Refi_Origination_Date, 0, SED_Amort = 0, -D266 * SED_I_Adj, 1, IPMT(SED_I_Adj,IF(B266 = 0, 1, B266),SED_Amort_Periods,SED_Orig_Loan_Amount)),0)</f>
        <v>0</v>
      </c>
      <c r="H266" s="78">
        <f t="shared" si="99"/>
        <v>0</v>
      </c>
      <c r="J266">
        <f t="shared" si="102"/>
        <v>22</v>
      </c>
      <c r="K266">
        <f t="shared" si="108"/>
        <v>261</v>
      </c>
      <c r="L266" s="49">
        <f t="shared" si="115"/>
        <v>7915</v>
      </c>
      <c r="M266" s="78">
        <f>IF(L266&gt;EDATE(DATE(YEAR(NEW_Origination_Date)+ NEW_Amort, MONTH(NEW_Origination_Date), DAY(NEW_Origination_Date)),NEW_Interest_Only),0,Q265)</f>
        <v>0</v>
      </c>
      <c r="N266" s="78">
        <f t="shared" si="109"/>
        <v>0</v>
      </c>
      <c r="O266" s="78">
        <f>IFERROR(IF(K266=0,0, PPMT(NEW_I_Adj,'Loan Amort Table'!K266,NEW_Amort_Periods,NEW_Orig_Loan_Amount)),0)</f>
        <v>0</v>
      </c>
      <c r="P266" s="78">
        <f>IFERROR(IF(NEW_Amort = 0, -M266* NEW_I_Adj,IPMT(NEW_I_Adj,IF(K266 = 0, 1, K266),NEW_Amort_Periods,NEW_Orig_Loan_Amount)),0)</f>
        <v>0</v>
      </c>
      <c r="Q266" s="78">
        <f t="shared" si="110"/>
        <v>0</v>
      </c>
      <c r="S266">
        <f t="shared" si="103"/>
        <v>22</v>
      </c>
      <c r="T266">
        <f t="shared" si="111"/>
        <v>261</v>
      </c>
      <c r="U266" s="49">
        <f t="shared" si="116"/>
        <v>7915</v>
      </c>
      <c r="V266" s="78">
        <f t="shared" si="112"/>
        <v>0</v>
      </c>
      <c r="W266" s="78">
        <f t="shared" ca="1" si="117"/>
        <v>0</v>
      </c>
      <c r="X266" s="78">
        <f>IFERROR(IF(OR(T266=0, U266&gt;=Refi_Origination_Date),0, PPMT(Mezz_I_Adj,'Loan Amort Table'!T266,Mezz_Amort_Periods,Mezz_Orig_Loan_Amount)),0)</f>
        <v>0</v>
      </c>
      <c r="Y266" s="78" cm="1">
        <f t="array" aca="1" ref="Y266" ca="1">IFERROR(_xlfn.IFS(U266&gt;=Refi_Origination_Date,0, Mezz_Amort = 0, -V266 * Mezz_I_Adj, 1, IPMT(Mezz_I_Adj,IF(T266 = 0, 1, T266),Mezz_Amort_Periods,Mezz_Orig_Loan_Amount)),0)</f>
        <v>0</v>
      </c>
      <c r="Z266" s="78">
        <f t="shared" si="118"/>
        <v>0</v>
      </c>
      <c r="AB266">
        <f t="shared" si="104"/>
        <v>22</v>
      </c>
      <c r="AC266">
        <f t="shared" si="113"/>
        <v>261</v>
      </c>
      <c r="AD266" s="49">
        <f t="shared" si="119"/>
        <v>7915</v>
      </c>
      <c r="AE266" s="78">
        <f t="shared" si="114"/>
        <v>0</v>
      </c>
      <c r="AF266" s="78">
        <f t="shared" ca="1" si="120"/>
        <v>0</v>
      </c>
      <c r="AG266" s="78">
        <f ca="1">IFERROR(IF(AC266=0,0, PPMT(Refi_I_Adj,'Loan Amort Table'!AC266,Refi_Amort_Periods,Refi_Orig_Loan_Amount)),0)</f>
        <v>0</v>
      </c>
      <c r="AH266" s="78">
        <f t="shared" ca="1" si="105"/>
        <v>0</v>
      </c>
      <c r="AI266" s="78">
        <f t="shared" ca="1" si="121"/>
        <v>0</v>
      </c>
    </row>
    <row r="267" spans="1:35" x14ac:dyDescent="0.25">
      <c r="A267">
        <f t="shared" si="101"/>
        <v>22</v>
      </c>
      <c r="B267">
        <f t="shared" si="106"/>
        <v>262</v>
      </c>
      <c r="C267" s="49">
        <f t="shared" si="100"/>
        <v>7945</v>
      </c>
      <c r="D267" s="78">
        <f>IF(C267&gt;EDATE(DATE(YEAR(SED_Origination_Date)+ SED_Amort, MONTH(SED_Origination_Date), DAY(SED_Origination_Date)),SED_Interest_Only),0,H266)</f>
        <v>0</v>
      </c>
      <c r="E267" s="78">
        <f t="shared" si="107"/>
        <v>0</v>
      </c>
      <c r="F267" s="78">
        <f>IFERROR(IF(OR(B267=0, C267&gt;=Refi_Origination_Date),0, PPMT(SED_I_Adj,'Loan Amort Table'!B267,SED_Amort_Periods,SED_Orig_Loan_Amount)),0)</f>
        <v>0</v>
      </c>
      <c r="G267" s="78" cm="1">
        <f t="array" ref="G267">IFERROR(_xlfn.IFS(C267&gt;=Refi_Origination_Date, 0, SED_Amort = 0, -D267 * SED_I_Adj, 1, IPMT(SED_I_Adj,IF(B267 = 0, 1, B267),SED_Amort_Periods,SED_Orig_Loan_Amount)),0)</f>
        <v>0</v>
      </c>
      <c r="H267" s="78">
        <f t="shared" ref="H267:H330" si="122">D267+F267</f>
        <v>0</v>
      </c>
      <c r="J267">
        <f t="shared" si="102"/>
        <v>22</v>
      </c>
      <c r="K267">
        <f t="shared" si="108"/>
        <v>262</v>
      </c>
      <c r="L267" s="49">
        <f t="shared" si="115"/>
        <v>7945</v>
      </c>
      <c r="M267" s="78">
        <f>IF(L267&gt;EDATE(DATE(YEAR(NEW_Origination_Date)+ NEW_Amort, MONTH(NEW_Origination_Date), DAY(NEW_Origination_Date)),NEW_Interest_Only),0,Q266)</f>
        <v>0</v>
      </c>
      <c r="N267" s="78">
        <f t="shared" si="109"/>
        <v>0</v>
      </c>
      <c r="O267" s="78">
        <f>IFERROR(IF(K267=0,0, PPMT(NEW_I_Adj,'Loan Amort Table'!K267,NEW_Amort_Periods,NEW_Orig_Loan_Amount)),0)</f>
        <v>0</v>
      </c>
      <c r="P267" s="78">
        <f>IFERROR(IF(NEW_Amort = 0, -M267* NEW_I_Adj,IPMT(NEW_I_Adj,IF(K267 = 0, 1, K267),NEW_Amort_Periods,NEW_Orig_Loan_Amount)),0)</f>
        <v>0</v>
      </c>
      <c r="Q267" s="78">
        <f t="shared" si="110"/>
        <v>0</v>
      </c>
      <c r="S267">
        <f t="shared" si="103"/>
        <v>22</v>
      </c>
      <c r="T267">
        <f t="shared" si="111"/>
        <v>262</v>
      </c>
      <c r="U267" s="49">
        <f t="shared" si="116"/>
        <v>7945</v>
      </c>
      <c r="V267" s="78">
        <f t="shared" si="112"/>
        <v>0</v>
      </c>
      <c r="W267" s="78">
        <f t="shared" ca="1" si="117"/>
        <v>0</v>
      </c>
      <c r="X267" s="78">
        <f>IFERROR(IF(OR(T267=0, U267&gt;=Refi_Origination_Date),0, PPMT(Mezz_I_Adj,'Loan Amort Table'!T267,Mezz_Amort_Periods,Mezz_Orig_Loan_Amount)),0)</f>
        <v>0</v>
      </c>
      <c r="Y267" s="78" cm="1">
        <f t="array" aca="1" ref="Y267" ca="1">IFERROR(_xlfn.IFS(U267&gt;=Refi_Origination_Date,0, Mezz_Amort = 0, -V267 * Mezz_I_Adj, 1, IPMT(Mezz_I_Adj,IF(T267 = 0, 1, T267),Mezz_Amort_Periods,Mezz_Orig_Loan_Amount)),0)</f>
        <v>0</v>
      </c>
      <c r="Z267" s="78">
        <f t="shared" si="118"/>
        <v>0</v>
      </c>
      <c r="AB267">
        <f t="shared" si="104"/>
        <v>22</v>
      </c>
      <c r="AC267">
        <f t="shared" si="113"/>
        <v>262</v>
      </c>
      <c r="AD267" s="49">
        <f t="shared" si="119"/>
        <v>7945</v>
      </c>
      <c r="AE267" s="78">
        <f t="shared" si="114"/>
        <v>0</v>
      </c>
      <c r="AF267" s="78">
        <f t="shared" ca="1" si="120"/>
        <v>0</v>
      </c>
      <c r="AG267" s="78">
        <f ca="1">IFERROR(IF(AC267=0,0, PPMT(Refi_I_Adj,'Loan Amort Table'!AC267,Refi_Amort_Periods,Refi_Orig_Loan_Amount)),0)</f>
        <v>0</v>
      </c>
      <c r="AH267" s="78">
        <f t="shared" ca="1" si="105"/>
        <v>0</v>
      </c>
      <c r="AI267" s="78">
        <f t="shared" ca="1" si="121"/>
        <v>0</v>
      </c>
    </row>
    <row r="268" spans="1:35" x14ac:dyDescent="0.25">
      <c r="A268">
        <f t="shared" si="101"/>
        <v>22</v>
      </c>
      <c r="B268">
        <f t="shared" si="106"/>
        <v>263</v>
      </c>
      <c r="C268" s="49">
        <f t="shared" si="100"/>
        <v>7976</v>
      </c>
      <c r="D268" s="78">
        <f>IF(C268&gt;EDATE(DATE(YEAR(SED_Origination_Date)+ SED_Amort, MONTH(SED_Origination_Date), DAY(SED_Origination_Date)),SED_Interest_Only),0,H267)</f>
        <v>0</v>
      </c>
      <c r="E268" s="78">
        <f t="shared" si="107"/>
        <v>0</v>
      </c>
      <c r="F268" s="78">
        <f>IFERROR(IF(OR(B268=0, C268&gt;=Refi_Origination_Date),0, PPMT(SED_I_Adj,'Loan Amort Table'!B268,SED_Amort_Periods,SED_Orig_Loan_Amount)),0)</f>
        <v>0</v>
      </c>
      <c r="G268" s="78" cm="1">
        <f t="array" ref="G268">IFERROR(_xlfn.IFS(C268&gt;=Refi_Origination_Date, 0, SED_Amort = 0, -D268 * SED_I_Adj, 1, IPMT(SED_I_Adj,IF(B268 = 0, 1, B268),SED_Amort_Periods,SED_Orig_Loan_Amount)),0)</f>
        <v>0</v>
      </c>
      <c r="H268" s="78">
        <f t="shared" si="122"/>
        <v>0</v>
      </c>
      <c r="J268">
        <f t="shared" si="102"/>
        <v>22</v>
      </c>
      <c r="K268">
        <f t="shared" si="108"/>
        <v>263</v>
      </c>
      <c r="L268" s="49">
        <f t="shared" si="115"/>
        <v>7976</v>
      </c>
      <c r="M268" s="78">
        <f>IF(L268&gt;EDATE(DATE(YEAR(NEW_Origination_Date)+ NEW_Amort, MONTH(NEW_Origination_Date), DAY(NEW_Origination_Date)),NEW_Interest_Only),0,Q267)</f>
        <v>0</v>
      </c>
      <c r="N268" s="78">
        <f t="shared" si="109"/>
        <v>0</v>
      </c>
      <c r="O268" s="78">
        <f>IFERROR(IF(K268=0,0, PPMT(NEW_I_Adj,'Loan Amort Table'!K268,NEW_Amort_Periods,NEW_Orig_Loan_Amount)),0)</f>
        <v>0</v>
      </c>
      <c r="P268" s="78">
        <f>IFERROR(IF(NEW_Amort = 0, -M268* NEW_I_Adj,IPMT(NEW_I_Adj,IF(K268 = 0, 1, K268),NEW_Amort_Periods,NEW_Orig_Loan_Amount)),0)</f>
        <v>0</v>
      </c>
      <c r="Q268" s="78">
        <f t="shared" si="110"/>
        <v>0</v>
      </c>
      <c r="S268">
        <f t="shared" si="103"/>
        <v>22</v>
      </c>
      <c r="T268">
        <f t="shared" si="111"/>
        <v>263</v>
      </c>
      <c r="U268" s="49">
        <f t="shared" si="116"/>
        <v>7976</v>
      </c>
      <c r="V268" s="78">
        <f t="shared" si="112"/>
        <v>0</v>
      </c>
      <c r="W268" s="78">
        <f t="shared" ca="1" si="117"/>
        <v>0</v>
      </c>
      <c r="X268" s="78">
        <f>IFERROR(IF(OR(T268=0, U268&gt;=Refi_Origination_Date),0, PPMT(Mezz_I_Adj,'Loan Amort Table'!T268,Mezz_Amort_Periods,Mezz_Orig_Loan_Amount)),0)</f>
        <v>0</v>
      </c>
      <c r="Y268" s="78" cm="1">
        <f t="array" aca="1" ref="Y268" ca="1">IFERROR(_xlfn.IFS(U268&gt;=Refi_Origination_Date,0, Mezz_Amort = 0, -V268 * Mezz_I_Adj, 1, IPMT(Mezz_I_Adj,IF(T268 = 0, 1, T268),Mezz_Amort_Periods,Mezz_Orig_Loan_Amount)),0)</f>
        <v>0</v>
      </c>
      <c r="Z268" s="78">
        <f t="shared" si="118"/>
        <v>0</v>
      </c>
      <c r="AB268">
        <f t="shared" si="104"/>
        <v>22</v>
      </c>
      <c r="AC268">
        <f t="shared" si="113"/>
        <v>263</v>
      </c>
      <c r="AD268" s="49">
        <f t="shared" si="119"/>
        <v>7976</v>
      </c>
      <c r="AE268" s="78">
        <f t="shared" si="114"/>
        <v>0</v>
      </c>
      <c r="AF268" s="78">
        <f t="shared" ca="1" si="120"/>
        <v>0</v>
      </c>
      <c r="AG268" s="78">
        <f ca="1">IFERROR(IF(AC268=0,0, PPMT(Refi_I_Adj,'Loan Amort Table'!AC268,Refi_Amort_Periods,Refi_Orig_Loan_Amount)),0)</f>
        <v>0</v>
      </c>
      <c r="AH268" s="78">
        <f t="shared" ca="1" si="105"/>
        <v>0</v>
      </c>
      <c r="AI268" s="78">
        <f t="shared" ca="1" si="121"/>
        <v>0</v>
      </c>
    </row>
    <row r="269" spans="1:35" x14ac:dyDescent="0.25">
      <c r="A269">
        <f t="shared" si="101"/>
        <v>22</v>
      </c>
      <c r="B269">
        <f t="shared" si="106"/>
        <v>264</v>
      </c>
      <c r="C269" s="49">
        <f t="shared" si="100"/>
        <v>8006</v>
      </c>
      <c r="D269" s="78">
        <f>IF(C269&gt;EDATE(DATE(YEAR(SED_Origination_Date)+ SED_Amort, MONTH(SED_Origination_Date), DAY(SED_Origination_Date)),SED_Interest_Only),0,H268)</f>
        <v>0</v>
      </c>
      <c r="E269" s="78">
        <f t="shared" si="107"/>
        <v>0</v>
      </c>
      <c r="F269" s="78">
        <f>IFERROR(IF(OR(B269=0, C269&gt;=Refi_Origination_Date),0, PPMT(SED_I_Adj,'Loan Amort Table'!B269,SED_Amort_Periods,SED_Orig_Loan_Amount)),0)</f>
        <v>0</v>
      </c>
      <c r="G269" s="78" cm="1">
        <f t="array" ref="G269">IFERROR(_xlfn.IFS(C269&gt;=Refi_Origination_Date, 0, SED_Amort = 0, -D269 * SED_I_Adj, 1, IPMT(SED_I_Adj,IF(B269 = 0, 1, B269),SED_Amort_Periods,SED_Orig_Loan_Amount)),0)</f>
        <v>0</v>
      </c>
      <c r="H269" s="78">
        <f t="shared" si="122"/>
        <v>0</v>
      </c>
      <c r="J269">
        <f t="shared" si="102"/>
        <v>22</v>
      </c>
      <c r="K269">
        <f t="shared" si="108"/>
        <v>264</v>
      </c>
      <c r="L269" s="49">
        <f t="shared" si="115"/>
        <v>8006</v>
      </c>
      <c r="M269" s="78">
        <f>IF(L269&gt;EDATE(DATE(YEAR(NEW_Origination_Date)+ NEW_Amort, MONTH(NEW_Origination_Date), DAY(NEW_Origination_Date)),NEW_Interest_Only),0,Q268)</f>
        <v>0</v>
      </c>
      <c r="N269" s="78">
        <f t="shared" si="109"/>
        <v>0</v>
      </c>
      <c r="O269" s="78">
        <f>IFERROR(IF(K269=0,0, PPMT(NEW_I_Adj,'Loan Amort Table'!K269,NEW_Amort_Periods,NEW_Orig_Loan_Amount)),0)</f>
        <v>0</v>
      </c>
      <c r="P269" s="78">
        <f>IFERROR(IF(NEW_Amort = 0, -M269* NEW_I_Adj,IPMT(NEW_I_Adj,IF(K269 = 0, 1, K269),NEW_Amort_Periods,NEW_Orig_Loan_Amount)),0)</f>
        <v>0</v>
      </c>
      <c r="Q269" s="78">
        <f t="shared" si="110"/>
        <v>0</v>
      </c>
      <c r="S269">
        <f t="shared" si="103"/>
        <v>22</v>
      </c>
      <c r="T269">
        <f t="shared" si="111"/>
        <v>264</v>
      </c>
      <c r="U269" s="49">
        <f t="shared" si="116"/>
        <v>8006</v>
      </c>
      <c r="V269" s="78">
        <f t="shared" si="112"/>
        <v>0</v>
      </c>
      <c r="W269" s="78">
        <f t="shared" ca="1" si="117"/>
        <v>0</v>
      </c>
      <c r="X269" s="78">
        <f>IFERROR(IF(OR(T269=0, U269&gt;=Refi_Origination_Date),0, PPMT(Mezz_I_Adj,'Loan Amort Table'!T269,Mezz_Amort_Periods,Mezz_Orig_Loan_Amount)),0)</f>
        <v>0</v>
      </c>
      <c r="Y269" s="78" cm="1">
        <f t="array" aca="1" ref="Y269" ca="1">IFERROR(_xlfn.IFS(U269&gt;=Refi_Origination_Date,0, Mezz_Amort = 0, -V269 * Mezz_I_Adj, 1, IPMT(Mezz_I_Adj,IF(T269 = 0, 1, T269),Mezz_Amort_Periods,Mezz_Orig_Loan_Amount)),0)</f>
        <v>0</v>
      </c>
      <c r="Z269" s="78">
        <f t="shared" si="118"/>
        <v>0</v>
      </c>
      <c r="AB269">
        <f t="shared" si="104"/>
        <v>22</v>
      </c>
      <c r="AC269">
        <f t="shared" si="113"/>
        <v>264</v>
      </c>
      <c r="AD269" s="49">
        <f t="shared" si="119"/>
        <v>8006</v>
      </c>
      <c r="AE269" s="78">
        <f t="shared" si="114"/>
        <v>0</v>
      </c>
      <c r="AF269" s="78">
        <f t="shared" ca="1" si="120"/>
        <v>0</v>
      </c>
      <c r="AG269" s="78">
        <f ca="1">IFERROR(IF(AC269=0,0, PPMT(Refi_I_Adj,'Loan Amort Table'!AC269,Refi_Amort_Periods,Refi_Orig_Loan_Amount)),0)</f>
        <v>0</v>
      </c>
      <c r="AH269" s="78">
        <f t="shared" ca="1" si="105"/>
        <v>0</v>
      </c>
      <c r="AI269" s="78">
        <f t="shared" ca="1" si="121"/>
        <v>0</v>
      </c>
    </row>
    <row r="270" spans="1:35" x14ac:dyDescent="0.25">
      <c r="A270">
        <f t="shared" si="101"/>
        <v>23</v>
      </c>
      <c r="B270">
        <f t="shared" si="106"/>
        <v>265</v>
      </c>
      <c r="C270" s="49">
        <f t="shared" si="100"/>
        <v>8037</v>
      </c>
      <c r="D270" s="78">
        <f>IF(C270&gt;EDATE(DATE(YEAR(SED_Origination_Date)+ SED_Amort, MONTH(SED_Origination_Date), DAY(SED_Origination_Date)),SED_Interest_Only),0,H269)</f>
        <v>0</v>
      </c>
      <c r="E270" s="78">
        <f t="shared" si="107"/>
        <v>0</v>
      </c>
      <c r="F270" s="78">
        <f>IFERROR(IF(OR(B270=0, C270&gt;=Refi_Origination_Date),0, PPMT(SED_I_Adj,'Loan Amort Table'!B270,SED_Amort_Periods,SED_Orig_Loan_Amount)),0)</f>
        <v>0</v>
      </c>
      <c r="G270" s="78" cm="1">
        <f t="array" ref="G270">IFERROR(_xlfn.IFS(C270&gt;=Refi_Origination_Date, 0, SED_Amort = 0, -D270 * SED_I_Adj, 1, IPMT(SED_I_Adj,IF(B270 = 0, 1, B270),SED_Amort_Periods,SED_Orig_Loan_Amount)),0)</f>
        <v>0</v>
      </c>
      <c r="H270" s="78">
        <f t="shared" si="122"/>
        <v>0</v>
      </c>
      <c r="J270">
        <f t="shared" si="102"/>
        <v>23</v>
      </c>
      <c r="K270">
        <f t="shared" si="108"/>
        <v>265</v>
      </c>
      <c r="L270" s="49">
        <f t="shared" si="115"/>
        <v>8037</v>
      </c>
      <c r="M270" s="78">
        <f>IF(L270&gt;EDATE(DATE(YEAR(NEW_Origination_Date)+ NEW_Amort, MONTH(NEW_Origination_Date), DAY(NEW_Origination_Date)),NEW_Interest_Only),0,Q269)</f>
        <v>0</v>
      </c>
      <c r="N270" s="78">
        <f t="shared" si="109"/>
        <v>0</v>
      </c>
      <c r="O270" s="78">
        <f>IFERROR(IF(K270=0,0, PPMT(NEW_I_Adj,'Loan Amort Table'!K270,NEW_Amort_Periods,NEW_Orig_Loan_Amount)),0)</f>
        <v>0</v>
      </c>
      <c r="P270" s="78">
        <f>IFERROR(IF(NEW_Amort = 0, -M270* NEW_I_Adj,IPMT(NEW_I_Adj,IF(K270 = 0, 1, K270),NEW_Amort_Periods,NEW_Orig_Loan_Amount)),0)</f>
        <v>0</v>
      </c>
      <c r="Q270" s="78">
        <f t="shared" si="110"/>
        <v>0</v>
      </c>
      <c r="S270">
        <f t="shared" si="103"/>
        <v>23</v>
      </c>
      <c r="T270">
        <f t="shared" si="111"/>
        <v>265</v>
      </c>
      <c r="U270" s="49">
        <f t="shared" si="116"/>
        <v>8037</v>
      </c>
      <c r="V270" s="78">
        <f t="shared" si="112"/>
        <v>0</v>
      </c>
      <c r="W270" s="78">
        <f t="shared" ca="1" si="117"/>
        <v>0</v>
      </c>
      <c r="X270" s="78">
        <f>IFERROR(IF(OR(T270=0, U270&gt;=Refi_Origination_Date),0, PPMT(Mezz_I_Adj,'Loan Amort Table'!T270,Mezz_Amort_Periods,Mezz_Orig_Loan_Amount)),0)</f>
        <v>0</v>
      </c>
      <c r="Y270" s="78" cm="1">
        <f t="array" aca="1" ref="Y270" ca="1">IFERROR(_xlfn.IFS(U270&gt;=Refi_Origination_Date,0, Mezz_Amort = 0, -V270 * Mezz_I_Adj, 1, IPMT(Mezz_I_Adj,IF(T270 = 0, 1, T270),Mezz_Amort_Periods,Mezz_Orig_Loan_Amount)),0)</f>
        <v>0</v>
      </c>
      <c r="Z270" s="78">
        <f t="shared" si="118"/>
        <v>0</v>
      </c>
      <c r="AB270">
        <f t="shared" si="104"/>
        <v>23</v>
      </c>
      <c r="AC270">
        <f t="shared" si="113"/>
        <v>265</v>
      </c>
      <c r="AD270" s="49">
        <f t="shared" si="119"/>
        <v>8037</v>
      </c>
      <c r="AE270" s="78">
        <f t="shared" si="114"/>
        <v>0</v>
      </c>
      <c r="AF270" s="78">
        <f t="shared" ca="1" si="120"/>
        <v>0</v>
      </c>
      <c r="AG270" s="78">
        <f ca="1">IFERROR(IF(AC270=0,0, PPMT(Refi_I_Adj,'Loan Amort Table'!AC270,Refi_Amort_Periods,Refi_Orig_Loan_Amount)),0)</f>
        <v>0</v>
      </c>
      <c r="AH270" s="78">
        <f t="shared" ca="1" si="105"/>
        <v>0</v>
      </c>
      <c r="AI270" s="78">
        <f t="shared" ca="1" si="121"/>
        <v>0</v>
      </c>
    </row>
    <row r="271" spans="1:35" x14ac:dyDescent="0.25">
      <c r="A271">
        <f t="shared" si="101"/>
        <v>23</v>
      </c>
      <c r="B271">
        <f t="shared" si="106"/>
        <v>266</v>
      </c>
      <c r="C271" s="49">
        <f t="shared" si="100"/>
        <v>8068</v>
      </c>
      <c r="D271" s="78">
        <f>IF(C271&gt;EDATE(DATE(YEAR(SED_Origination_Date)+ SED_Amort, MONTH(SED_Origination_Date), DAY(SED_Origination_Date)),SED_Interest_Only),0,H270)</f>
        <v>0</v>
      </c>
      <c r="E271" s="78">
        <f t="shared" si="107"/>
        <v>0</v>
      </c>
      <c r="F271" s="78">
        <f>IFERROR(IF(OR(B271=0, C271&gt;=Refi_Origination_Date),0, PPMT(SED_I_Adj,'Loan Amort Table'!B271,SED_Amort_Periods,SED_Orig_Loan_Amount)),0)</f>
        <v>0</v>
      </c>
      <c r="G271" s="78" cm="1">
        <f t="array" ref="G271">IFERROR(_xlfn.IFS(C271&gt;=Refi_Origination_Date, 0, SED_Amort = 0, -D271 * SED_I_Adj, 1, IPMT(SED_I_Adj,IF(B271 = 0, 1, B271),SED_Amort_Periods,SED_Orig_Loan_Amount)),0)</f>
        <v>0</v>
      </c>
      <c r="H271" s="78">
        <f t="shared" si="122"/>
        <v>0</v>
      </c>
      <c r="J271">
        <f t="shared" si="102"/>
        <v>23</v>
      </c>
      <c r="K271">
        <f t="shared" si="108"/>
        <v>266</v>
      </c>
      <c r="L271" s="49">
        <f t="shared" si="115"/>
        <v>8068</v>
      </c>
      <c r="M271" s="78">
        <f>IF(L271&gt;EDATE(DATE(YEAR(NEW_Origination_Date)+ NEW_Amort, MONTH(NEW_Origination_Date), DAY(NEW_Origination_Date)),NEW_Interest_Only),0,Q270)</f>
        <v>0</v>
      </c>
      <c r="N271" s="78">
        <f t="shared" si="109"/>
        <v>0</v>
      </c>
      <c r="O271" s="78">
        <f>IFERROR(IF(K271=0,0, PPMT(NEW_I_Adj,'Loan Amort Table'!K271,NEW_Amort_Periods,NEW_Orig_Loan_Amount)),0)</f>
        <v>0</v>
      </c>
      <c r="P271" s="78">
        <f>IFERROR(IF(NEW_Amort = 0, -M271* NEW_I_Adj,IPMT(NEW_I_Adj,IF(K271 = 0, 1, K271),NEW_Amort_Periods,NEW_Orig_Loan_Amount)),0)</f>
        <v>0</v>
      </c>
      <c r="Q271" s="78">
        <f t="shared" si="110"/>
        <v>0</v>
      </c>
      <c r="S271">
        <f t="shared" si="103"/>
        <v>23</v>
      </c>
      <c r="T271">
        <f t="shared" si="111"/>
        <v>266</v>
      </c>
      <c r="U271" s="49">
        <f t="shared" si="116"/>
        <v>8068</v>
      </c>
      <c r="V271" s="78">
        <f t="shared" si="112"/>
        <v>0</v>
      </c>
      <c r="W271" s="78">
        <f t="shared" ca="1" si="117"/>
        <v>0</v>
      </c>
      <c r="X271" s="78">
        <f>IFERROR(IF(OR(T271=0, U271&gt;=Refi_Origination_Date),0, PPMT(Mezz_I_Adj,'Loan Amort Table'!T271,Mezz_Amort_Periods,Mezz_Orig_Loan_Amount)),0)</f>
        <v>0</v>
      </c>
      <c r="Y271" s="78" cm="1">
        <f t="array" aca="1" ref="Y271" ca="1">IFERROR(_xlfn.IFS(U271&gt;=Refi_Origination_Date,0, Mezz_Amort = 0, -V271 * Mezz_I_Adj, 1, IPMT(Mezz_I_Adj,IF(T271 = 0, 1, T271),Mezz_Amort_Periods,Mezz_Orig_Loan_Amount)),0)</f>
        <v>0</v>
      </c>
      <c r="Z271" s="78">
        <f t="shared" si="118"/>
        <v>0</v>
      </c>
      <c r="AB271">
        <f t="shared" si="104"/>
        <v>23</v>
      </c>
      <c r="AC271">
        <f t="shared" si="113"/>
        <v>266</v>
      </c>
      <c r="AD271" s="49">
        <f t="shared" si="119"/>
        <v>8068</v>
      </c>
      <c r="AE271" s="78">
        <f t="shared" si="114"/>
        <v>0</v>
      </c>
      <c r="AF271" s="78">
        <f t="shared" ca="1" si="120"/>
        <v>0</v>
      </c>
      <c r="AG271" s="78">
        <f ca="1">IFERROR(IF(AC271=0,0, PPMT(Refi_I_Adj,'Loan Amort Table'!AC271,Refi_Amort_Periods,Refi_Orig_Loan_Amount)),0)</f>
        <v>0</v>
      </c>
      <c r="AH271" s="78">
        <f t="shared" ca="1" si="105"/>
        <v>0</v>
      </c>
      <c r="AI271" s="78">
        <f t="shared" ca="1" si="121"/>
        <v>0</v>
      </c>
    </row>
    <row r="272" spans="1:35" x14ac:dyDescent="0.25">
      <c r="A272">
        <f t="shared" si="101"/>
        <v>23</v>
      </c>
      <c r="B272">
        <f t="shared" si="106"/>
        <v>267</v>
      </c>
      <c r="C272" s="49">
        <f t="shared" si="100"/>
        <v>8096</v>
      </c>
      <c r="D272" s="78">
        <f>IF(C272&gt;EDATE(DATE(YEAR(SED_Origination_Date)+ SED_Amort, MONTH(SED_Origination_Date), DAY(SED_Origination_Date)),SED_Interest_Only),0,H271)</f>
        <v>0</v>
      </c>
      <c r="E272" s="78">
        <f t="shared" si="107"/>
        <v>0</v>
      </c>
      <c r="F272" s="78">
        <f>IFERROR(IF(OR(B272=0, C272&gt;=Refi_Origination_Date),0, PPMT(SED_I_Adj,'Loan Amort Table'!B272,SED_Amort_Periods,SED_Orig_Loan_Amount)),0)</f>
        <v>0</v>
      </c>
      <c r="G272" s="78" cm="1">
        <f t="array" ref="G272">IFERROR(_xlfn.IFS(C272&gt;=Refi_Origination_Date, 0, SED_Amort = 0, -D272 * SED_I_Adj, 1, IPMT(SED_I_Adj,IF(B272 = 0, 1, B272),SED_Amort_Periods,SED_Orig_Loan_Amount)),0)</f>
        <v>0</v>
      </c>
      <c r="H272" s="78">
        <f t="shared" si="122"/>
        <v>0</v>
      </c>
      <c r="J272">
        <f t="shared" si="102"/>
        <v>23</v>
      </c>
      <c r="K272">
        <f t="shared" si="108"/>
        <v>267</v>
      </c>
      <c r="L272" s="49">
        <f t="shared" si="115"/>
        <v>8096</v>
      </c>
      <c r="M272" s="78">
        <f>IF(L272&gt;EDATE(DATE(YEAR(NEW_Origination_Date)+ NEW_Amort, MONTH(NEW_Origination_Date), DAY(NEW_Origination_Date)),NEW_Interest_Only),0,Q271)</f>
        <v>0</v>
      </c>
      <c r="N272" s="78">
        <f t="shared" si="109"/>
        <v>0</v>
      </c>
      <c r="O272" s="78">
        <f>IFERROR(IF(K272=0,0, PPMT(NEW_I_Adj,'Loan Amort Table'!K272,NEW_Amort_Periods,NEW_Orig_Loan_Amount)),0)</f>
        <v>0</v>
      </c>
      <c r="P272" s="78">
        <f>IFERROR(IF(NEW_Amort = 0, -M272* NEW_I_Adj,IPMT(NEW_I_Adj,IF(K272 = 0, 1, K272),NEW_Amort_Periods,NEW_Orig_Loan_Amount)),0)</f>
        <v>0</v>
      </c>
      <c r="Q272" s="78">
        <f t="shared" si="110"/>
        <v>0</v>
      </c>
      <c r="S272">
        <f t="shared" si="103"/>
        <v>23</v>
      </c>
      <c r="T272">
        <f t="shared" si="111"/>
        <v>267</v>
      </c>
      <c r="U272" s="49">
        <f t="shared" si="116"/>
        <v>8096</v>
      </c>
      <c r="V272" s="78">
        <f t="shared" si="112"/>
        <v>0</v>
      </c>
      <c r="W272" s="78">
        <f t="shared" ca="1" si="117"/>
        <v>0</v>
      </c>
      <c r="X272" s="78">
        <f>IFERROR(IF(OR(T272=0, U272&gt;=Refi_Origination_Date),0, PPMT(Mezz_I_Adj,'Loan Amort Table'!T272,Mezz_Amort_Periods,Mezz_Orig_Loan_Amount)),0)</f>
        <v>0</v>
      </c>
      <c r="Y272" s="78" cm="1">
        <f t="array" aca="1" ref="Y272" ca="1">IFERROR(_xlfn.IFS(U272&gt;=Refi_Origination_Date,0, Mezz_Amort = 0, -V272 * Mezz_I_Adj, 1, IPMT(Mezz_I_Adj,IF(T272 = 0, 1, T272),Mezz_Amort_Periods,Mezz_Orig_Loan_Amount)),0)</f>
        <v>0</v>
      </c>
      <c r="Z272" s="78">
        <f t="shared" si="118"/>
        <v>0</v>
      </c>
      <c r="AB272">
        <f t="shared" si="104"/>
        <v>23</v>
      </c>
      <c r="AC272">
        <f t="shared" si="113"/>
        <v>267</v>
      </c>
      <c r="AD272" s="49">
        <f t="shared" si="119"/>
        <v>8096</v>
      </c>
      <c r="AE272" s="78">
        <f t="shared" si="114"/>
        <v>0</v>
      </c>
      <c r="AF272" s="78">
        <f t="shared" ca="1" si="120"/>
        <v>0</v>
      </c>
      <c r="AG272" s="78">
        <f ca="1">IFERROR(IF(AC272=0,0, PPMT(Refi_I_Adj,'Loan Amort Table'!AC272,Refi_Amort_Periods,Refi_Orig_Loan_Amount)),0)</f>
        <v>0</v>
      </c>
      <c r="AH272" s="78">
        <f t="shared" ca="1" si="105"/>
        <v>0</v>
      </c>
      <c r="AI272" s="78">
        <f t="shared" ca="1" si="121"/>
        <v>0</v>
      </c>
    </row>
    <row r="273" spans="1:35" x14ac:dyDescent="0.25">
      <c r="A273">
        <f t="shared" si="101"/>
        <v>23</v>
      </c>
      <c r="B273">
        <f t="shared" si="106"/>
        <v>268</v>
      </c>
      <c r="C273" s="49">
        <f t="shared" si="100"/>
        <v>8127</v>
      </c>
      <c r="D273" s="78">
        <f>IF(C273&gt;EDATE(DATE(YEAR(SED_Origination_Date)+ SED_Amort, MONTH(SED_Origination_Date), DAY(SED_Origination_Date)),SED_Interest_Only),0,H272)</f>
        <v>0</v>
      </c>
      <c r="E273" s="78">
        <f t="shared" si="107"/>
        <v>0</v>
      </c>
      <c r="F273" s="78">
        <f>IFERROR(IF(OR(B273=0, C273&gt;=Refi_Origination_Date),0, PPMT(SED_I_Adj,'Loan Amort Table'!B273,SED_Amort_Periods,SED_Orig_Loan_Amount)),0)</f>
        <v>0</v>
      </c>
      <c r="G273" s="78" cm="1">
        <f t="array" ref="G273">IFERROR(_xlfn.IFS(C273&gt;=Refi_Origination_Date, 0, SED_Amort = 0, -D273 * SED_I_Adj, 1, IPMT(SED_I_Adj,IF(B273 = 0, 1, B273),SED_Amort_Periods,SED_Orig_Loan_Amount)),0)</f>
        <v>0</v>
      </c>
      <c r="H273" s="78">
        <f t="shared" si="122"/>
        <v>0</v>
      </c>
      <c r="J273">
        <f t="shared" si="102"/>
        <v>23</v>
      </c>
      <c r="K273">
        <f t="shared" si="108"/>
        <v>268</v>
      </c>
      <c r="L273" s="49">
        <f t="shared" si="115"/>
        <v>8127</v>
      </c>
      <c r="M273" s="78">
        <f>IF(L273&gt;EDATE(DATE(YEAR(NEW_Origination_Date)+ NEW_Amort, MONTH(NEW_Origination_Date), DAY(NEW_Origination_Date)),NEW_Interest_Only),0,Q272)</f>
        <v>0</v>
      </c>
      <c r="N273" s="78">
        <f t="shared" si="109"/>
        <v>0</v>
      </c>
      <c r="O273" s="78">
        <f>IFERROR(IF(K273=0,0, PPMT(NEW_I_Adj,'Loan Amort Table'!K273,NEW_Amort_Periods,NEW_Orig_Loan_Amount)),0)</f>
        <v>0</v>
      </c>
      <c r="P273" s="78">
        <f>IFERROR(IF(NEW_Amort = 0, -M273* NEW_I_Adj,IPMT(NEW_I_Adj,IF(K273 = 0, 1, K273),NEW_Amort_Periods,NEW_Orig_Loan_Amount)),0)</f>
        <v>0</v>
      </c>
      <c r="Q273" s="78">
        <f t="shared" si="110"/>
        <v>0</v>
      </c>
      <c r="S273">
        <f t="shared" si="103"/>
        <v>23</v>
      </c>
      <c r="T273">
        <f t="shared" si="111"/>
        <v>268</v>
      </c>
      <c r="U273" s="49">
        <f t="shared" si="116"/>
        <v>8127</v>
      </c>
      <c r="V273" s="78">
        <f t="shared" si="112"/>
        <v>0</v>
      </c>
      <c r="W273" s="78">
        <f t="shared" ca="1" si="117"/>
        <v>0</v>
      </c>
      <c r="X273" s="78">
        <f>IFERROR(IF(OR(T273=0, U273&gt;=Refi_Origination_Date),0, PPMT(Mezz_I_Adj,'Loan Amort Table'!T273,Mezz_Amort_Periods,Mezz_Orig_Loan_Amount)),0)</f>
        <v>0</v>
      </c>
      <c r="Y273" s="78" cm="1">
        <f t="array" aca="1" ref="Y273" ca="1">IFERROR(_xlfn.IFS(U273&gt;=Refi_Origination_Date,0, Mezz_Amort = 0, -V273 * Mezz_I_Adj, 1, IPMT(Mezz_I_Adj,IF(T273 = 0, 1, T273),Mezz_Amort_Periods,Mezz_Orig_Loan_Amount)),0)</f>
        <v>0</v>
      </c>
      <c r="Z273" s="78">
        <f t="shared" si="118"/>
        <v>0</v>
      </c>
      <c r="AB273">
        <f t="shared" si="104"/>
        <v>23</v>
      </c>
      <c r="AC273">
        <f t="shared" si="113"/>
        <v>268</v>
      </c>
      <c r="AD273" s="49">
        <f t="shared" si="119"/>
        <v>8127</v>
      </c>
      <c r="AE273" s="78">
        <f t="shared" si="114"/>
        <v>0</v>
      </c>
      <c r="AF273" s="78">
        <f t="shared" ca="1" si="120"/>
        <v>0</v>
      </c>
      <c r="AG273" s="78">
        <f ca="1">IFERROR(IF(AC273=0,0, PPMT(Refi_I_Adj,'Loan Amort Table'!AC273,Refi_Amort_Periods,Refi_Orig_Loan_Amount)),0)</f>
        <v>0</v>
      </c>
      <c r="AH273" s="78">
        <f t="shared" ca="1" si="105"/>
        <v>0</v>
      </c>
      <c r="AI273" s="78">
        <f t="shared" ca="1" si="121"/>
        <v>0</v>
      </c>
    </row>
    <row r="274" spans="1:35" x14ac:dyDescent="0.25">
      <c r="A274">
        <f t="shared" si="101"/>
        <v>23</v>
      </c>
      <c r="B274">
        <f t="shared" si="106"/>
        <v>269</v>
      </c>
      <c r="C274" s="49">
        <f t="shared" si="100"/>
        <v>8157</v>
      </c>
      <c r="D274" s="78">
        <f>IF(C274&gt;EDATE(DATE(YEAR(SED_Origination_Date)+ SED_Amort, MONTH(SED_Origination_Date), DAY(SED_Origination_Date)),SED_Interest_Only),0,H273)</f>
        <v>0</v>
      </c>
      <c r="E274" s="78">
        <f t="shared" si="107"/>
        <v>0</v>
      </c>
      <c r="F274" s="78">
        <f>IFERROR(IF(OR(B274=0, C274&gt;=Refi_Origination_Date),0, PPMT(SED_I_Adj,'Loan Amort Table'!B274,SED_Amort_Periods,SED_Orig_Loan_Amount)),0)</f>
        <v>0</v>
      </c>
      <c r="G274" s="78" cm="1">
        <f t="array" ref="G274">IFERROR(_xlfn.IFS(C274&gt;=Refi_Origination_Date, 0, SED_Amort = 0, -D274 * SED_I_Adj, 1, IPMT(SED_I_Adj,IF(B274 = 0, 1, B274),SED_Amort_Periods,SED_Orig_Loan_Amount)),0)</f>
        <v>0</v>
      </c>
      <c r="H274" s="78">
        <f t="shared" si="122"/>
        <v>0</v>
      </c>
      <c r="J274">
        <f t="shared" si="102"/>
        <v>23</v>
      </c>
      <c r="K274">
        <f t="shared" si="108"/>
        <v>269</v>
      </c>
      <c r="L274" s="49">
        <f t="shared" si="115"/>
        <v>8157</v>
      </c>
      <c r="M274" s="78">
        <f>IF(L274&gt;EDATE(DATE(YEAR(NEW_Origination_Date)+ NEW_Amort, MONTH(NEW_Origination_Date), DAY(NEW_Origination_Date)),NEW_Interest_Only),0,Q273)</f>
        <v>0</v>
      </c>
      <c r="N274" s="78">
        <f t="shared" si="109"/>
        <v>0</v>
      </c>
      <c r="O274" s="78">
        <f>IFERROR(IF(K274=0,0, PPMT(NEW_I_Adj,'Loan Amort Table'!K274,NEW_Amort_Periods,NEW_Orig_Loan_Amount)),0)</f>
        <v>0</v>
      </c>
      <c r="P274" s="78">
        <f>IFERROR(IF(NEW_Amort = 0, -M274* NEW_I_Adj,IPMT(NEW_I_Adj,IF(K274 = 0, 1, K274),NEW_Amort_Periods,NEW_Orig_Loan_Amount)),0)</f>
        <v>0</v>
      </c>
      <c r="Q274" s="78">
        <f t="shared" si="110"/>
        <v>0</v>
      </c>
      <c r="S274">
        <f t="shared" si="103"/>
        <v>23</v>
      </c>
      <c r="T274">
        <f t="shared" si="111"/>
        <v>269</v>
      </c>
      <c r="U274" s="49">
        <f t="shared" si="116"/>
        <v>8157</v>
      </c>
      <c r="V274" s="78">
        <f t="shared" si="112"/>
        <v>0</v>
      </c>
      <c r="W274" s="78">
        <f t="shared" ca="1" si="117"/>
        <v>0</v>
      </c>
      <c r="X274" s="78">
        <f>IFERROR(IF(OR(T274=0, U274&gt;=Refi_Origination_Date),0, PPMT(Mezz_I_Adj,'Loan Amort Table'!T274,Mezz_Amort_Periods,Mezz_Orig_Loan_Amount)),0)</f>
        <v>0</v>
      </c>
      <c r="Y274" s="78" cm="1">
        <f t="array" aca="1" ref="Y274" ca="1">IFERROR(_xlfn.IFS(U274&gt;=Refi_Origination_Date,0, Mezz_Amort = 0, -V274 * Mezz_I_Adj, 1, IPMT(Mezz_I_Adj,IF(T274 = 0, 1, T274),Mezz_Amort_Periods,Mezz_Orig_Loan_Amount)),0)</f>
        <v>0</v>
      </c>
      <c r="Z274" s="78">
        <f t="shared" si="118"/>
        <v>0</v>
      </c>
      <c r="AB274">
        <f t="shared" si="104"/>
        <v>23</v>
      </c>
      <c r="AC274">
        <f t="shared" si="113"/>
        <v>269</v>
      </c>
      <c r="AD274" s="49">
        <f t="shared" si="119"/>
        <v>8157</v>
      </c>
      <c r="AE274" s="78">
        <f t="shared" si="114"/>
        <v>0</v>
      </c>
      <c r="AF274" s="78">
        <f t="shared" ca="1" si="120"/>
        <v>0</v>
      </c>
      <c r="AG274" s="78">
        <f ca="1">IFERROR(IF(AC274=0,0, PPMT(Refi_I_Adj,'Loan Amort Table'!AC274,Refi_Amort_Periods,Refi_Orig_Loan_Amount)),0)</f>
        <v>0</v>
      </c>
      <c r="AH274" s="78">
        <f t="shared" ca="1" si="105"/>
        <v>0</v>
      </c>
      <c r="AI274" s="78">
        <f t="shared" ca="1" si="121"/>
        <v>0</v>
      </c>
    </row>
    <row r="275" spans="1:35" x14ac:dyDescent="0.25">
      <c r="A275">
        <f t="shared" si="101"/>
        <v>23</v>
      </c>
      <c r="B275">
        <f t="shared" si="106"/>
        <v>270</v>
      </c>
      <c r="C275" s="49">
        <f t="shared" si="100"/>
        <v>8188</v>
      </c>
      <c r="D275" s="78">
        <f>IF(C275&gt;EDATE(DATE(YEAR(SED_Origination_Date)+ SED_Amort, MONTH(SED_Origination_Date), DAY(SED_Origination_Date)),SED_Interest_Only),0,H274)</f>
        <v>0</v>
      </c>
      <c r="E275" s="78">
        <f t="shared" si="107"/>
        <v>0</v>
      </c>
      <c r="F275" s="78">
        <f>IFERROR(IF(OR(B275=0, C275&gt;=Refi_Origination_Date),0, PPMT(SED_I_Adj,'Loan Amort Table'!B275,SED_Amort_Periods,SED_Orig_Loan_Amount)),0)</f>
        <v>0</v>
      </c>
      <c r="G275" s="78" cm="1">
        <f t="array" ref="G275">IFERROR(_xlfn.IFS(C275&gt;=Refi_Origination_Date, 0, SED_Amort = 0, -D275 * SED_I_Adj, 1, IPMT(SED_I_Adj,IF(B275 = 0, 1, B275),SED_Amort_Periods,SED_Orig_Loan_Amount)),0)</f>
        <v>0</v>
      </c>
      <c r="H275" s="78">
        <f t="shared" si="122"/>
        <v>0</v>
      </c>
      <c r="J275">
        <f t="shared" si="102"/>
        <v>23</v>
      </c>
      <c r="K275">
        <f t="shared" si="108"/>
        <v>270</v>
      </c>
      <c r="L275" s="49">
        <f t="shared" si="115"/>
        <v>8188</v>
      </c>
      <c r="M275" s="78">
        <f>IF(L275&gt;EDATE(DATE(YEAR(NEW_Origination_Date)+ NEW_Amort, MONTH(NEW_Origination_Date), DAY(NEW_Origination_Date)),NEW_Interest_Only),0,Q274)</f>
        <v>0</v>
      </c>
      <c r="N275" s="78">
        <f t="shared" si="109"/>
        <v>0</v>
      </c>
      <c r="O275" s="78">
        <f>IFERROR(IF(K275=0,0, PPMT(NEW_I_Adj,'Loan Amort Table'!K275,NEW_Amort_Periods,NEW_Orig_Loan_Amount)),0)</f>
        <v>0</v>
      </c>
      <c r="P275" s="78">
        <f>IFERROR(IF(NEW_Amort = 0, -M275* NEW_I_Adj,IPMT(NEW_I_Adj,IF(K275 = 0, 1, K275),NEW_Amort_Periods,NEW_Orig_Loan_Amount)),0)</f>
        <v>0</v>
      </c>
      <c r="Q275" s="78">
        <f t="shared" si="110"/>
        <v>0</v>
      </c>
      <c r="S275">
        <f t="shared" si="103"/>
        <v>23</v>
      </c>
      <c r="T275">
        <f t="shared" si="111"/>
        <v>270</v>
      </c>
      <c r="U275" s="49">
        <f t="shared" si="116"/>
        <v>8188</v>
      </c>
      <c r="V275" s="78">
        <f t="shared" si="112"/>
        <v>0</v>
      </c>
      <c r="W275" s="78">
        <f t="shared" ca="1" si="117"/>
        <v>0</v>
      </c>
      <c r="X275" s="78">
        <f>IFERROR(IF(OR(T275=0, U275&gt;=Refi_Origination_Date),0, PPMT(Mezz_I_Adj,'Loan Amort Table'!T275,Mezz_Amort_Periods,Mezz_Orig_Loan_Amount)),0)</f>
        <v>0</v>
      </c>
      <c r="Y275" s="78" cm="1">
        <f t="array" aca="1" ref="Y275" ca="1">IFERROR(_xlfn.IFS(U275&gt;=Refi_Origination_Date,0, Mezz_Amort = 0, -V275 * Mezz_I_Adj, 1, IPMT(Mezz_I_Adj,IF(T275 = 0, 1, T275),Mezz_Amort_Periods,Mezz_Orig_Loan_Amount)),0)</f>
        <v>0</v>
      </c>
      <c r="Z275" s="78">
        <f t="shared" si="118"/>
        <v>0</v>
      </c>
      <c r="AB275">
        <f t="shared" si="104"/>
        <v>23</v>
      </c>
      <c r="AC275">
        <f t="shared" si="113"/>
        <v>270</v>
      </c>
      <c r="AD275" s="49">
        <f t="shared" si="119"/>
        <v>8188</v>
      </c>
      <c r="AE275" s="78">
        <f t="shared" si="114"/>
        <v>0</v>
      </c>
      <c r="AF275" s="78">
        <f t="shared" ca="1" si="120"/>
        <v>0</v>
      </c>
      <c r="AG275" s="78">
        <f ca="1">IFERROR(IF(AC275=0,0, PPMT(Refi_I_Adj,'Loan Amort Table'!AC275,Refi_Amort_Periods,Refi_Orig_Loan_Amount)),0)</f>
        <v>0</v>
      </c>
      <c r="AH275" s="78">
        <f t="shared" ca="1" si="105"/>
        <v>0</v>
      </c>
      <c r="AI275" s="78">
        <f t="shared" ca="1" si="121"/>
        <v>0</v>
      </c>
    </row>
    <row r="276" spans="1:35" x14ac:dyDescent="0.25">
      <c r="A276">
        <f t="shared" si="101"/>
        <v>23</v>
      </c>
      <c r="B276">
        <f t="shared" si="106"/>
        <v>271</v>
      </c>
      <c r="C276" s="49">
        <f t="shared" si="100"/>
        <v>8218</v>
      </c>
      <c r="D276" s="78">
        <f>IF(C276&gt;EDATE(DATE(YEAR(SED_Origination_Date)+ SED_Amort, MONTH(SED_Origination_Date), DAY(SED_Origination_Date)),SED_Interest_Only),0,H275)</f>
        <v>0</v>
      </c>
      <c r="E276" s="78">
        <f t="shared" si="107"/>
        <v>0</v>
      </c>
      <c r="F276" s="78">
        <f>IFERROR(IF(OR(B276=0, C276&gt;=Refi_Origination_Date),0, PPMT(SED_I_Adj,'Loan Amort Table'!B276,SED_Amort_Periods,SED_Orig_Loan_Amount)),0)</f>
        <v>0</v>
      </c>
      <c r="G276" s="78" cm="1">
        <f t="array" ref="G276">IFERROR(_xlfn.IFS(C276&gt;=Refi_Origination_Date, 0, SED_Amort = 0, -D276 * SED_I_Adj, 1, IPMT(SED_I_Adj,IF(B276 = 0, 1, B276),SED_Amort_Periods,SED_Orig_Loan_Amount)),0)</f>
        <v>0</v>
      </c>
      <c r="H276" s="78">
        <f t="shared" si="122"/>
        <v>0</v>
      </c>
      <c r="J276">
        <f t="shared" si="102"/>
        <v>23</v>
      </c>
      <c r="K276">
        <f t="shared" si="108"/>
        <v>271</v>
      </c>
      <c r="L276" s="49">
        <f t="shared" si="115"/>
        <v>8218</v>
      </c>
      <c r="M276" s="78">
        <f>IF(L276&gt;EDATE(DATE(YEAR(NEW_Origination_Date)+ NEW_Amort, MONTH(NEW_Origination_Date), DAY(NEW_Origination_Date)),NEW_Interest_Only),0,Q275)</f>
        <v>0</v>
      </c>
      <c r="N276" s="78">
        <f t="shared" si="109"/>
        <v>0</v>
      </c>
      <c r="O276" s="78">
        <f>IFERROR(IF(K276=0,0, PPMT(NEW_I_Adj,'Loan Amort Table'!K276,NEW_Amort_Periods,NEW_Orig_Loan_Amount)),0)</f>
        <v>0</v>
      </c>
      <c r="P276" s="78">
        <f>IFERROR(IF(NEW_Amort = 0, -M276* NEW_I_Adj,IPMT(NEW_I_Adj,IF(K276 = 0, 1, K276),NEW_Amort_Periods,NEW_Orig_Loan_Amount)),0)</f>
        <v>0</v>
      </c>
      <c r="Q276" s="78">
        <f t="shared" si="110"/>
        <v>0</v>
      </c>
      <c r="S276">
        <f t="shared" si="103"/>
        <v>23</v>
      </c>
      <c r="T276">
        <f t="shared" si="111"/>
        <v>271</v>
      </c>
      <c r="U276" s="49">
        <f t="shared" si="116"/>
        <v>8218</v>
      </c>
      <c r="V276" s="78">
        <f t="shared" si="112"/>
        <v>0</v>
      </c>
      <c r="W276" s="78">
        <f t="shared" ca="1" si="117"/>
        <v>0</v>
      </c>
      <c r="X276" s="78">
        <f>IFERROR(IF(OR(T276=0, U276&gt;=Refi_Origination_Date),0, PPMT(Mezz_I_Adj,'Loan Amort Table'!T276,Mezz_Amort_Periods,Mezz_Orig_Loan_Amount)),0)</f>
        <v>0</v>
      </c>
      <c r="Y276" s="78" cm="1">
        <f t="array" aca="1" ref="Y276" ca="1">IFERROR(_xlfn.IFS(U276&gt;=Refi_Origination_Date,0, Mezz_Amort = 0, -V276 * Mezz_I_Adj, 1, IPMT(Mezz_I_Adj,IF(T276 = 0, 1, T276),Mezz_Amort_Periods,Mezz_Orig_Loan_Amount)),0)</f>
        <v>0</v>
      </c>
      <c r="Z276" s="78">
        <f t="shared" si="118"/>
        <v>0</v>
      </c>
      <c r="AB276">
        <f t="shared" si="104"/>
        <v>23</v>
      </c>
      <c r="AC276">
        <f t="shared" si="113"/>
        <v>271</v>
      </c>
      <c r="AD276" s="49">
        <f t="shared" si="119"/>
        <v>8218</v>
      </c>
      <c r="AE276" s="78">
        <f t="shared" si="114"/>
        <v>0</v>
      </c>
      <c r="AF276" s="78">
        <f t="shared" ca="1" si="120"/>
        <v>0</v>
      </c>
      <c r="AG276" s="78">
        <f ca="1">IFERROR(IF(AC276=0,0, PPMT(Refi_I_Adj,'Loan Amort Table'!AC276,Refi_Amort_Periods,Refi_Orig_Loan_Amount)),0)</f>
        <v>0</v>
      </c>
      <c r="AH276" s="78">
        <f t="shared" ca="1" si="105"/>
        <v>0</v>
      </c>
      <c r="AI276" s="78">
        <f t="shared" ca="1" si="121"/>
        <v>0</v>
      </c>
    </row>
    <row r="277" spans="1:35" x14ac:dyDescent="0.25">
      <c r="A277">
        <f t="shared" si="101"/>
        <v>23</v>
      </c>
      <c r="B277">
        <f t="shared" si="106"/>
        <v>272</v>
      </c>
      <c r="C277" s="49">
        <f t="shared" si="100"/>
        <v>8249</v>
      </c>
      <c r="D277" s="78">
        <f>IF(C277&gt;EDATE(DATE(YEAR(SED_Origination_Date)+ SED_Amort, MONTH(SED_Origination_Date), DAY(SED_Origination_Date)),SED_Interest_Only),0,H276)</f>
        <v>0</v>
      </c>
      <c r="E277" s="78">
        <f t="shared" si="107"/>
        <v>0</v>
      </c>
      <c r="F277" s="78">
        <f>IFERROR(IF(OR(B277=0, C277&gt;=Refi_Origination_Date),0, PPMT(SED_I_Adj,'Loan Amort Table'!B277,SED_Amort_Periods,SED_Orig_Loan_Amount)),0)</f>
        <v>0</v>
      </c>
      <c r="G277" s="78" cm="1">
        <f t="array" ref="G277">IFERROR(_xlfn.IFS(C277&gt;=Refi_Origination_Date, 0, SED_Amort = 0, -D277 * SED_I_Adj, 1, IPMT(SED_I_Adj,IF(B277 = 0, 1, B277),SED_Amort_Periods,SED_Orig_Loan_Amount)),0)</f>
        <v>0</v>
      </c>
      <c r="H277" s="78">
        <f t="shared" si="122"/>
        <v>0</v>
      </c>
      <c r="J277">
        <f t="shared" si="102"/>
        <v>23</v>
      </c>
      <c r="K277">
        <f t="shared" si="108"/>
        <v>272</v>
      </c>
      <c r="L277" s="49">
        <f t="shared" si="115"/>
        <v>8249</v>
      </c>
      <c r="M277" s="78">
        <f>IF(L277&gt;EDATE(DATE(YEAR(NEW_Origination_Date)+ NEW_Amort, MONTH(NEW_Origination_Date), DAY(NEW_Origination_Date)),NEW_Interest_Only),0,Q276)</f>
        <v>0</v>
      </c>
      <c r="N277" s="78">
        <f t="shared" si="109"/>
        <v>0</v>
      </c>
      <c r="O277" s="78">
        <f>IFERROR(IF(K277=0,0, PPMT(NEW_I_Adj,'Loan Amort Table'!K277,NEW_Amort_Periods,NEW_Orig_Loan_Amount)),0)</f>
        <v>0</v>
      </c>
      <c r="P277" s="78">
        <f>IFERROR(IF(NEW_Amort = 0, -M277* NEW_I_Adj,IPMT(NEW_I_Adj,IF(K277 = 0, 1, K277),NEW_Amort_Periods,NEW_Orig_Loan_Amount)),0)</f>
        <v>0</v>
      </c>
      <c r="Q277" s="78">
        <f t="shared" si="110"/>
        <v>0</v>
      </c>
      <c r="S277">
        <f t="shared" si="103"/>
        <v>23</v>
      </c>
      <c r="T277">
        <f t="shared" si="111"/>
        <v>272</v>
      </c>
      <c r="U277" s="49">
        <f t="shared" si="116"/>
        <v>8249</v>
      </c>
      <c r="V277" s="78">
        <f t="shared" si="112"/>
        <v>0</v>
      </c>
      <c r="W277" s="78">
        <f t="shared" ca="1" si="117"/>
        <v>0</v>
      </c>
      <c r="X277" s="78">
        <f>IFERROR(IF(OR(T277=0, U277&gt;=Refi_Origination_Date),0, PPMT(Mezz_I_Adj,'Loan Amort Table'!T277,Mezz_Amort_Periods,Mezz_Orig_Loan_Amount)),0)</f>
        <v>0</v>
      </c>
      <c r="Y277" s="78" cm="1">
        <f t="array" aca="1" ref="Y277" ca="1">IFERROR(_xlfn.IFS(U277&gt;=Refi_Origination_Date,0, Mezz_Amort = 0, -V277 * Mezz_I_Adj, 1, IPMT(Mezz_I_Adj,IF(T277 = 0, 1, T277),Mezz_Amort_Periods,Mezz_Orig_Loan_Amount)),0)</f>
        <v>0</v>
      </c>
      <c r="Z277" s="78">
        <f t="shared" si="118"/>
        <v>0</v>
      </c>
      <c r="AB277">
        <f t="shared" si="104"/>
        <v>23</v>
      </c>
      <c r="AC277">
        <f t="shared" si="113"/>
        <v>272</v>
      </c>
      <c r="AD277" s="49">
        <f t="shared" si="119"/>
        <v>8249</v>
      </c>
      <c r="AE277" s="78">
        <f t="shared" si="114"/>
        <v>0</v>
      </c>
      <c r="AF277" s="78">
        <f t="shared" ca="1" si="120"/>
        <v>0</v>
      </c>
      <c r="AG277" s="78">
        <f ca="1">IFERROR(IF(AC277=0,0, PPMT(Refi_I_Adj,'Loan Amort Table'!AC277,Refi_Amort_Periods,Refi_Orig_Loan_Amount)),0)</f>
        <v>0</v>
      </c>
      <c r="AH277" s="78">
        <f t="shared" ca="1" si="105"/>
        <v>0</v>
      </c>
      <c r="AI277" s="78">
        <f t="shared" ca="1" si="121"/>
        <v>0</v>
      </c>
    </row>
    <row r="278" spans="1:35" x14ac:dyDescent="0.25">
      <c r="A278">
        <f t="shared" si="101"/>
        <v>23</v>
      </c>
      <c r="B278">
        <f t="shared" si="106"/>
        <v>273</v>
      </c>
      <c r="C278" s="49">
        <f t="shared" si="100"/>
        <v>8280</v>
      </c>
      <c r="D278" s="78">
        <f>IF(C278&gt;EDATE(DATE(YEAR(SED_Origination_Date)+ SED_Amort, MONTH(SED_Origination_Date), DAY(SED_Origination_Date)),SED_Interest_Only),0,H277)</f>
        <v>0</v>
      </c>
      <c r="E278" s="78">
        <f t="shared" si="107"/>
        <v>0</v>
      </c>
      <c r="F278" s="78">
        <f>IFERROR(IF(OR(B278=0, C278&gt;=Refi_Origination_Date),0, PPMT(SED_I_Adj,'Loan Amort Table'!B278,SED_Amort_Periods,SED_Orig_Loan_Amount)),0)</f>
        <v>0</v>
      </c>
      <c r="G278" s="78" cm="1">
        <f t="array" ref="G278">IFERROR(_xlfn.IFS(C278&gt;=Refi_Origination_Date, 0, SED_Amort = 0, -D278 * SED_I_Adj, 1, IPMT(SED_I_Adj,IF(B278 = 0, 1, B278),SED_Amort_Periods,SED_Orig_Loan_Amount)),0)</f>
        <v>0</v>
      </c>
      <c r="H278" s="78">
        <f t="shared" si="122"/>
        <v>0</v>
      </c>
      <c r="J278">
        <f t="shared" si="102"/>
        <v>23</v>
      </c>
      <c r="K278">
        <f t="shared" si="108"/>
        <v>273</v>
      </c>
      <c r="L278" s="49">
        <f t="shared" si="115"/>
        <v>8280</v>
      </c>
      <c r="M278" s="78">
        <f>IF(L278&gt;EDATE(DATE(YEAR(NEW_Origination_Date)+ NEW_Amort, MONTH(NEW_Origination_Date), DAY(NEW_Origination_Date)),NEW_Interest_Only),0,Q277)</f>
        <v>0</v>
      </c>
      <c r="N278" s="78">
        <f t="shared" si="109"/>
        <v>0</v>
      </c>
      <c r="O278" s="78">
        <f>IFERROR(IF(K278=0,0, PPMT(NEW_I_Adj,'Loan Amort Table'!K278,NEW_Amort_Periods,NEW_Orig_Loan_Amount)),0)</f>
        <v>0</v>
      </c>
      <c r="P278" s="78">
        <f>IFERROR(IF(NEW_Amort = 0, -M278* NEW_I_Adj,IPMT(NEW_I_Adj,IF(K278 = 0, 1, K278),NEW_Amort_Periods,NEW_Orig_Loan_Amount)),0)</f>
        <v>0</v>
      </c>
      <c r="Q278" s="78">
        <f t="shared" si="110"/>
        <v>0</v>
      </c>
      <c r="S278">
        <f t="shared" si="103"/>
        <v>23</v>
      </c>
      <c r="T278">
        <f t="shared" si="111"/>
        <v>273</v>
      </c>
      <c r="U278" s="49">
        <f t="shared" si="116"/>
        <v>8280</v>
      </c>
      <c r="V278" s="78">
        <f t="shared" si="112"/>
        <v>0</v>
      </c>
      <c r="W278" s="78">
        <f t="shared" ca="1" si="117"/>
        <v>0</v>
      </c>
      <c r="X278" s="78">
        <f>IFERROR(IF(OR(T278=0, U278&gt;=Refi_Origination_Date),0, PPMT(Mezz_I_Adj,'Loan Amort Table'!T278,Mezz_Amort_Periods,Mezz_Orig_Loan_Amount)),0)</f>
        <v>0</v>
      </c>
      <c r="Y278" s="78" cm="1">
        <f t="array" aca="1" ref="Y278" ca="1">IFERROR(_xlfn.IFS(U278&gt;=Refi_Origination_Date,0, Mezz_Amort = 0, -V278 * Mezz_I_Adj, 1, IPMT(Mezz_I_Adj,IF(T278 = 0, 1, T278),Mezz_Amort_Periods,Mezz_Orig_Loan_Amount)),0)</f>
        <v>0</v>
      </c>
      <c r="Z278" s="78">
        <f t="shared" si="118"/>
        <v>0</v>
      </c>
      <c r="AB278">
        <f t="shared" si="104"/>
        <v>23</v>
      </c>
      <c r="AC278">
        <f t="shared" si="113"/>
        <v>273</v>
      </c>
      <c r="AD278" s="49">
        <f t="shared" si="119"/>
        <v>8280</v>
      </c>
      <c r="AE278" s="78">
        <f t="shared" si="114"/>
        <v>0</v>
      </c>
      <c r="AF278" s="78">
        <f t="shared" ca="1" si="120"/>
        <v>0</v>
      </c>
      <c r="AG278" s="78">
        <f ca="1">IFERROR(IF(AC278=0,0, PPMT(Refi_I_Adj,'Loan Amort Table'!AC278,Refi_Amort_Periods,Refi_Orig_Loan_Amount)),0)</f>
        <v>0</v>
      </c>
      <c r="AH278" s="78">
        <f t="shared" ca="1" si="105"/>
        <v>0</v>
      </c>
      <c r="AI278" s="78">
        <f t="shared" ca="1" si="121"/>
        <v>0</v>
      </c>
    </row>
    <row r="279" spans="1:35" x14ac:dyDescent="0.25">
      <c r="A279">
        <f t="shared" si="101"/>
        <v>23</v>
      </c>
      <c r="B279">
        <f t="shared" si="106"/>
        <v>274</v>
      </c>
      <c r="C279" s="49">
        <f t="shared" si="100"/>
        <v>8310</v>
      </c>
      <c r="D279" s="78">
        <f>IF(C279&gt;EDATE(DATE(YEAR(SED_Origination_Date)+ SED_Amort, MONTH(SED_Origination_Date), DAY(SED_Origination_Date)),SED_Interest_Only),0,H278)</f>
        <v>0</v>
      </c>
      <c r="E279" s="78">
        <f t="shared" si="107"/>
        <v>0</v>
      </c>
      <c r="F279" s="78">
        <f>IFERROR(IF(OR(B279=0, C279&gt;=Refi_Origination_Date),0, PPMT(SED_I_Adj,'Loan Amort Table'!B279,SED_Amort_Periods,SED_Orig_Loan_Amount)),0)</f>
        <v>0</v>
      </c>
      <c r="G279" s="78" cm="1">
        <f t="array" ref="G279">IFERROR(_xlfn.IFS(C279&gt;=Refi_Origination_Date, 0, SED_Amort = 0, -D279 * SED_I_Adj, 1, IPMT(SED_I_Adj,IF(B279 = 0, 1, B279),SED_Amort_Periods,SED_Orig_Loan_Amount)),0)</f>
        <v>0</v>
      </c>
      <c r="H279" s="78">
        <f t="shared" si="122"/>
        <v>0</v>
      </c>
      <c r="J279">
        <f t="shared" si="102"/>
        <v>23</v>
      </c>
      <c r="K279">
        <f t="shared" si="108"/>
        <v>274</v>
      </c>
      <c r="L279" s="49">
        <f t="shared" si="115"/>
        <v>8310</v>
      </c>
      <c r="M279" s="78">
        <f>IF(L279&gt;EDATE(DATE(YEAR(NEW_Origination_Date)+ NEW_Amort, MONTH(NEW_Origination_Date), DAY(NEW_Origination_Date)),NEW_Interest_Only),0,Q278)</f>
        <v>0</v>
      </c>
      <c r="N279" s="78">
        <f t="shared" si="109"/>
        <v>0</v>
      </c>
      <c r="O279" s="78">
        <f>IFERROR(IF(K279=0,0, PPMT(NEW_I_Adj,'Loan Amort Table'!K279,NEW_Amort_Periods,NEW_Orig_Loan_Amount)),0)</f>
        <v>0</v>
      </c>
      <c r="P279" s="78">
        <f>IFERROR(IF(NEW_Amort = 0, -M279* NEW_I_Adj,IPMT(NEW_I_Adj,IF(K279 = 0, 1, K279),NEW_Amort_Periods,NEW_Orig_Loan_Amount)),0)</f>
        <v>0</v>
      </c>
      <c r="Q279" s="78">
        <f t="shared" si="110"/>
        <v>0</v>
      </c>
      <c r="S279">
        <f t="shared" si="103"/>
        <v>23</v>
      </c>
      <c r="T279">
        <f t="shared" si="111"/>
        <v>274</v>
      </c>
      <c r="U279" s="49">
        <f t="shared" si="116"/>
        <v>8310</v>
      </c>
      <c r="V279" s="78">
        <f t="shared" si="112"/>
        <v>0</v>
      </c>
      <c r="W279" s="78">
        <f t="shared" ca="1" si="117"/>
        <v>0</v>
      </c>
      <c r="X279" s="78">
        <f>IFERROR(IF(OR(T279=0, U279&gt;=Refi_Origination_Date),0, PPMT(Mezz_I_Adj,'Loan Amort Table'!T279,Mezz_Amort_Periods,Mezz_Orig_Loan_Amount)),0)</f>
        <v>0</v>
      </c>
      <c r="Y279" s="78" cm="1">
        <f t="array" aca="1" ref="Y279" ca="1">IFERROR(_xlfn.IFS(U279&gt;=Refi_Origination_Date,0, Mezz_Amort = 0, -V279 * Mezz_I_Adj, 1, IPMT(Mezz_I_Adj,IF(T279 = 0, 1, T279),Mezz_Amort_Periods,Mezz_Orig_Loan_Amount)),0)</f>
        <v>0</v>
      </c>
      <c r="Z279" s="78">
        <f t="shared" si="118"/>
        <v>0</v>
      </c>
      <c r="AB279">
        <f t="shared" si="104"/>
        <v>23</v>
      </c>
      <c r="AC279">
        <f t="shared" si="113"/>
        <v>274</v>
      </c>
      <c r="AD279" s="49">
        <f t="shared" si="119"/>
        <v>8310</v>
      </c>
      <c r="AE279" s="78">
        <f t="shared" si="114"/>
        <v>0</v>
      </c>
      <c r="AF279" s="78">
        <f t="shared" ca="1" si="120"/>
        <v>0</v>
      </c>
      <c r="AG279" s="78">
        <f ca="1">IFERROR(IF(AC279=0,0, PPMT(Refi_I_Adj,'Loan Amort Table'!AC279,Refi_Amort_Periods,Refi_Orig_Loan_Amount)),0)</f>
        <v>0</v>
      </c>
      <c r="AH279" s="78">
        <f t="shared" ca="1" si="105"/>
        <v>0</v>
      </c>
      <c r="AI279" s="78">
        <f t="shared" ca="1" si="121"/>
        <v>0</v>
      </c>
    </row>
    <row r="280" spans="1:35" x14ac:dyDescent="0.25">
      <c r="A280">
        <f t="shared" si="101"/>
        <v>23</v>
      </c>
      <c r="B280">
        <f t="shared" si="106"/>
        <v>275</v>
      </c>
      <c r="C280" s="49">
        <f t="shared" si="100"/>
        <v>8341</v>
      </c>
      <c r="D280" s="78">
        <f>IF(C280&gt;EDATE(DATE(YEAR(SED_Origination_Date)+ SED_Amort, MONTH(SED_Origination_Date), DAY(SED_Origination_Date)),SED_Interest_Only),0,H279)</f>
        <v>0</v>
      </c>
      <c r="E280" s="78">
        <f t="shared" si="107"/>
        <v>0</v>
      </c>
      <c r="F280" s="78">
        <f>IFERROR(IF(OR(B280=0, C280&gt;=Refi_Origination_Date),0, PPMT(SED_I_Adj,'Loan Amort Table'!B280,SED_Amort_Periods,SED_Orig_Loan_Amount)),0)</f>
        <v>0</v>
      </c>
      <c r="G280" s="78" cm="1">
        <f t="array" ref="G280">IFERROR(_xlfn.IFS(C280&gt;=Refi_Origination_Date, 0, SED_Amort = 0, -D280 * SED_I_Adj, 1, IPMT(SED_I_Adj,IF(B280 = 0, 1, B280),SED_Amort_Periods,SED_Orig_Loan_Amount)),0)</f>
        <v>0</v>
      </c>
      <c r="H280" s="78">
        <f t="shared" si="122"/>
        <v>0</v>
      </c>
      <c r="J280">
        <f t="shared" si="102"/>
        <v>23</v>
      </c>
      <c r="K280">
        <f t="shared" si="108"/>
        <v>275</v>
      </c>
      <c r="L280" s="49">
        <f t="shared" si="115"/>
        <v>8341</v>
      </c>
      <c r="M280" s="78">
        <f>IF(L280&gt;EDATE(DATE(YEAR(NEW_Origination_Date)+ NEW_Amort, MONTH(NEW_Origination_Date), DAY(NEW_Origination_Date)),NEW_Interest_Only),0,Q279)</f>
        <v>0</v>
      </c>
      <c r="N280" s="78">
        <f t="shared" si="109"/>
        <v>0</v>
      </c>
      <c r="O280" s="78">
        <f>IFERROR(IF(K280=0,0, PPMT(NEW_I_Adj,'Loan Amort Table'!K280,NEW_Amort_Periods,NEW_Orig_Loan_Amount)),0)</f>
        <v>0</v>
      </c>
      <c r="P280" s="78">
        <f>IFERROR(IF(NEW_Amort = 0, -M280* NEW_I_Adj,IPMT(NEW_I_Adj,IF(K280 = 0, 1, K280),NEW_Amort_Periods,NEW_Orig_Loan_Amount)),0)</f>
        <v>0</v>
      </c>
      <c r="Q280" s="78">
        <f t="shared" si="110"/>
        <v>0</v>
      </c>
      <c r="S280">
        <f t="shared" si="103"/>
        <v>23</v>
      </c>
      <c r="T280">
        <f t="shared" si="111"/>
        <v>275</v>
      </c>
      <c r="U280" s="49">
        <f t="shared" si="116"/>
        <v>8341</v>
      </c>
      <c r="V280" s="78">
        <f t="shared" si="112"/>
        <v>0</v>
      </c>
      <c r="W280" s="78">
        <f t="shared" ca="1" si="117"/>
        <v>0</v>
      </c>
      <c r="X280" s="78">
        <f>IFERROR(IF(OR(T280=0, U280&gt;=Refi_Origination_Date),0, PPMT(Mezz_I_Adj,'Loan Amort Table'!T280,Mezz_Amort_Periods,Mezz_Orig_Loan_Amount)),0)</f>
        <v>0</v>
      </c>
      <c r="Y280" s="78" cm="1">
        <f t="array" aca="1" ref="Y280" ca="1">IFERROR(_xlfn.IFS(U280&gt;=Refi_Origination_Date,0, Mezz_Amort = 0, -V280 * Mezz_I_Adj, 1, IPMT(Mezz_I_Adj,IF(T280 = 0, 1, T280),Mezz_Amort_Periods,Mezz_Orig_Loan_Amount)),0)</f>
        <v>0</v>
      </c>
      <c r="Z280" s="78">
        <f t="shared" si="118"/>
        <v>0</v>
      </c>
      <c r="AB280">
        <f t="shared" si="104"/>
        <v>23</v>
      </c>
      <c r="AC280">
        <f t="shared" si="113"/>
        <v>275</v>
      </c>
      <c r="AD280" s="49">
        <f t="shared" si="119"/>
        <v>8341</v>
      </c>
      <c r="AE280" s="78">
        <f t="shared" si="114"/>
        <v>0</v>
      </c>
      <c r="AF280" s="78">
        <f t="shared" ca="1" si="120"/>
        <v>0</v>
      </c>
      <c r="AG280" s="78">
        <f ca="1">IFERROR(IF(AC280=0,0, PPMT(Refi_I_Adj,'Loan Amort Table'!AC280,Refi_Amort_Periods,Refi_Orig_Loan_Amount)),0)</f>
        <v>0</v>
      </c>
      <c r="AH280" s="78">
        <f t="shared" ca="1" si="105"/>
        <v>0</v>
      </c>
      <c r="AI280" s="78">
        <f t="shared" ca="1" si="121"/>
        <v>0</v>
      </c>
    </row>
    <row r="281" spans="1:35" x14ac:dyDescent="0.25">
      <c r="A281">
        <f t="shared" si="101"/>
        <v>23</v>
      </c>
      <c r="B281">
        <f t="shared" si="106"/>
        <v>276</v>
      </c>
      <c r="C281" s="49">
        <f t="shared" si="100"/>
        <v>8371</v>
      </c>
      <c r="D281" s="78">
        <f>IF(C281&gt;EDATE(DATE(YEAR(SED_Origination_Date)+ SED_Amort, MONTH(SED_Origination_Date), DAY(SED_Origination_Date)),SED_Interest_Only),0,H280)</f>
        <v>0</v>
      </c>
      <c r="E281" s="78">
        <f t="shared" si="107"/>
        <v>0</v>
      </c>
      <c r="F281" s="78">
        <f>IFERROR(IF(OR(B281=0, C281&gt;=Refi_Origination_Date),0, PPMT(SED_I_Adj,'Loan Amort Table'!B281,SED_Amort_Periods,SED_Orig_Loan_Amount)),0)</f>
        <v>0</v>
      </c>
      <c r="G281" s="78" cm="1">
        <f t="array" ref="G281">IFERROR(_xlfn.IFS(C281&gt;=Refi_Origination_Date, 0, SED_Amort = 0, -D281 * SED_I_Adj, 1, IPMT(SED_I_Adj,IF(B281 = 0, 1, B281),SED_Amort_Periods,SED_Orig_Loan_Amount)),0)</f>
        <v>0</v>
      </c>
      <c r="H281" s="78">
        <f t="shared" si="122"/>
        <v>0</v>
      </c>
      <c r="J281">
        <f t="shared" si="102"/>
        <v>23</v>
      </c>
      <c r="K281">
        <f t="shared" si="108"/>
        <v>276</v>
      </c>
      <c r="L281" s="49">
        <f t="shared" si="115"/>
        <v>8371</v>
      </c>
      <c r="M281" s="78">
        <f>IF(L281&gt;EDATE(DATE(YEAR(NEW_Origination_Date)+ NEW_Amort, MONTH(NEW_Origination_Date), DAY(NEW_Origination_Date)),NEW_Interest_Only),0,Q280)</f>
        <v>0</v>
      </c>
      <c r="N281" s="78">
        <f t="shared" si="109"/>
        <v>0</v>
      </c>
      <c r="O281" s="78">
        <f>IFERROR(IF(K281=0,0, PPMT(NEW_I_Adj,'Loan Amort Table'!K281,NEW_Amort_Periods,NEW_Orig_Loan_Amount)),0)</f>
        <v>0</v>
      </c>
      <c r="P281" s="78">
        <f>IFERROR(IF(NEW_Amort = 0, -M281* NEW_I_Adj,IPMT(NEW_I_Adj,IF(K281 = 0, 1, K281),NEW_Amort_Periods,NEW_Orig_Loan_Amount)),0)</f>
        <v>0</v>
      </c>
      <c r="Q281" s="78">
        <f t="shared" si="110"/>
        <v>0</v>
      </c>
      <c r="S281">
        <f t="shared" si="103"/>
        <v>23</v>
      </c>
      <c r="T281">
        <f t="shared" si="111"/>
        <v>276</v>
      </c>
      <c r="U281" s="49">
        <f t="shared" si="116"/>
        <v>8371</v>
      </c>
      <c r="V281" s="78">
        <f t="shared" si="112"/>
        <v>0</v>
      </c>
      <c r="W281" s="78">
        <f t="shared" ca="1" si="117"/>
        <v>0</v>
      </c>
      <c r="X281" s="78">
        <f>IFERROR(IF(OR(T281=0, U281&gt;=Refi_Origination_Date),0, PPMT(Mezz_I_Adj,'Loan Amort Table'!T281,Mezz_Amort_Periods,Mezz_Orig_Loan_Amount)),0)</f>
        <v>0</v>
      </c>
      <c r="Y281" s="78" cm="1">
        <f t="array" aca="1" ref="Y281" ca="1">IFERROR(_xlfn.IFS(U281&gt;=Refi_Origination_Date,0, Mezz_Amort = 0, -V281 * Mezz_I_Adj, 1, IPMT(Mezz_I_Adj,IF(T281 = 0, 1, T281),Mezz_Amort_Periods,Mezz_Orig_Loan_Amount)),0)</f>
        <v>0</v>
      </c>
      <c r="Z281" s="78">
        <f t="shared" si="118"/>
        <v>0</v>
      </c>
      <c r="AB281">
        <f t="shared" si="104"/>
        <v>23</v>
      </c>
      <c r="AC281">
        <f t="shared" si="113"/>
        <v>276</v>
      </c>
      <c r="AD281" s="49">
        <f t="shared" si="119"/>
        <v>8371</v>
      </c>
      <c r="AE281" s="78">
        <f t="shared" si="114"/>
        <v>0</v>
      </c>
      <c r="AF281" s="78">
        <f t="shared" ca="1" si="120"/>
        <v>0</v>
      </c>
      <c r="AG281" s="78">
        <f ca="1">IFERROR(IF(AC281=0,0, PPMT(Refi_I_Adj,'Loan Amort Table'!AC281,Refi_Amort_Periods,Refi_Orig_Loan_Amount)),0)</f>
        <v>0</v>
      </c>
      <c r="AH281" s="78">
        <f t="shared" ca="1" si="105"/>
        <v>0</v>
      </c>
      <c r="AI281" s="78">
        <f t="shared" ca="1" si="121"/>
        <v>0</v>
      </c>
    </row>
    <row r="282" spans="1:35" x14ac:dyDescent="0.25">
      <c r="A282">
        <f t="shared" si="101"/>
        <v>24</v>
      </c>
      <c r="B282">
        <f t="shared" si="106"/>
        <v>277</v>
      </c>
      <c r="C282" s="49">
        <f t="shared" si="100"/>
        <v>8402</v>
      </c>
      <c r="D282" s="78">
        <f>IF(C282&gt;EDATE(DATE(YEAR(SED_Origination_Date)+ SED_Amort, MONTH(SED_Origination_Date), DAY(SED_Origination_Date)),SED_Interest_Only),0,H281)</f>
        <v>0</v>
      </c>
      <c r="E282" s="78">
        <f t="shared" si="107"/>
        <v>0</v>
      </c>
      <c r="F282" s="78">
        <f>IFERROR(IF(OR(B282=0, C282&gt;=Refi_Origination_Date),0, PPMT(SED_I_Adj,'Loan Amort Table'!B282,SED_Amort_Periods,SED_Orig_Loan_Amount)),0)</f>
        <v>0</v>
      </c>
      <c r="G282" s="78" cm="1">
        <f t="array" ref="G282">IFERROR(_xlfn.IFS(C282&gt;=Refi_Origination_Date, 0, SED_Amort = 0, -D282 * SED_I_Adj, 1, IPMT(SED_I_Adj,IF(B282 = 0, 1, B282),SED_Amort_Periods,SED_Orig_Loan_Amount)),0)</f>
        <v>0</v>
      </c>
      <c r="H282" s="78">
        <f t="shared" si="122"/>
        <v>0</v>
      </c>
      <c r="J282">
        <f t="shared" si="102"/>
        <v>24</v>
      </c>
      <c r="K282">
        <f t="shared" si="108"/>
        <v>277</v>
      </c>
      <c r="L282" s="49">
        <f t="shared" si="115"/>
        <v>8402</v>
      </c>
      <c r="M282" s="78">
        <f>IF(L282&gt;EDATE(DATE(YEAR(NEW_Origination_Date)+ NEW_Amort, MONTH(NEW_Origination_Date), DAY(NEW_Origination_Date)),NEW_Interest_Only),0,Q281)</f>
        <v>0</v>
      </c>
      <c r="N282" s="78">
        <f t="shared" si="109"/>
        <v>0</v>
      </c>
      <c r="O282" s="78">
        <f>IFERROR(IF(K282=0,0, PPMT(NEW_I_Adj,'Loan Amort Table'!K282,NEW_Amort_Periods,NEW_Orig_Loan_Amount)),0)</f>
        <v>0</v>
      </c>
      <c r="P282" s="78">
        <f>IFERROR(IF(NEW_Amort = 0, -M282* NEW_I_Adj,IPMT(NEW_I_Adj,IF(K282 = 0, 1, K282),NEW_Amort_Periods,NEW_Orig_Loan_Amount)),0)</f>
        <v>0</v>
      </c>
      <c r="Q282" s="78">
        <f t="shared" si="110"/>
        <v>0</v>
      </c>
      <c r="S282">
        <f t="shared" si="103"/>
        <v>24</v>
      </c>
      <c r="T282">
        <f t="shared" si="111"/>
        <v>277</v>
      </c>
      <c r="U282" s="49">
        <f t="shared" si="116"/>
        <v>8402</v>
      </c>
      <c r="V282" s="78">
        <f t="shared" si="112"/>
        <v>0</v>
      </c>
      <c r="W282" s="78">
        <f t="shared" ca="1" si="117"/>
        <v>0</v>
      </c>
      <c r="X282" s="78">
        <f>IFERROR(IF(OR(T282=0, U282&gt;=Refi_Origination_Date),0, PPMT(Mezz_I_Adj,'Loan Amort Table'!T282,Mezz_Amort_Periods,Mezz_Orig_Loan_Amount)),0)</f>
        <v>0</v>
      </c>
      <c r="Y282" s="78" cm="1">
        <f t="array" aca="1" ref="Y282" ca="1">IFERROR(_xlfn.IFS(U282&gt;=Refi_Origination_Date,0, Mezz_Amort = 0, -V282 * Mezz_I_Adj, 1, IPMT(Mezz_I_Adj,IF(T282 = 0, 1, T282),Mezz_Amort_Periods,Mezz_Orig_Loan_Amount)),0)</f>
        <v>0</v>
      </c>
      <c r="Z282" s="78">
        <f t="shared" si="118"/>
        <v>0</v>
      </c>
      <c r="AB282">
        <f t="shared" si="104"/>
        <v>24</v>
      </c>
      <c r="AC282">
        <f t="shared" si="113"/>
        <v>277</v>
      </c>
      <c r="AD282" s="49">
        <f t="shared" si="119"/>
        <v>8402</v>
      </c>
      <c r="AE282" s="78">
        <f t="shared" si="114"/>
        <v>0</v>
      </c>
      <c r="AF282" s="78">
        <f t="shared" ca="1" si="120"/>
        <v>0</v>
      </c>
      <c r="AG282" s="78">
        <f ca="1">IFERROR(IF(AC282=0,0, PPMT(Refi_I_Adj,'Loan Amort Table'!AC282,Refi_Amort_Periods,Refi_Orig_Loan_Amount)),0)</f>
        <v>0</v>
      </c>
      <c r="AH282" s="78">
        <f t="shared" ca="1" si="105"/>
        <v>0</v>
      </c>
      <c r="AI282" s="78">
        <f t="shared" ca="1" si="121"/>
        <v>0</v>
      </c>
    </row>
    <row r="283" spans="1:35" x14ac:dyDescent="0.25">
      <c r="A283">
        <f t="shared" si="101"/>
        <v>24</v>
      </c>
      <c r="B283">
        <f t="shared" si="106"/>
        <v>278</v>
      </c>
      <c r="C283" s="49">
        <f t="shared" si="100"/>
        <v>8433</v>
      </c>
      <c r="D283" s="78">
        <f>IF(C283&gt;EDATE(DATE(YEAR(SED_Origination_Date)+ SED_Amort, MONTH(SED_Origination_Date), DAY(SED_Origination_Date)),SED_Interest_Only),0,H282)</f>
        <v>0</v>
      </c>
      <c r="E283" s="78">
        <f t="shared" si="107"/>
        <v>0</v>
      </c>
      <c r="F283" s="78">
        <f>IFERROR(IF(OR(B283=0, C283&gt;=Refi_Origination_Date),0, PPMT(SED_I_Adj,'Loan Amort Table'!B283,SED_Amort_Periods,SED_Orig_Loan_Amount)),0)</f>
        <v>0</v>
      </c>
      <c r="G283" s="78" cm="1">
        <f t="array" ref="G283">IFERROR(_xlfn.IFS(C283&gt;=Refi_Origination_Date, 0, SED_Amort = 0, -D283 * SED_I_Adj, 1, IPMT(SED_I_Adj,IF(B283 = 0, 1, B283),SED_Amort_Periods,SED_Orig_Loan_Amount)),0)</f>
        <v>0</v>
      </c>
      <c r="H283" s="78">
        <f t="shared" si="122"/>
        <v>0</v>
      </c>
      <c r="J283">
        <f t="shared" si="102"/>
        <v>24</v>
      </c>
      <c r="K283">
        <f t="shared" si="108"/>
        <v>278</v>
      </c>
      <c r="L283" s="49">
        <f t="shared" si="115"/>
        <v>8433</v>
      </c>
      <c r="M283" s="78">
        <f>IF(L283&gt;EDATE(DATE(YEAR(NEW_Origination_Date)+ NEW_Amort, MONTH(NEW_Origination_Date), DAY(NEW_Origination_Date)),NEW_Interest_Only),0,Q282)</f>
        <v>0</v>
      </c>
      <c r="N283" s="78">
        <f t="shared" si="109"/>
        <v>0</v>
      </c>
      <c r="O283" s="78">
        <f>IFERROR(IF(K283=0,0, PPMT(NEW_I_Adj,'Loan Amort Table'!K283,NEW_Amort_Periods,NEW_Orig_Loan_Amount)),0)</f>
        <v>0</v>
      </c>
      <c r="P283" s="78">
        <f>IFERROR(IF(NEW_Amort = 0, -M283* NEW_I_Adj,IPMT(NEW_I_Adj,IF(K283 = 0, 1, K283),NEW_Amort_Periods,NEW_Orig_Loan_Amount)),0)</f>
        <v>0</v>
      </c>
      <c r="Q283" s="78">
        <f t="shared" si="110"/>
        <v>0</v>
      </c>
      <c r="S283">
        <f t="shared" si="103"/>
        <v>24</v>
      </c>
      <c r="T283">
        <f t="shared" si="111"/>
        <v>278</v>
      </c>
      <c r="U283" s="49">
        <f t="shared" si="116"/>
        <v>8433</v>
      </c>
      <c r="V283" s="78">
        <f t="shared" si="112"/>
        <v>0</v>
      </c>
      <c r="W283" s="78">
        <f t="shared" ca="1" si="117"/>
        <v>0</v>
      </c>
      <c r="X283" s="78">
        <f>IFERROR(IF(OR(T283=0, U283&gt;=Refi_Origination_Date),0, PPMT(Mezz_I_Adj,'Loan Amort Table'!T283,Mezz_Amort_Periods,Mezz_Orig_Loan_Amount)),0)</f>
        <v>0</v>
      </c>
      <c r="Y283" s="78" cm="1">
        <f t="array" aca="1" ref="Y283" ca="1">IFERROR(_xlfn.IFS(U283&gt;=Refi_Origination_Date,0, Mezz_Amort = 0, -V283 * Mezz_I_Adj, 1, IPMT(Mezz_I_Adj,IF(T283 = 0, 1, T283),Mezz_Amort_Periods,Mezz_Orig_Loan_Amount)),0)</f>
        <v>0</v>
      </c>
      <c r="Z283" s="78">
        <f t="shared" si="118"/>
        <v>0</v>
      </c>
      <c r="AB283">
        <f t="shared" si="104"/>
        <v>24</v>
      </c>
      <c r="AC283">
        <f t="shared" si="113"/>
        <v>278</v>
      </c>
      <c r="AD283" s="49">
        <f t="shared" si="119"/>
        <v>8433</v>
      </c>
      <c r="AE283" s="78">
        <f t="shared" si="114"/>
        <v>0</v>
      </c>
      <c r="AF283" s="78">
        <f t="shared" ca="1" si="120"/>
        <v>0</v>
      </c>
      <c r="AG283" s="78">
        <f ca="1">IFERROR(IF(AC283=0,0, PPMT(Refi_I_Adj,'Loan Amort Table'!AC283,Refi_Amort_Periods,Refi_Orig_Loan_Amount)),0)</f>
        <v>0</v>
      </c>
      <c r="AH283" s="78">
        <f t="shared" ca="1" si="105"/>
        <v>0</v>
      </c>
      <c r="AI283" s="78">
        <f t="shared" ca="1" si="121"/>
        <v>0</v>
      </c>
    </row>
    <row r="284" spans="1:35" x14ac:dyDescent="0.25">
      <c r="A284">
        <f t="shared" si="101"/>
        <v>24</v>
      </c>
      <c r="B284">
        <f t="shared" si="106"/>
        <v>279</v>
      </c>
      <c r="C284" s="49">
        <f t="shared" si="100"/>
        <v>8461</v>
      </c>
      <c r="D284" s="78">
        <f>IF(C284&gt;EDATE(DATE(YEAR(SED_Origination_Date)+ SED_Amort, MONTH(SED_Origination_Date), DAY(SED_Origination_Date)),SED_Interest_Only),0,H283)</f>
        <v>0</v>
      </c>
      <c r="E284" s="78">
        <f t="shared" si="107"/>
        <v>0</v>
      </c>
      <c r="F284" s="78">
        <f>IFERROR(IF(OR(B284=0, C284&gt;=Refi_Origination_Date),0, PPMT(SED_I_Adj,'Loan Amort Table'!B284,SED_Amort_Periods,SED_Orig_Loan_Amount)),0)</f>
        <v>0</v>
      </c>
      <c r="G284" s="78" cm="1">
        <f t="array" ref="G284">IFERROR(_xlfn.IFS(C284&gt;=Refi_Origination_Date, 0, SED_Amort = 0, -D284 * SED_I_Adj, 1, IPMT(SED_I_Adj,IF(B284 = 0, 1, B284),SED_Amort_Periods,SED_Orig_Loan_Amount)),0)</f>
        <v>0</v>
      </c>
      <c r="H284" s="78">
        <f t="shared" si="122"/>
        <v>0</v>
      </c>
      <c r="J284">
        <f t="shared" si="102"/>
        <v>24</v>
      </c>
      <c r="K284">
        <f t="shared" si="108"/>
        <v>279</v>
      </c>
      <c r="L284" s="49">
        <f t="shared" si="115"/>
        <v>8461</v>
      </c>
      <c r="M284" s="78">
        <f>IF(L284&gt;EDATE(DATE(YEAR(NEW_Origination_Date)+ NEW_Amort, MONTH(NEW_Origination_Date), DAY(NEW_Origination_Date)),NEW_Interest_Only),0,Q283)</f>
        <v>0</v>
      </c>
      <c r="N284" s="78">
        <f t="shared" si="109"/>
        <v>0</v>
      </c>
      <c r="O284" s="78">
        <f>IFERROR(IF(K284=0,0, PPMT(NEW_I_Adj,'Loan Amort Table'!K284,NEW_Amort_Periods,NEW_Orig_Loan_Amount)),0)</f>
        <v>0</v>
      </c>
      <c r="P284" s="78">
        <f>IFERROR(IF(NEW_Amort = 0, -M284* NEW_I_Adj,IPMT(NEW_I_Adj,IF(K284 = 0, 1, K284),NEW_Amort_Periods,NEW_Orig_Loan_Amount)),0)</f>
        <v>0</v>
      </c>
      <c r="Q284" s="78">
        <f t="shared" si="110"/>
        <v>0</v>
      </c>
      <c r="S284">
        <f t="shared" si="103"/>
        <v>24</v>
      </c>
      <c r="T284">
        <f t="shared" si="111"/>
        <v>279</v>
      </c>
      <c r="U284" s="49">
        <f t="shared" si="116"/>
        <v>8461</v>
      </c>
      <c r="V284" s="78">
        <f t="shared" si="112"/>
        <v>0</v>
      </c>
      <c r="W284" s="78">
        <f t="shared" ca="1" si="117"/>
        <v>0</v>
      </c>
      <c r="X284" s="78">
        <f>IFERROR(IF(OR(T284=0, U284&gt;=Refi_Origination_Date),0, PPMT(Mezz_I_Adj,'Loan Amort Table'!T284,Mezz_Amort_Periods,Mezz_Orig_Loan_Amount)),0)</f>
        <v>0</v>
      </c>
      <c r="Y284" s="78" cm="1">
        <f t="array" aca="1" ref="Y284" ca="1">IFERROR(_xlfn.IFS(U284&gt;=Refi_Origination_Date,0, Mezz_Amort = 0, -V284 * Mezz_I_Adj, 1, IPMT(Mezz_I_Adj,IF(T284 = 0, 1, T284),Mezz_Amort_Periods,Mezz_Orig_Loan_Amount)),0)</f>
        <v>0</v>
      </c>
      <c r="Z284" s="78">
        <f t="shared" si="118"/>
        <v>0</v>
      </c>
      <c r="AB284">
        <f t="shared" si="104"/>
        <v>24</v>
      </c>
      <c r="AC284">
        <f t="shared" si="113"/>
        <v>279</v>
      </c>
      <c r="AD284" s="49">
        <f t="shared" si="119"/>
        <v>8461</v>
      </c>
      <c r="AE284" s="78">
        <f t="shared" si="114"/>
        <v>0</v>
      </c>
      <c r="AF284" s="78">
        <f t="shared" ca="1" si="120"/>
        <v>0</v>
      </c>
      <c r="AG284" s="78">
        <f ca="1">IFERROR(IF(AC284=0,0, PPMT(Refi_I_Adj,'Loan Amort Table'!AC284,Refi_Amort_Periods,Refi_Orig_Loan_Amount)),0)</f>
        <v>0</v>
      </c>
      <c r="AH284" s="78">
        <f t="shared" ca="1" si="105"/>
        <v>0</v>
      </c>
      <c r="AI284" s="78">
        <f t="shared" ca="1" si="121"/>
        <v>0</v>
      </c>
    </row>
    <row r="285" spans="1:35" x14ac:dyDescent="0.25">
      <c r="A285">
        <f t="shared" si="101"/>
        <v>24</v>
      </c>
      <c r="B285">
        <f t="shared" si="106"/>
        <v>280</v>
      </c>
      <c r="C285" s="49">
        <f t="shared" si="100"/>
        <v>8492</v>
      </c>
      <c r="D285" s="78">
        <f>IF(C285&gt;EDATE(DATE(YEAR(SED_Origination_Date)+ SED_Amort, MONTH(SED_Origination_Date), DAY(SED_Origination_Date)),SED_Interest_Only),0,H284)</f>
        <v>0</v>
      </c>
      <c r="E285" s="78">
        <f t="shared" si="107"/>
        <v>0</v>
      </c>
      <c r="F285" s="78">
        <f>IFERROR(IF(OR(B285=0, C285&gt;=Refi_Origination_Date),0, PPMT(SED_I_Adj,'Loan Amort Table'!B285,SED_Amort_Periods,SED_Orig_Loan_Amount)),0)</f>
        <v>0</v>
      </c>
      <c r="G285" s="78" cm="1">
        <f t="array" ref="G285">IFERROR(_xlfn.IFS(C285&gt;=Refi_Origination_Date, 0, SED_Amort = 0, -D285 * SED_I_Adj, 1, IPMT(SED_I_Adj,IF(B285 = 0, 1, B285),SED_Amort_Periods,SED_Orig_Loan_Amount)),0)</f>
        <v>0</v>
      </c>
      <c r="H285" s="78">
        <f t="shared" si="122"/>
        <v>0</v>
      </c>
      <c r="J285">
        <f t="shared" si="102"/>
        <v>24</v>
      </c>
      <c r="K285">
        <f t="shared" si="108"/>
        <v>280</v>
      </c>
      <c r="L285" s="49">
        <f t="shared" si="115"/>
        <v>8492</v>
      </c>
      <c r="M285" s="78">
        <f>IF(L285&gt;EDATE(DATE(YEAR(NEW_Origination_Date)+ NEW_Amort, MONTH(NEW_Origination_Date), DAY(NEW_Origination_Date)),NEW_Interest_Only),0,Q284)</f>
        <v>0</v>
      </c>
      <c r="N285" s="78">
        <f t="shared" si="109"/>
        <v>0</v>
      </c>
      <c r="O285" s="78">
        <f>IFERROR(IF(K285=0,0, PPMT(NEW_I_Adj,'Loan Amort Table'!K285,NEW_Amort_Periods,NEW_Orig_Loan_Amount)),0)</f>
        <v>0</v>
      </c>
      <c r="P285" s="78">
        <f>IFERROR(IF(NEW_Amort = 0, -M285* NEW_I_Adj,IPMT(NEW_I_Adj,IF(K285 = 0, 1, K285),NEW_Amort_Periods,NEW_Orig_Loan_Amount)),0)</f>
        <v>0</v>
      </c>
      <c r="Q285" s="78">
        <f t="shared" si="110"/>
        <v>0</v>
      </c>
      <c r="S285">
        <f t="shared" si="103"/>
        <v>24</v>
      </c>
      <c r="T285">
        <f t="shared" si="111"/>
        <v>280</v>
      </c>
      <c r="U285" s="49">
        <f t="shared" si="116"/>
        <v>8492</v>
      </c>
      <c r="V285" s="78">
        <f t="shared" si="112"/>
        <v>0</v>
      </c>
      <c r="W285" s="78">
        <f t="shared" ca="1" si="117"/>
        <v>0</v>
      </c>
      <c r="X285" s="78">
        <f>IFERROR(IF(OR(T285=0, U285&gt;=Refi_Origination_Date),0, PPMT(Mezz_I_Adj,'Loan Amort Table'!T285,Mezz_Amort_Periods,Mezz_Orig_Loan_Amount)),0)</f>
        <v>0</v>
      </c>
      <c r="Y285" s="78" cm="1">
        <f t="array" aca="1" ref="Y285" ca="1">IFERROR(_xlfn.IFS(U285&gt;=Refi_Origination_Date,0, Mezz_Amort = 0, -V285 * Mezz_I_Adj, 1, IPMT(Mezz_I_Adj,IF(T285 = 0, 1, T285),Mezz_Amort_Periods,Mezz_Orig_Loan_Amount)),0)</f>
        <v>0</v>
      </c>
      <c r="Z285" s="78">
        <f t="shared" si="118"/>
        <v>0</v>
      </c>
      <c r="AB285">
        <f t="shared" si="104"/>
        <v>24</v>
      </c>
      <c r="AC285">
        <f t="shared" si="113"/>
        <v>280</v>
      </c>
      <c r="AD285" s="49">
        <f t="shared" si="119"/>
        <v>8492</v>
      </c>
      <c r="AE285" s="78">
        <f t="shared" si="114"/>
        <v>0</v>
      </c>
      <c r="AF285" s="78">
        <f t="shared" ca="1" si="120"/>
        <v>0</v>
      </c>
      <c r="AG285" s="78">
        <f ca="1">IFERROR(IF(AC285=0,0, PPMT(Refi_I_Adj,'Loan Amort Table'!AC285,Refi_Amort_Periods,Refi_Orig_Loan_Amount)),0)</f>
        <v>0</v>
      </c>
      <c r="AH285" s="78">
        <f t="shared" ca="1" si="105"/>
        <v>0</v>
      </c>
      <c r="AI285" s="78">
        <f t="shared" ca="1" si="121"/>
        <v>0</v>
      </c>
    </row>
    <row r="286" spans="1:35" x14ac:dyDescent="0.25">
      <c r="A286">
        <f t="shared" si="101"/>
        <v>24</v>
      </c>
      <c r="B286">
        <f t="shared" si="106"/>
        <v>281</v>
      </c>
      <c r="C286" s="49">
        <f t="shared" si="100"/>
        <v>8522</v>
      </c>
      <c r="D286" s="78">
        <f>IF(C286&gt;EDATE(DATE(YEAR(SED_Origination_Date)+ SED_Amort, MONTH(SED_Origination_Date), DAY(SED_Origination_Date)),SED_Interest_Only),0,H285)</f>
        <v>0</v>
      </c>
      <c r="E286" s="78">
        <f t="shared" si="107"/>
        <v>0</v>
      </c>
      <c r="F286" s="78">
        <f>IFERROR(IF(OR(B286=0, C286&gt;=Refi_Origination_Date),0, PPMT(SED_I_Adj,'Loan Amort Table'!B286,SED_Amort_Periods,SED_Orig_Loan_Amount)),0)</f>
        <v>0</v>
      </c>
      <c r="G286" s="78" cm="1">
        <f t="array" ref="G286">IFERROR(_xlfn.IFS(C286&gt;=Refi_Origination_Date, 0, SED_Amort = 0, -D286 * SED_I_Adj, 1, IPMT(SED_I_Adj,IF(B286 = 0, 1, B286),SED_Amort_Periods,SED_Orig_Loan_Amount)),0)</f>
        <v>0</v>
      </c>
      <c r="H286" s="78">
        <f t="shared" si="122"/>
        <v>0</v>
      </c>
      <c r="J286">
        <f t="shared" si="102"/>
        <v>24</v>
      </c>
      <c r="K286">
        <f t="shared" si="108"/>
        <v>281</v>
      </c>
      <c r="L286" s="49">
        <f t="shared" si="115"/>
        <v>8522</v>
      </c>
      <c r="M286" s="78">
        <f>IF(L286&gt;EDATE(DATE(YEAR(NEW_Origination_Date)+ NEW_Amort, MONTH(NEW_Origination_Date), DAY(NEW_Origination_Date)),NEW_Interest_Only),0,Q285)</f>
        <v>0</v>
      </c>
      <c r="N286" s="78">
        <f t="shared" si="109"/>
        <v>0</v>
      </c>
      <c r="O286" s="78">
        <f>IFERROR(IF(K286=0,0, PPMT(NEW_I_Adj,'Loan Amort Table'!K286,NEW_Amort_Periods,NEW_Orig_Loan_Amount)),0)</f>
        <v>0</v>
      </c>
      <c r="P286" s="78">
        <f>IFERROR(IF(NEW_Amort = 0, -M286* NEW_I_Adj,IPMT(NEW_I_Adj,IF(K286 = 0, 1, K286),NEW_Amort_Periods,NEW_Orig_Loan_Amount)),0)</f>
        <v>0</v>
      </c>
      <c r="Q286" s="78">
        <f t="shared" si="110"/>
        <v>0</v>
      </c>
      <c r="S286">
        <f t="shared" si="103"/>
        <v>24</v>
      </c>
      <c r="T286">
        <f t="shared" si="111"/>
        <v>281</v>
      </c>
      <c r="U286" s="49">
        <f t="shared" si="116"/>
        <v>8522</v>
      </c>
      <c r="V286" s="78">
        <f t="shared" si="112"/>
        <v>0</v>
      </c>
      <c r="W286" s="78">
        <f t="shared" ca="1" si="117"/>
        <v>0</v>
      </c>
      <c r="X286" s="78">
        <f>IFERROR(IF(OR(T286=0, U286&gt;=Refi_Origination_Date),0, PPMT(Mezz_I_Adj,'Loan Amort Table'!T286,Mezz_Amort_Periods,Mezz_Orig_Loan_Amount)),0)</f>
        <v>0</v>
      </c>
      <c r="Y286" s="78" cm="1">
        <f t="array" aca="1" ref="Y286" ca="1">IFERROR(_xlfn.IFS(U286&gt;=Refi_Origination_Date,0, Mezz_Amort = 0, -V286 * Mezz_I_Adj, 1, IPMT(Mezz_I_Adj,IF(T286 = 0, 1, T286),Mezz_Amort_Periods,Mezz_Orig_Loan_Amount)),0)</f>
        <v>0</v>
      </c>
      <c r="Z286" s="78">
        <f t="shared" si="118"/>
        <v>0</v>
      </c>
      <c r="AB286">
        <f t="shared" si="104"/>
        <v>24</v>
      </c>
      <c r="AC286">
        <f t="shared" si="113"/>
        <v>281</v>
      </c>
      <c r="AD286" s="49">
        <f t="shared" si="119"/>
        <v>8522</v>
      </c>
      <c r="AE286" s="78">
        <f t="shared" si="114"/>
        <v>0</v>
      </c>
      <c r="AF286" s="78">
        <f t="shared" ca="1" si="120"/>
        <v>0</v>
      </c>
      <c r="AG286" s="78">
        <f ca="1">IFERROR(IF(AC286=0,0, PPMT(Refi_I_Adj,'Loan Amort Table'!AC286,Refi_Amort_Periods,Refi_Orig_Loan_Amount)),0)</f>
        <v>0</v>
      </c>
      <c r="AH286" s="78">
        <f t="shared" ca="1" si="105"/>
        <v>0</v>
      </c>
      <c r="AI286" s="78">
        <f t="shared" ca="1" si="121"/>
        <v>0</v>
      </c>
    </row>
    <row r="287" spans="1:35" x14ac:dyDescent="0.25">
      <c r="A287">
        <f t="shared" si="101"/>
        <v>24</v>
      </c>
      <c r="B287">
        <f t="shared" si="106"/>
        <v>282</v>
      </c>
      <c r="C287" s="49">
        <f t="shared" si="100"/>
        <v>8553</v>
      </c>
      <c r="D287" s="78">
        <f>IF(C287&gt;EDATE(DATE(YEAR(SED_Origination_Date)+ SED_Amort, MONTH(SED_Origination_Date), DAY(SED_Origination_Date)),SED_Interest_Only),0,H286)</f>
        <v>0</v>
      </c>
      <c r="E287" s="78">
        <f t="shared" si="107"/>
        <v>0</v>
      </c>
      <c r="F287" s="78">
        <f>IFERROR(IF(OR(B287=0, C287&gt;=Refi_Origination_Date),0, PPMT(SED_I_Adj,'Loan Amort Table'!B287,SED_Amort_Periods,SED_Orig_Loan_Amount)),0)</f>
        <v>0</v>
      </c>
      <c r="G287" s="78" cm="1">
        <f t="array" ref="G287">IFERROR(_xlfn.IFS(C287&gt;=Refi_Origination_Date, 0, SED_Amort = 0, -D287 * SED_I_Adj, 1, IPMT(SED_I_Adj,IF(B287 = 0, 1, B287),SED_Amort_Periods,SED_Orig_Loan_Amount)),0)</f>
        <v>0</v>
      </c>
      <c r="H287" s="78">
        <f t="shared" si="122"/>
        <v>0</v>
      </c>
      <c r="J287">
        <f t="shared" si="102"/>
        <v>24</v>
      </c>
      <c r="K287">
        <f t="shared" si="108"/>
        <v>282</v>
      </c>
      <c r="L287" s="49">
        <f t="shared" si="115"/>
        <v>8553</v>
      </c>
      <c r="M287" s="78">
        <f>IF(L287&gt;EDATE(DATE(YEAR(NEW_Origination_Date)+ NEW_Amort, MONTH(NEW_Origination_Date), DAY(NEW_Origination_Date)),NEW_Interest_Only),0,Q286)</f>
        <v>0</v>
      </c>
      <c r="N287" s="78">
        <f t="shared" si="109"/>
        <v>0</v>
      </c>
      <c r="O287" s="78">
        <f>IFERROR(IF(K287=0,0, PPMT(NEW_I_Adj,'Loan Amort Table'!K287,NEW_Amort_Periods,NEW_Orig_Loan_Amount)),0)</f>
        <v>0</v>
      </c>
      <c r="P287" s="78">
        <f>IFERROR(IF(NEW_Amort = 0, -M287* NEW_I_Adj,IPMT(NEW_I_Adj,IF(K287 = 0, 1, K287),NEW_Amort_Periods,NEW_Orig_Loan_Amount)),0)</f>
        <v>0</v>
      </c>
      <c r="Q287" s="78">
        <f t="shared" si="110"/>
        <v>0</v>
      </c>
      <c r="S287">
        <f t="shared" si="103"/>
        <v>24</v>
      </c>
      <c r="T287">
        <f t="shared" si="111"/>
        <v>282</v>
      </c>
      <c r="U287" s="49">
        <f t="shared" si="116"/>
        <v>8553</v>
      </c>
      <c r="V287" s="78">
        <f t="shared" si="112"/>
        <v>0</v>
      </c>
      <c r="W287" s="78">
        <f t="shared" ca="1" si="117"/>
        <v>0</v>
      </c>
      <c r="X287" s="78">
        <f>IFERROR(IF(OR(T287=0, U287&gt;=Refi_Origination_Date),0, PPMT(Mezz_I_Adj,'Loan Amort Table'!T287,Mezz_Amort_Periods,Mezz_Orig_Loan_Amount)),0)</f>
        <v>0</v>
      </c>
      <c r="Y287" s="78" cm="1">
        <f t="array" aca="1" ref="Y287" ca="1">IFERROR(_xlfn.IFS(U287&gt;=Refi_Origination_Date,0, Mezz_Amort = 0, -V287 * Mezz_I_Adj, 1, IPMT(Mezz_I_Adj,IF(T287 = 0, 1, T287),Mezz_Amort_Periods,Mezz_Orig_Loan_Amount)),0)</f>
        <v>0</v>
      </c>
      <c r="Z287" s="78">
        <f t="shared" si="118"/>
        <v>0</v>
      </c>
      <c r="AB287">
        <f t="shared" si="104"/>
        <v>24</v>
      </c>
      <c r="AC287">
        <f t="shared" si="113"/>
        <v>282</v>
      </c>
      <c r="AD287" s="49">
        <f t="shared" si="119"/>
        <v>8553</v>
      </c>
      <c r="AE287" s="78">
        <f t="shared" si="114"/>
        <v>0</v>
      </c>
      <c r="AF287" s="78">
        <f t="shared" ca="1" si="120"/>
        <v>0</v>
      </c>
      <c r="AG287" s="78">
        <f ca="1">IFERROR(IF(AC287=0,0, PPMT(Refi_I_Adj,'Loan Amort Table'!AC287,Refi_Amort_Periods,Refi_Orig_Loan_Amount)),0)</f>
        <v>0</v>
      </c>
      <c r="AH287" s="78">
        <f t="shared" ca="1" si="105"/>
        <v>0</v>
      </c>
      <c r="AI287" s="78">
        <f t="shared" ca="1" si="121"/>
        <v>0</v>
      </c>
    </row>
    <row r="288" spans="1:35" x14ac:dyDescent="0.25">
      <c r="A288">
        <f t="shared" si="101"/>
        <v>24</v>
      </c>
      <c r="B288">
        <f t="shared" si="106"/>
        <v>283</v>
      </c>
      <c r="C288" s="49">
        <f t="shared" si="100"/>
        <v>8583</v>
      </c>
      <c r="D288" s="78">
        <f>IF(C288&gt;EDATE(DATE(YEAR(SED_Origination_Date)+ SED_Amort, MONTH(SED_Origination_Date), DAY(SED_Origination_Date)),SED_Interest_Only),0,H287)</f>
        <v>0</v>
      </c>
      <c r="E288" s="78">
        <f t="shared" si="107"/>
        <v>0</v>
      </c>
      <c r="F288" s="78">
        <f>IFERROR(IF(OR(B288=0, C288&gt;=Refi_Origination_Date),0, PPMT(SED_I_Adj,'Loan Amort Table'!B288,SED_Amort_Periods,SED_Orig_Loan_Amount)),0)</f>
        <v>0</v>
      </c>
      <c r="G288" s="78" cm="1">
        <f t="array" ref="G288">IFERROR(_xlfn.IFS(C288&gt;=Refi_Origination_Date, 0, SED_Amort = 0, -D288 * SED_I_Adj, 1, IPMT(SED_I_Adj,IF(B288 = 0, 1, B288),SED_Amort_Periods,SED_Orig_Loan_Amount)),0)</f>
        <v>0</v>
      </c>
      <c r="H288" s="78">
        <f t="shared" si="122"/>
        <v>0</v>
      </c>
      <c r="J288">
        <f t="shared" si="102"/>
        <v>24</v>
      </c>
      <c r="K288">
        <f t="shared" si="108"/>
        <v>283</v>
      </c>
      <c r="L288" s="49">
        <f t="shared" si="115"/>
        <v>8583</v>
      </c>
      <c r="M288" s="78">
        <f>IF(L288&gt;EDATE(DATE(YEAR(NEW_Origination_Date)+ NEW_Amort, MONTH(NEW_Origination_Date), DAY(NEW_Origination_Date)),NEW_Interest_Only),0,Q287)</f>
        <v>0</v>
      </c>
      <c r="N288" s="78">
        <f t="shared" si="109"/>
        <v>0</v>
      </c>
      <c r="O288" s="78">
        <f>IFERROR(IF(K288=0,0, PPMT(NEW_I_Adj,'Loan Amort Table'!K288,NEW_Amort_Periods,NEW_Orig_Loan_Amount)),0)</f>
        <v>0</v>
      </c>
      <c r="P288" s="78">
        <f>IFERROR(IF(NEW_Amort = 0, -M288* NEW_I_Adj,IPMT(NEW_I_Adj,IF(K288 = 0, 1, K288),NEW_Amort_Periods,NEW_Orig_Loan_Amount)),0)</f>
        <v>0</v>
      </c>
      <c r="Q288" s="78">
        <f t="shared" si="110"/>
        <v>0</v>
      </c>
      <c r="S288">
        <f t="shared" si="103"/>
        <v>24</v>
      </c>
      <c r="T288">
        <f t="shared" si="111"/>
        <v>283</v>
      </c>
      <c r="U288" s="49">
        <f t="shared" si="116"/>
        <v>8583</v>
      </c>
      <c r="V288" s="78">
        <f t="shared" si="112"/>
        <v>0</v>
      </c>
      <c r="W288" s="78">
        <f t="shared" ca="1" si="117"/>
        <v>0</v>
      </c>
      <c r="X288" s="78">
        <f>IFERROR(IF(OR(T288=0, U288&gt;=Refi_Origination_Date),0, PPMT(Mezz_I_Adj,'Loan Amort Table'!T288,Mezz_Amort_Periods,Mezz_Orig_Loan_Amount)),0)</f>
        <v>0</v>
      </c>
      <c r="Y288" s="78" cm="1">
        <f t="array" aca="1" ref="Y288" ca="1">IFERROR(_xlfn.IFS(U288&gt;=Refi_Origination_Date,0, Mezz_Amort = 0, -V288 * Mezz_I_Adj, 1, IPMT(Mezz_I_Adj,IF(T288 = 0, 1, T288),Mezz_Amort_Periods,Mezz_Orig_Loan_Amount)),0)</f>
        <v>0</v>
      </c>
      <c r="Z288" s="78">
        <f t="shared" si="118"/>
        <v>0</v>
      </c>
      <c r="AB288">
        <f t="shared" si="104"/>
        <v>24</v>
      </c>
      <c r="AC288">
        <f t="shared" si="113"/>
        <v>283</v>
      </c>
      <c r="AD288" s="49">
        <f t="shared" si="119"/>
        <v>8583</v>
      </c>
      <c r="AE288" s="78">
        <f t="shared" si="114"/>
        <v>0</v>
      </c>
      <c r="AF288" s="78">
        <f t="shared" ca="1" si="120"/>
        <v>0</v>
      </c>
      <c r="AG288" s="78">
        <f ca="1">IFERROR(IF(AC288=0,0, PPMT(Refi_I_Adj,'Loan Amort Table'!AC288,Refi_Amort_Periods,Refi_Orig_Loan_Amount)),0)</f>
        <v>0</v>
      </c>
      <c r="AH288" s="78">
        <f t="shared" ca="1" si="105"/>
        <v>0</v>
      </c>
      <c r="AI288" s="78">
        <f t="shared" ca="1" si="121"/>
        <v>0</v>
      </c>
    </row>
    <row r="289" spans="1:35" x14ac:dyDescent="0.25">
      <c r="A289">
        <f t="shared" si="101"/>
        <v>24</v>
      </c>
      <c r="B289">
        <f t="shared" si="106"/>
        <v>284</v>
      </c>
      <c r="C289" s="49">
        <f t="shared" si="100"/>
        <v>8614</v>
      </c>
      <c r="D289" s="78">
        <f>IF(C289&gt;EDATE(DATE(YEAR(SED_Origination_Date)+ SED_Amort, MONTH(SED_Origination_Date), DAY(SED_Origination_Date)),SED_Interest_Only),0,H288)</f>
        <v>0</v>
      </c>
      <c r="E289" s="78">
        <f t="shared" si="107"/>
        <v>0</v>
      </c>
      <c r="F289" s="78">
        <f>IFERROR(IF(OR(B289=0, C289&gt;=Refi_Origination_Date),0, PPMT(SED_I_Adj,'Loan Amort Table'!B289,SED_Amort_Periods,SED_Orig_Loan_Amount)),0)</f>
        <v>0</v>
      </c>
      <c r="G289" s="78" cm="1">
        <f t="array" ref="G289">IFERROR(_xlfn.IFS(C289&gt;=Refi_Origination_Date, 0, SED_Amort = 0, -D289 * SED_I_Adj, 1, IPMT(SED_I_Adj,IF(B289 = 0, 1, B289),SED_Amort_Periods,SED_Orig_Loan_Amount)),0)</f>
        <v>0</v>
      </c>
      <c r="H289" s="78">
        <f t="shared" si="122"/>
        <v>0</v>
      </c>
      <c r="J289">
        <f t="shared" si="102"/>
        <v>24</v>
      </c>
      <c r="K289">
        <f t="shared" si="108"/>
        <v>284</v>
      </c>
      <c r="L289" s="49">
        <f t="shared" si="115"/>
        <v>8614</v>
      </c>
      <c r="M289" s="78">
        <f>IF(L289&gt;EDATE(DATE(YEAR(NEW_Origination_Date)+ NEW_Amort, MONTH(NEW_Origination_Date), DAY(NEW_Origination_Date)),NEW_Interest_Only),0,Q288)</f>
        <v>0</v>
      </c>
      <c r="N289" s="78">
        <f t="shared" si="109"/>
        <v>0</v>
      </c>
      <c r="O289" s="78">
        <f>IFERROR(IF(K289=0,0, PPMT(NEW_I_Adj,'Loan Amort Table'!K289,NEW_Amort_Periods,NEW_Orig_Loan_Amount)),0)</f>
        <v>0</v>
      </c>
      <c r="P289" s="78">
        <f>IFERROR(IF(NEW_Amort = 0, -M289* NEW_I_Adj,IPMT(NEW_I_Adj,IF(K289 = 0, 1, K289),NEW_Amort_Periods,NEW_Orig_Loan_Amount)),0)</f>
        <v>0</v>
      </c>
      <c r="Q289" s="78">
        <f t="shared" si="110"/>
        <v>0</v>
      </c>
      <c r="S289">
        <f t="shared" si="103"/>
        <v>24</v>
      </c>
      <c r="T289">
        <f t="shared" si="111"/>
        <v>284</v>
      </c>
      <c r="U289" s="49">
        <f t="shared" si="116"/>
        <v>8614</v>
      </c>
      <c r="V289" s="78">
        <f t="shared" si="112"/>
        <v>0</v>
      </c>
      <c r="W289" s="78">
        <f t="shared" ca="1" si="117"/>
        <v>0</v>
      </c>
      <c r="X289" s="78">
        <f>IFERROR(IF(OR(T289=0, U289&gt;=Refi_Origination_Date),0, PPMT(Mezz_I_Adj,'Loan Amort Table'!T289,Mezz_Amort_Periods,Mezz_Orig_Loan_Amount)),0)</f>
        <v>0</v>
      </c>
      <c r="Y289" s="78" cm="1">
        <f t="array" aca="1" ref="Y289" ca="1">IFERROR(_xlfn.IFS(U289&gt;=Refi_Origination_Date,0, Mezz_Amort = 0, -V289 * Mezz_I_Adj, 1, IPMT(Mezz_I_Adj,IF(T289 = 0, 1, T289),Mezz_Amort_Periods,Mezz_Orig_Loan_Amount)),0)</f>
        <v>0</v>
      </c>
      <c r="Z289" s="78">
        <f t="shared" si="118"/>
        <v>0</v>
      </c>
      <c r="AB289">
        <f t="shared" si="104"/>
        <v>24</v>
      </c>
      <c r="AC289">
        <f t="shared" si="113"/>
        <v>284</v>
      </c>
      <c r="AD289" s="49">
        <f t="shared" si="119"/>
        <v>8614</v>
      </c>
      <c r="AE289" s="78">
        <f t="shared" si="114"/>
        <v>0</v>
      </c>
      <c r="AF289" s="78">
        <f t="shared" ca="1" si="120"/>
        <v>0</v>
      </c>
      <c r="AG289" s="78">
        <f ca="1">IFERROR(IF(AC289=0,0, PPMT(Refi_I_Adj,'Loan Amort Table'!AC289,Refi_Amort_Periods,Refi_Orig_Loan_Amount)),0)</f>
        <v>0</v>
      </c>
      <c r="AH289" s="78">
        <f t="shared" ca="1" si="105"/>
        <v>0</v>
      </c>
      <c r="AI289" s="78">
        <f t="shared" ca="1" si="121"/>
        <v>0</v>
      </c>
    </row>
    <row r="290" spans="1:35" x14ac:dyDescent="0.25">
      <c r="A290">
        <f t="shared" si="101"/>
        <v>24</v>
      </c>
      <c r="B290">
        <f t="shared" si="106"/>
        <v>285</v>
      </c>
      <c r="C290" s="49">
        <f t="shared" si="100"/>
        <v>8645</v>
      </c>
      <c r="D290" s="78">
        <f>IF(C290&gt;EDATE(DATE(YEAR(SED_Origination_Date)+ SED_Amort, MONTH(SED_Origination_Date), DAY(SED_Origination_Date)),SED_Interest_Only),0,H289)</f>
        <v>0</v>
      </c>
      <c r="E290" s="78">
        <f t="shared" si="107"/>
        <v>0</v>
      </c>
      <c r="F290" s="78">
        <f>IFERROR(IF(OR(B290=0, C290&gt;=Refi_Origination_Date),0, PPMT(SED_I_Adj,'Loan Amort Table'!B290,SED_Amort_Periods,SED_Orig_Loan_Amount)),0)</f>
        <v>0</v>
      </c>
      <c r="G290" s="78" cm="1">
        <f t="array" ref="G290">IFERROR(_xlfn.IFS(C290&gt;=Refi_Origination_Date, 0, SED_Amort = 0, -D290 * SED_I_Adj, 1, IPMT(SED_I_Adj,IF(B290 = 0, 1, B290),SED_Amort_Periods,SED_Orig_Loan_Amount)),0)</f>
        <v>0</v>
      </c>
      <c r="H290" s="78">
        <f t="shared" si="122"/>
        <v>0</v>
      </c>
      <c r="J290">
        <f t="shared" si="102"/>
        <v>24</v>
      </c>
      <c r="K290">
        <f t="shared" si="108"/>
        <v>285</v>
      </c>
      <c r="L290" s="49">
        <f t="shared" si="115"/>
        <v>8645</v>
      </c>
      <c r="M290" s="78">
        <f>IF(L290&gt;EDATE(DATE(YEAR(NEW_Origination_Date)+ NEW_Amort, MONTH(NEW_Origination_Date), DAY(NEW_Origination_Date)),NEW_Interest_Only),0,Q289)</f>
        <v>0</v>
      </c>
      <c r="N290" s="78">
        <f t="shared" si="109"/>
        <v>0</v>
      </c>
      <c r="O290" s="78">
        <f>IFERROR(IF(K290=0,0, PPMT(NEW_I_Adj,'Loan Amort Table'!K290,NEW_Amort_Periods,NEW_Orig_Loan_Amount)),0)</f>
        <v>0</v>
      </c>
      <c r="P290" s="78">
        <f>IFERROR(IF(NEW_Amort = 0, -M290* NEW_I_Adj,IPMT(NEW_I_Adj,IF(K290 = 0, 1, K290),NEW_Amort_Periods,NEW_Orig_Loan_Amount)),0)</f>
        <v>0</v>
      </c>
      <c r="Q290" s="78">
        <f t="shared" si="110"/>
        <v>0</v>
      </c>
      <c r="S290">
        <f t="shared" si="103"/>
        <v>24</v>
      </c>
      <c r="T290">
        <f t="shared" si="111"/>
        <v>285</v>
      </c>
      <c r="U290" s="49">
        <f t="shared" si="116"/>
        <v>8645</v>
      </c>
      <c r="V290" s="78">
        <f t="shared" si="112"/>
        <v>0</v>
      </c>
      <c r="W290" s="78">
        <f t="shared" ca="1" si="117"/>
        <v>0</v>
      </c>
      <c r="X290" s="78">
        <f>IFERROR(IF(OR(T290=0, U290&gt;=Refi_Origination_Date),0, PPMT(Mezz_I_Adj,'Loan Amort Table'!T290,Mezz_Amort_Periods,Mezz_Orig_Loan_Amount)),0)</f>
        <v>0</v>
      </c>
      <c r="Y290" s="78" cm="1">
        <f t="array" aca="1" ref="Y290" ca="1">IFERROR(_xlfn.IFS(U290&gt;=Refi_Origination_Date,0, Mezz_Amort = 0, -V290 * Mezz_I_Adj, 1, IPMT(Mezz_I_Adj,IF(T290 = 0, 1, T290),Mezz_Amort_Periods,Mezz_Orig_Loan_Amount)),0)</f>
        <v>0</v>
      </c>
      <c r="Z290" s="78">
        <f t="shared" si="118"/>
        <v>0</v>
      </c>
      <c r="AB290">
        <f t="shared" si="104"/>
        <v>24</v>
      </c>
      <c r="AC290">
        <f t="shared" si="113"/>
        <v>285</v>
      </c>
      <c r="AD290" s="49">
        <f t="shared" si="119"/>
        <v>8645</v>
      </c>
      <c r="AE290" s="78">
        <f t="shared" si="114"/>
        <v>0</v>
      </c>
      <c r="AF290" s="78">
        <f t="shared" ca="1" si="120"/>
        <v>0</v>
      </c>
      <c r="AG290" s="78">
        <f ca="1">IFERROR(IF(AC290=0,0, PPMT(Refi_I_Adj,'Loan Amort Table'!AC290,Refi_Amort_Periods,Refi_Orig_Loan_Amount)),0)</f>
        <v>0</v>
      </c>
      <c r="AH290" s="78">
        <f t="shared" ca="1" si="105"/>
        <v>0</v>
      </c>
      <c r="AI290" s="78">
        <f t="shared" ca="1" si="121"/>
        <v>0</v>
      </c>
    </row>
    <row r="291" spans="1:35" x14ac:dyDescent="0.25">
      <c r="A291">
        <f t="shared" si="101"/>
        <v>24</v>
      </c>
      <c r="B291">
        <f t="shared" si="106"/>
        <v>286</v>
      </c>
      <c r="C291" s="49">
        <f t="shared" si="100"/>
        <v>8675</v>
      </c>
      <c r="D291" s="78">
        <f>IF(C291&gt;EDATE(DATE(YEAR(SED_Origination_Date)+ SED_Amort, MONTH(SED_Origination_Date), DAY(SED_Origination_Date)),SED_Interest_Only),0,H290)</f>
        <v>0</v>
      </c>
      <c r="E291" s="78">
        <f t="shared" si="107"/>
        <v>0</v>
      </c>
      <c r="F291" s="78">
        <f>IFERROR(IF(OR(B291=0, C291&gt;=Refi_Origination_Date),0, PPMT(SED_I_Adj,'Loan Amort Table'!B291,SED_Amort_Periods,SED_Orig_Loan_Amount)),0)</f>
        <v>0</v>
      </c>
      <c r="G291" s="78" cm="1">
        <f t="array" ref="G291">IFERROR(_xlfn.IFS(C291&gt;=Refi_Origination_Date, 0, SED_Amort = 0, -D291 * SED_I_Adj, 1, IPMT(SED_I_Adj,IF(B291 = 0, 1, B291),SED_Amort_Periods,SED_Orig_Loan_Amount)),0)</f>
        <v>0</v>
      </c>
      <c r="H291" s="78">
        <f t="shared" si="122"/>
        <v>0</v>
      </c>
      <c r="J291">
        <f t="shared" si="102"/>
        <v>24</v>
      </c>
      <c r="K291">
        <f t="shared" si="108"/>
        <v>286</v>
      </c>
      <c r="L291" s="49">
        <f t="shared" si="115"/>
        <v>8675</v>
      </c>
      <c r="M291" s="78">
        <f>IF(L291&gt;EDATE(DATE(YEAR(NEW_Origination_Date)+ NEW_Amort, MONTH(NEW_Origination_Date), DAY(NEW_Origination_Date)),NEW_Interest_Only),0,Q290)</f>
        <v>0</v>
      </c>
      <c r="N291" s="78">
        <f t="shared" si="109"/>
        <v>0</v>
      </c>
      <c r="O291" s="78">
        <f>IFERROR(IF(K291=0,0, PPMT(NEW_I_Adj,'Loan Amort Table'!K291,NEW_Amort_Periods,NEW_Orig_Loan_Amount)),0)</f>
        <v>0</v>
      </c>
      <c r="P291" s="78">
        <f>IFERROR(IF(NEW_Amort = 0, -M291* NEW_I_Adj,IPMT(NEW_I_Adj,IF(K291 = 0, 1, K291),NEW_Amort_Periods,NEW_Orig_Loan_Amount)),0)</f>
        <v>0</v>
      </c>
      <c r="Q291" s="78">
        <f t="shared" si="110"/>
        <v>0</v>
      </c>
      <c r="S291">
        <f t="shared" si="103"/>
        <v>24</v>
      </c>
      <c r="T291">
        <f t="shared" si="111"/>
        <v>286</v>
      </c>
      <c r="U291" s="49">
        <f t="shared" si="116"/>
        <v>8675</v>
      </c>
      <c r="V291" s="78">
        <f t="shared" si="112"/>
        <v>0</v>
      </c>
      <c r="W291" s="78">
        <f t="shared" ca="1" si="117"/>
        <v>0</v>
      </c>
      <c r="X291" s="78">
        <f>IFERROR(IF(OR(T291=0, U291&gt;=Refi_Origination_Date),0, PPMT(Mezz_I_Adj,'Loan Amort Table'!T291,Mezz_Amort_Periods,Mezz_Orig_Loan_Amount)),0)</f>
        <v>0</v>
      </c>
      <c r="Y291" s="78" cm="1">
        <f t="array" aca="1" ref="Y291" ca="1">IFERROR(_xlfn.IFS(U291&gt;=Refi_Origination_Date,0, Mezz_Amort = 0, -V291 * Mezz_I_Adj, 1, IPMT(Mezz_I_Adj,IF(T291 = 0, 1, T291),Mezz_Amort_Periods,Mezz_Orig_Loan_Amount)),0)</f>
        <v>0</v>
      </c>
      <c r="Z291" s="78">
        <f t="shared" si="118"/>
        <v>0</v>
      </c>
      <c r="AB291">
        <f t="shared" si="104"/>
        <v>24</v>
      </c>
      <c r="AC291">
        <f t="shared" si="113"/>
        <v>286</v>
      </c>
      <c r="AD291" s="49">
        <f t="shared" si="119"/>
        <v>8675</v>
      </c>
      <c r="AE291" s="78">
        <f t="shared" si="114"/>
        <v>0</v>
      </c>
      <c r="AF291" s="78">
        <f t="shared" ca="1" si="120"/>
        <v>0</v>
      </c>
      <c r="AG291" s="78">
        <f ca="1">IFERROR(IF(AC291=0,0, PPMT(Refi_I_Adj,'Loan Amort Table'!AC291,Refi_Amort_Periods,Refi_Orig_Loan_Amount)),0)</f>
        <v>0</v>
      </c>
      <c r="AH291" s="78">
        <f t="shared" ca="1" si="105"/>
        <v>0</v>
      </c>
      <c r="AI291" s="78">
        <f t="shared" ca="1" si="121"/>
        <v>0</v>
      </c>
    </row>
    <row r="292" spans="1:35" x14ac:dyDescent="0.25">
      <c r="A292">
        <f t="shared" si="101"/>
        <v>24</v>
      </c>
      <c r="B292">
        <f t="shared" si="106"/>
        <v>287</v>
      </c>
      <c r="C292" s="49">
        <f t="shared" si="100"/>
        <v>8706</v>
      </c>
      <c r="D292" s="78">
        <f>IF(C292&gt;EDATE(DATE(YEAR(SED_Origination_Date)+ SED_Amort, MONTH(SED_Origination_Date), DAY(SED_Origination_Date)),SED_Interest_Only),0,H291)</f>
        <v>0</v>
      </c>
      <c r="E292" s="78">
        <f t="shared" si="107"/>
        <v>0</v>
      </c>
      <c r="F292" s="78">
        <f>IFERROR(IF(OR(B292=0, C292&gt;=Refi_Origination_Date),0, PPMT(SED_I_Adj,'Loan Amort Table'!B292,SED_Amort_Periods,SED_Orig_Loan_Amount)),0)</f>
        <v>0</v>
      </c>
      <c r="G292" s="78" cm="1">
        <f t="array" ref="G292">IFERROR(_xlfn.IFS(C292&gt;=Refi_Origination_Date, 0, SED_Amort = 0, -D292 * SED_I_Adj, 1, IPMT(SED_I_Adj,IF(B292 = 0, 1, B292),SED_Amort_Periods,SED_Orig_Loan_Amount)),0)</f>
        <v>0</v>
      </c>
      <c r="H292" s="78">
        <f t="shared" si="122"/>
        <v>0</v>
      </c>
      <c r="J292">
        <f t="shared" si="102"/>
        <v>24</v>
      </c>
      <c r="K292">
        <f t="shared" si="108"/>
        <v>287</v>
      </c>
      <c r="L292" s="49">
        <f t="shared" si="115"/>
        <v>8706</v>
      </c>
      <c r="M292" s="78">
        <f>IF(L292&gt;EDATE(DATE(YEAR(NEW_Origination_Date)+ NEW_Amort, MONTH(NEW_Origination_Date), DAY(NEW_Origination_Date)),NEW_Interest_Only),0,Q291)</f>
        <v>0</v>
      </c>
      <c r="N292" s="78">
        <f t="shared" si="109"/>
        <v>0</v>
      </c>
      <c r="O292" s="78">
        <f>IFERROR(IF(K292=0,0, PPMT(NEW_I_Adj,'Loan Amort Table'!K292,NEW_Amort_Periods,NEW_Orig_Loan_Amount)),0)</f>
        <v>0</v>
      </c>
      <c r="P292" s="78">
        <f>IFERROR(IF(NEW_Amort = 0, -M292* NEW_I_Adj,IPMT(NEW_I_Adj,IF(K292 = 0, 1, K292),NEW_Amort_Periods,NEW_Orig_Loan_Amount)),0)</f>
        <v>0</v>
      </c>
      <c r="Q292" s="78">
        <f t="shared" si="110"/>
        <v>0</v>
      </c>
      <c r="S292">
        <f t="shared" si="103"/>
        <v>24</v>
      </c>
      <c r="T292">
        <f t="shared" si="111"/>
        <v>287</v>
      </c>
      <c r="U292" s="49">
        <f t="shared" si="116"/>
        <v>8706</v>
      </c>
      <c r="V292" s="78">
        <f t="shared" si="112"/>
        <v>0</v>
      </c>
      <c r="W292" s="78">
        <f t="shared" ca="1" si="117"/>
        <v>0</v>
      </c>
      <c r="X292" s="78">
        <f>IFERROR(IF(OR(T292=0, U292&gt;=Refi_Origination_Date),0, PPMT(Mezz_I_Adj,'Loan Amort Table'!T292,Mezz_Amort_Periods,Mezz_Orig_Loan_Amount)),0)</f>
        <v>0</v>
      </c>
      <c r="Y292" s="78" cm="1">
        <f t="array" aca="1" ref="Y292" ca="1">IFERROR(_xlfn.IFS(U292&gt;=Refi_Origination_Date,0, Mezz_Amort = 0, -V292 * Mezz_I_Adj, 1, IPMT(Mezz_I_Adj,IF(T292 = 0, 1, T292),Mezz_Amort_Periods,Mezz_Orig_Loan_Amount)),0)</f>
        <v>0</v>
      </c>
      <c r="Z292" s="78">
        <f t="shared" si="118"/>
        <v>0</v>
      </c>
      <c r="AB292">
        <f t="shared" si="104"/>
        <v>24</v>
      </c>
      <c r="AC292">
        <f t="shared" si="113"/>
        <v>287</v>
      </c>
      <c r="AD292" s="49">
        <f t="shared" si="119"/>
        <v>8706</v>
      </c>
      <c r="AE292" s="78">
        <f t="shared" si="114"/>
        <v>0</v>
      </c>
      <c r="AF292" s="78">
        <f t="shared" ca="1" si="120"/>
        <v>0</v>
      </c>
      <c r="AG292" s="78">
        <f ca="1">IFERROR(IF(AC292=0,0, PPMT(Refi_I_Adj,'Loan Amort Table'!AC292,Refi_Amort_Periods,Refi_Orig_Loan_Amount)),0)</f>
        <v>0</v>
      </c>
      <c r="AH292" s="78">
        <f t="shared" ca="1" si="105"/>
        <v>0</v>
      </c>
      <c r="AI292" s="78">
        <f t="shared" ca="1" si="121"/>
        <v>0</v>
      </c>
    </row>
    <row r="293" spans="1:35" x14ac:dyDescent="0.25">
      <c r="A293">
        <f t="shared" si="101"/>
        <v>24</v>
      </c>
      <c r="B293">
        <f t="shared" si="106"/>
        <v>288</v>
      </c>
      <c r="C293" s="49">
        <f t="shared" si="100"/>
        <v>8736</v>
      </c>
      <c r="D293" s="78">
        <f>IF(C293&gt;EDATE(DATE(YEAR(SED_Origination_Date)+ SED_Amort, MONTH(SED_Origination_Date), DAY(SED_Origination_Date)),SED_Interest_Only),0,H292)</f>
        <v>0</v>
      </c>
      <c r="E293" s="78">
        <f t="shared" si="107"/>
        <v>0</v>
      </c>
      <c r="F293" s="78">
        <f>IFERROR(IF(OR(B293=0, C293&gt;=Refi_Origination_Date),0, PPMT(SED_I_Adj,'Loan Amort Table'!B293,SED_Amort_Periods,SED_Orig_Loan_Amount)),0)</f>
        <v>0</v>
      </c>
      <c r="G293" s="78" cm="1">
        <f t="array" ref="G293">IFERROR(_xlfn.IFS(C293&gt;=Refi_Origination_Date, 0, SED_Amort = 0, -D293 * SED_I_Adj, 1, IPMT(SED_I_Adj,IF(B293 = 0, 1, B293),SED_Amort_Periods,SED_Orig_Loan_Amount)),0)</f>
        <v>0</v>
      </c>
      <c r="H293" s="78">
        <f t="shared" si="122"/>
        <v>0</v>
      </c>
      <c r="J293">
        <f t="shared" si="102"/>
        <v>24</v>
      </c>
      <c r="K293">
        <f t="shared" si="108"/>
        <v>288</v>
      </c>
      <c r="L293" s="49">
        <f t="shared" si="115"/>
        <v>8736</v>
      </c>
      <c r="M293" s="78">
        <f>IF(L293&gt;EDATE(DATE(YEAR(NEW_Origination_Date)+ NEW_Amort, MONTH(NEW_Origination_Date), DAY(NEW_Origination_Date)),NEW_Interest_Only),0,Q292)</f>
        <v>0</v>
      </c>
      <c r="N293" s="78">
        <f t="shared" si="109"/>
        <v>0</v>
      </c>
      <c r="O293" s="78">
        <f>IFERROR(IF(K293=0,0, PPMT(NEW_I_Adj,'Loan Amort Table'!K293,NEW_Amort_Periods,NEW_Orig_Loan_Amount)),0)</f>
        <v>0</v>
      </c>
      <c r="P293" s="78">
        <f>IFERROR(IF(NEW_Amort = 0, -M293* NEW_I_Adj,IPMT(NEW_I_Adj,IF(K293 = 0, 1, K293),NEW_Amort_Periods,NEW_Orig_Loan_Amount)),0)</f>
        <v>0</v>
      </c>
      <c r="Q293" s="78">
        <f t="shared" si="110"/>
        <v>0</v>
      </c>
      <c r="S293">
        <f t="shared" si="103"/>
        <v>24</v>
      </c>
      <c r="T293">
        <f t="shared" si="111"/>
        <v>288</v>
      </c>
      <c r="U293" s="49">
        <f t="shared" si="116"/>
        <v>8736</v>
      </c>
      <c r="V293" s="78">
        <f t="shared" si="112"/>
        <v>0</v>
      </c>
      <c r="W293" s="78">
        <f t="shared" ca="1" si="117"/>
        <v>0</v>
      </c>
      <c r="X293" s="78">
        <f>IFERROR(IF(OR(T293=0, U293&gt;=Refi_Origination_Date),0, PPMT(Mezz_I_Adj,'Loan Amort Table'!T293,Mezz_Amort_Periods,Mezz_Orig_Loan_Amount)),0)</f>
        <v>0</v>
      </c>
      <c r="Y293" s="78" cm="1">
        <f t="array" aca="1" ref="Y293" ca="1">IFERROR(_xlfn.IFS(U293&gt;=Refi_Origination_Date,0, Mezz_Amort = 0, -V293 * Mezz_I_Adj, 1, IPMT(Mezz_I_Adj,IF(T293 = 0, 1, T293),Mezz_Amort_Periods,Mezz_Orig_Loan_Amount)),0)</f>
        <v>0</v>
      </c>
      <c r="Z293" s="78">
        <f t="shared" si="118"/>
        <v>0</v>
      </c>
      <c r="AB293">
        <f t="shared" si="104"/>
        <v>24</v>
      </c>
      <c r="AC293">
        <f t="shared" si="113"/>
        <v>288</v>
      </c>
      <c r="AD293" s="49">
        <f t="shared" si="119"/>
        <v>8736</v>
      </c>
      <c r="AE293" s="78">
        <f t="shared" si="114"/>
        <v>0</v>
      </c>
      <c r="AF293" s="78">
        <f t="shared" ca="1" si="120"/>
        <v>0</v>
      </c>
      <c r="AG293" s="78">
        <f ca="1">IFERROR(IF(AC293=0,0, PPMT(Refi_I_Adj,'Loan Amort Table'!AC293,Refi_Amort_Periods,Refi_Orig_Loan_Amount)),0)</f>
        <v>0</v>
      </c>
      <c r="AH293" s="78">
        <f t="shared" ca="1" si="105"/>
        <v>0</v>
      </c>
      <c r="AI293" s="78">
        <f t="shared" ca="1" si="121"/>
        <v>0</v>
      </c>
    </row>
    <row r="294" spans="1:35" x14ac:dyDescent="0.25">
      <c r="A294">
        <f t="shared" si="101"/>
        <v>25</v>
      </c>
      <c r="B294">
        <f t="shared" si="106"/>
        <v>289</v>
      </c>
      <c r="C294" s="49">
        <f t="shared" si="100"/>
        <v>8767</v>
      </c>
      <c r="D294" s="78">
        <f>IF(C294&gt;EDATE(DATE(YEAR(SED_Origination_Date)+ SED_Amort, MONTH(SED_Origination_Date), DAY(SED_Origination_Date)),SED_Interest_Only),0,H293)</f>
        <v>0</v>
      </c>
      <c r="E294" s="78">
        <f t="shared" si="107"/>
        <v>0</v>
      </c>
      <c r="F294" s="78">
        <f>IFERROR(IF(OR(B294=0, C294&gt;=Refi_Origination_Date),0, PPMT(SED_I_Adj,'Loan Amort Table'!B294,SED_Amort_Periods,SED_Orig_Loan_Amount)),0)</f>
        <v>0</v>
      </c>
      <c r="G294" s="78" cm="1">
        <f t="array" ref="G294">IFERROR(_xlfn.IFS(C294&gt;=Refi_Origination_Date, 0, SED_Amort = 0, -D294 * SED_I_Adj, 1, IPMT(SED_I_Adj,IF(B294 = 0, 1, B294),SED_Amort_Periods,SED_Orig_Loan_Amount)),0)</f>
        <v>0</v>
      </c>
      <c r="H294" s="78">
        <f t="shared" si="122"/>
        <v>0</v>
      </c>
      <c r="J294">
        <f t="shared" si="102"/>
        <v>25</v>
      </c>
      <c r="K294">
        <f t="shared" si="108"/>
        <v>289</v>
      </c>
      <c r="L294" s="49">
        <f t="shared" si="115"/>
        <v>8767</v>
      </c>
      <c r="M294" s="78">
        <f>IF(L294&gt;EDATE(DATE(YEAR(NEW_Origination_Date)+ NEW_Amort, MONTH(NEW_Origination_Date), DAY(NEW_Origination_Date)),NEW_Interest_Only),0,Q293)</f>
        <v>0</v>
      </c>
      <c r="N294" s="78">
        <f t="shared" si="109"/>
        <v>0</v>
      </c>
      <c r="O294" s="78">
        <f>IFERROR(IF(K294=0,0, PPMT(NEW_I_Adj,'Loan Amort Table'!K294,NEW_Amort_Periods,NEW_Orig_Loan_Amount)),0)</f>
        <v>0</v>
      </c>
      <c r="P294" s="78">
        <f>IFERROR(IF(NEW_Amort = 0, -M294* NEW_I_Adj,IPMT(NEW_I_Adj,IF(K294 = 0, 1, K294),NEW_Amort_Periods,NEW_Orig_Loan_Amount)),0)</f>
        <v>0</v>
      </c>
      <c r="Q294" s="78">
        <f t="shared" si="110"/>
        <v>0</v>
      </c>
      <c r="S294">
        <f t="shared" si="103"/>
        <v>25</v>
      </c>
      <c r="T294">
        <f t="shared" si="111"/>
        <v>289</v>
      </c>
      <c r="U294" s="49">
        <f t="shared" si="116"/>
        <v>8767</v>
      </c>
      <c r="V294" s="78">
        <f t="shared" si="112"/>
        <v>0</v>
      </c>
      <c r="W294" s="78">
        <f t="shared" ca="1" si="117"/>
        <v>0</v>
      </c>
      <c r="X294" s="78">
        <f>IFERROR(IF(OR(T294=0, U294&gt;=Refi_Origination_Date),0, PPMT(Mezz_I_Adj,'Loan Amort Table'!T294,Mezz_Amort_Periods,Mezz_Orig_Loan_Amount)),0)</f>
        <v>0</v>
      </c>
      <c r="Y294" s="78" cm="1">
        <f t="array" aca="1" ref="Y294" ca="1">IFERROR(_xlfn.IFS(U294&gt;=Refi_Origination_Date,0, Mezz_Amort = 0, -V294 * Mezz_I_Adj, 1, IPMT(Mezz_I_Adj,IF(T294 = 0, 1, T294),Mezz_Amort_Periods,Mezz_Orig_Loan_Amount)),0)</f>
        <v>0</v>
      </c>
      <c r="Z294" s="78">
        <f t="shared" si="118"/>
        <v>0</v>
      </c>
      <c r="AB294">
        <f t="shared" si="104"/>
        <v>25</v>
      </c>
      <c r="AC294">
        <f t="shared" si="113"/>
        <v>289</v>
      </c>
      <c r="AD294" s="49">
        <f t="shared" si="119"/>
        <v>8767</v>
      </c>
      <c r="AE294" s="78">
        <f t="shared" si="114"/>
        <v>0</v>
      </c>
      <c r="AF294" s="78">
        <f t="shared" ca="1" si="120"/>
        <v>0</v>
      </c>
      <c r="AG294" s="78">
        <f ca="1">IFERROR(IF(AC294=0,0, PPMT(Refi_I_Adj,'Loan Amort Table'!AC294,Refi_Amort_Periods,Refi_Orig_Loan_Amount)),0)</f>
        <v>0</v>
      </c>
      <c r="AH294" s="78">
        <f t="shared" ca="1" si="105"/>
        <v>0</v>
      </c>
      <c r="AI294" s="78">
        <f t="shared" ca="1" si="121"/>
        <v>0</v>
      </c>
    </row>
    <row r="295" spans="1:35" x14ac:dyDescent="0.25">
      <c r="A295">
        <f t="shared" si="101"/>
        <v>25</v>
      </c>
      <c r="B295">
        <f t="shared" si="106"/>
        <v>290</v>
      </c>
      <c r="C295" s="49">
        <f t="shared" si="100"/>
        <v>8798</v>
      </c>
      <c r="D295" s="78">
        <f>IF(C295&gt;EDATE(DATE(YEAR(SED_Origination_Date)+ SED_Amort, MONTH(SED_Origination_Date), DAY(SED_Origination_Date)),SED_Interest_Only),0,H294)</f>
        <v>0</v>
      </c>
      <c r="E295" s="78">
        <f t="shared" si="107"/>
        <v>0</v>
      </c>
      <c r="F295" s="78">
        <f>IFERROR(IF(OR(B295=0, C295&gt;=Refi_Origination_Date),0, PPMT(SED_I_Adj,'Loan Amort Table'!B295,SED_Amort_Periods,SED_Orig_Loan_Amount)),0)</f>
        <v>0</v>
      </c>
      <c r="G295" s="78" cm="1">
        <f t="array" ref="G295">IFERROR(_xlfn.IFS(C295&gt;=Refi_Origination_Date, 0, SED_Amort = 0, -D295 * SED_I_Adj, 1, IPMT(SED_I_Adj,IF(B295 = 0, 1, B295),SED_Amort_Periods,SED_Orig_Loan_Amount)),0)</f>
        <v>0</v>
      </c>
      <c r="H295" s="78">
        <f t="shared" si="122"/>
        <v>0</v>
      </c>
      <c r="J295">
        <f t="shared" si="102"/>
        <v>25</v>
      </c>
      <c r="K295">
        <f t="shared" si="108"/>
        <v>290</v>
      </c>
      <c r="L295" s="49">
        <f t="shared" si="115"/>
        <v>8798</v>
      </c>
      <c r="M295" s="78">
        <f>IF(L295&gt;EDATE(DATE(YEAR(NEW_Origination_Date)+ NEW_Amort, MONTH(NEW_Origination_Date), DAY(NEW_Origination_Date)),NEW_Interest_Only),0,Q294)</f>
        <v>0</v>
      </c>
      <c r="N295" s="78">
        <f t="shared" si="109"/>
        <v>0</v>
      </c>
      <c r="O295" s="78">
        <f>IFERROR(IF(K295=0,0, PPMT(NEW_I_Adj,'Loan Amort Table'!K295,NEW_Amort_Periods,NEW_Orig_Loan_Amount)),0)</f>
        <v>0</v>
      </c>
      <c r="P295" s="78">
        <f>IFERROR(IF(NEW_Amort = 0, -M295* NEW_I_Adj,IPMT(NEW_I_Adj,IF(K295 = 0, 1, K295),NEW_Amort_Periods,NEW_Orig_Loan_Amount)),0)</f>
        <v>0</v>
      </c>
      <c r="Q295" s="78">
        <f t="shared" si="110"/>
        <v>0</v>
      </c>
      <c r="S295">
        <f t="shared" si="103"/>
        <v>25</v>
      </c>
      <c r="T295">
        <f t="shared" si="111"/>
        <v>290</v>
      </c>
      <c r="U295" s="49">
        <f t="shared" si="116"/>
        <v>8798</v>
      </c>
      <c r="V295" s="78">
        <f t="shared" si="112"/>
        <v>0</v>
      </c>
      <c r="W295" s="78">
        <f t="shared" ca="1" si="117"/>
        <v>0</v>
      </c>
      <c r="X295" s="78">
        <f>IFERROR(IF(OR(T295=0, U295&gt;=Refi_Origination_Date),0, PPMT(Mezz_I_Adj,'Loan Amort Table'!T295,Mezz_Amort_Periods,Mezz_Orig_Loan_Amount)),0)</f>
        <v>0</v>
      </c>
      <c r="Y295" s="78" cm="1">
        <f t="array" aca="1" ref="Y295" ca="1">IFERROR(_xlfn.IFS(U295&gt;=Refi_Origination_Date,0, Mezz_Amort = 0, -V295 * Mezz_I_Adj, 1, IPMT(Mezz_I_Adj,IF(T295 = 0, 1, T295),Mezz_Amort_Periods,Mezz_Orig_Loan_Amount)),0)</f>
        <v>0</v>
      </c>
      <c r="Z295" s="78">
        <f t="shared" si="118"/>
        <v>0</v>
      </c>
      <c r="AB295">
        <f t="shared" si="104"/>
        <v>25</v>
      </c>
      <c r="AC295">
        <f t="shared" si="113"/>
        <v>290</v>
      </c>
      <c r="AD295" s="49">
        <f t="shared" si="119"/>
        <v>8798</v>
      </c>
      <c r="AE295" s="78">
        <f t="shared" si="114"/>
        <v>0</v>
      </c>
      <c r="AF295" s="78">
        <f t="shared" ca="1" si="120"/>
        <v>0</v>
      </c>
      <c r="AG295" s="78">
        <f ca="1">IFERROR(IF(AC295=0,0, PPMT(Refi_I_Adj,'Loan Amort Table'!AC295,Refi_Amort_Periods,Refi_Orig_Loan_Amount)),0)</f>
        <v>0</v>
      </c>
      <c r="AH295" s="78">
        <f t="shared" ca="1" si="105"/>
        <v>0</v>
      </c>
      <c r="AI295" s="78">
        <f t="shared" ca="1" si="121"/>
        <v>0</v>
      </c>
    </row>
    <row r="296" spans="1:35" x14ac:dyDescent="0.25">
      <c r="A296">
        <f t="shared" si="101"/>
        <v>25</v>
      </c>
      <c r="B296">
        <f t="shared" si="106"/>
        <v>291</v>
      </c>
      <c r="C296" s="49">
        <f t="shared" si="100"/>
        <v>8827</v>
      </c>
      <c r="D296" s="78">
        <f>IF(C296&gt;EDATE(DATE(YEAR(SED_Origination_Date)+ SED_Amort, MONTH(SED_Origination_Date), DAY(SED_Origination_Date)),SED_Interest_Only),0,H295)</f>
        <v>0</v>
      </c>
      <c r="E296" s="78">
        <f t="shared" si="107"/>
        <v>0</v>
      </c>
      <c r="F296" s="78">
        <f>IFERROR(IF(OR(B296=0, C296&gt;=Refi_Origination_Date),0, PPMT(SED_I_Adj,'Loan Amort Table'!B296,SED_Amort_Periods,SED_Orig_Loan_Amount)),0)</f>
        <v>0</v>
      </c>
      <c r="G296" s="78" cm="1">
        <f t="array" ref="G296">IFERROR(_xlfn.IFS(C296&gt;=Refi_Origination_Date, 0, SED_Amort = 0, -D296 * SED_I_Adj, 1, IPMT(SED_I_Adj,IF(B296 = 0, 1, B296),SED_Amort_Periods,SED_Orig_Loan_Amount)),0)</f>
        <v>0</v>
      </c>
      <c r="H296" s="78">
        <f t="shared" si="122"/>
        <v>0</v>
      </c>
      <c r="J296">
        <f t="shared" si="102"/>
        <v>25</v>
      </c>
      <c r="K296">
        <f t="shared" si="108"/>
        <v>291</v>
      </c>
      <c r="L296" s="49">
        <f t="shared" si="115"/>
        <v>8827</v>
      </c>
      <c r="M296" s="78">
        <f>IF(L296&gt;EDATE(DATE(YEAR(NEW_Origination_Date)+ NEW_Amort, MONTH(NEW_Origination_Date), DAY(NEW_Origination_Date)),NEW_Interest_Only),0,Q295)</f>
        <v>0</v>
      </c>
      <c r="N296" s="78">
        <f t="shared" si="109"/>
        <v>0</v>
      </c>
      <c r="O296" s="78">
        <f>IFERROR(IF(K296=0,0, PPMT(NEW_I_Adj,'Loan Amort Table'!K296,NEW_Amort_Periods,NEW_Orig_Loan_Amount)),0)</f>
        <v>0</v>
      </c>
      <c r="P296" s="78">
        <f>IFERROR(IF(NEW_Amort = 0, -M296* NEW_I_Adj,IPMT(NEW_I_Adj,IF(K296 = 0, 1, K296),NEW_Amort_Periods,NEW_Orig_Loan_Amount)),0)</f>
        <v>0</v>
      </c>
      <c r="Q296" s="78">
        <f t="shared" si="110"/>
        <v>0</v>
      </c>
      <c r="S296">
        <f t="shared" si="103"/>
        <v>25</v>
      </c>
      <c r="T296">
        <f t="shared" si="111"/>
        <v>291</v>
      </c>
      <c r="U296" s="49">
        <f t="shared" si="116"/>
        <v>8827</v>
      </c>
      <c r="V296" s="78">
        <f t="shared" si="112"/>
        <v>0</v>
      </c>
      <c r="W296" s="78">
        <f t="shared" ca="1" si="117"/>
        <v>0</v>
      </c>
      <c r="X296" s="78">
        <f>IFERROR(IF(OR(T296=0, U296&gt;=Refi_Origination_Date),0, PPMT(Mezz_I_Adj,'Loan Amort Table'!T296,Mezz_Amort_Periods,Mezz_Orig_Loan_Amount)),0)</f>
        <v>0</v>
      </c>
      <c r="Y296" s="78" cm="1">
        <f t="array" aca="1" ref="Y296" ca="1">IFERROR(_xlfn.IFS(U296&gt;=Refi_Origination_Date,0, Mezz_Amort = 0, -V296 * Mezz_I_Adj, 1, IPMT(Mezz_I_Adj,IF(T296 = 0, 1, T296),Mezz_Amort_Periods,Mezz_Orig_Loan_Amount)),0)</f>
        <v>0</v>
      </c>
      <c r="Z296" s="78">
        <f t="shared" si="118"/>
        <v>0</v>
      </c>
      <c r="AB296">
        <f t="shared" si="104"/>
        <v>25</v>
      </c>
      <c r="AC296">
        <f t="shared" si="113"/>
        <v>291</v>
      </c>
      <c r="AD296" s="49">
        <f t="shared" si="119"/>
        <v>8827</v>
      </c>
      <c r="AE296" s="78">
        <f t="shared" si="114"/>
        <v>0</v>
      </c>
      <c r="AF296" s="78">
        <f t="shared" ca="1" si="120"/>
        <v>0</v>
      </c>
      <c r="AG296" s="78">
        <f ca="1">IFERROR(IF(AC296=0,0, PPMT(Refi_I_Adj,'Loan Amort Table'!AC296,Refi_Amort_Periods,Refi_Orig_Loan_Amount)),0)</f>
        <v>0</v>
      </c>
      <c r="AH296" s="78">
        <f t="shared" ca="1" si="105"/>
        <v>0</v>
      </c>
      <c r="AI296" s="78">
        <f t="shared" ca="1" si="121"/>
        <v>0</v>
      </c>
    </row>
    <row r="297" spans="1:35" x14ac:dyDescent="0.25">
      <c r="A297">
        <f t="shared" si="101"/>
        <v>25</v>
      </c>
      <c r="B297">
        <f t="shared" si="106"/>
        <v>292</v>
      </c>
      <c r="C297" s="49">
        <f t="shared" si="100"/>
        <v>8858</v>
      </c>
      <c r="D297" s="78">
        <f>IF(C297&gt;EDATE(DATE(YEAR(SED_Origination_Date)+ SED_Amort, MONTH(SED_Origination_Date), DAY(SED_Origination_Date)),SED_Interest_Only),0,H296)</f>
        <v>0</v>
      </c>
      <c r="E297" s="78">
        <f t="shared" si="107"/>
        <v>0</v>
      </c>
      <c r="F297" s="78">
        <f>IFERROR(IF(OR(B297=0, C297&gt;=Refi_Origination_Date),0, PPMT(SED_I_Adj,'Loan Amort Table'!B297,SED_Amort_Periods,SED_Orig_Loan_Amount)),0)</f>
        <v>0</v>
      </c>
      <c r="G297" s="78" cm="1">
        <f t="array" ref="G297">IFERROR(_xlfn.IFS(C297&gt;=Refi_Origination_Date, 0, SED_Amort = 0, -D297 * SED_I_Adj, 1, IPMT(SED_I_Adj,IF(B297 = 0, 1, B297),SED_Amort_Periods,SED_Orig_Loan_Amount)),0)</f>
        <v>0</v>
      </c>
      <c r="H297" s="78">
        <f t="shared" si="122"/>
        <v>0</v>
      </c>
      <c r="J297">
        <f t="shared" si="102"/>
        <v>25</v>
      </c>
      <c r="K297">
        <f t="shared" si="108"/>
        <v>292</v>
      </c>
      <c r="L297" s="49">
        <f t="shared" si="115"/>
        <v>8858</v>
      </c>
      <c r="M297" s="78">
        <f>IF(L297&gt;EDATE(DATE(YEAR(NEW_Origination_Date)+ NEW_Amort, MONTH(NEW_Origination_Date), DAY(NEW_Origination_Date)),NEW_Interest_Only),0,Q296)</f>
        <v>0</v>
      </c>
      <c r="N297" s="78">
        <f t="shared" si="109"/>
        <v>0</v>
      </c>
      <c r="O297" s="78">
        <f>IFERROR(IF(K297=0,0, PPMT(NEW_I_Adj,'Loan Amort Table'!K297,NEW_Amort_Periods,NEW_Orig_Loan_Amount)),0)</f>
        <v>0</v>
      </c>
      <c r="P297" s="78">
        <f>IFERROR(IF(NEW_Amort = 0, -M297* NEW_I_Adj,IPMT(NEW_I_Adj,IF(K297 = 0, 1, K297),NEW_Amort_Periods,NEW_Orig_Loan_Amount)),0)</f>
        <v>0</v>
      </c>
      <c r="Q297" s="78">
        <f t="shared" si="110"/>
        <v>0</v>
      </c>
      <c r="S297">
        <f t="shared" si="103"/>
        <v>25</v>
      </c>
      <c r="T297">
        <f t="shared" si="111"/>
        <v>292</v>
      </c>
      <c r="U297" s="49">
        <f t="shared" si="116"/>
        <v>8858</v>
      </c>
      <c r="V297" s="78">
        <f t="shared" si="112"/>
        <v>0</v>
      </c>
      <c r="W297" s="78">
        <f t="shared" ca="1" si="117"/>
        <v>0</v>
      </c>
      <c r="X297" s="78">
        <f>IFERROR(IF(OR(T297=0, U297&gt;=Refi_Origination_Date),0, PPMT(Mezz_I_Adj,'Loan Amort Table'!T297,Mezz_Amort_Periods,Mezz_Orig_Loan_Amount)),0)</f>
        <v>0</v>
      </c>
      <c r="Y297" s="78" cm="1">
        <f t="array" aca="1" ref="Y297" ca="1">IFERROR(_xlfn.IFS(U297&gt;=Refi_Origination_Date,0, Mezz_Amort = 0, -V297 * Mezz_I_Adj, 1, IPMT(Mezz_I_Adj,IF(T297 = 0, 1, T297),Mezz_Amort_Periods,Mezz_Orig_Loan_Amount)),0)</f>
        <v>0</v>
      </c>
      <c r="Z297" s="78">
        <f t="shared" si="118"/>
        <v>0</v>
      </c>
      <c r="AB297">
        <f t="shared" si="104"/>
        <v>25</v>
      </c>
      <c r="AC297">
        <f t="shared" si="113"/>
        <v>292</v>
      </c>
      <c r="AD297" s="49">
        <f t="shared" si="119"/>
        <v>8858</v>
      </c>
      <c r="AE297" s="78">
        <f t="shared" si="114"/>
        <v>0</v>
      </c>
      <c r="AF297" s="78">
        <f t="shared" ca="1" si="120"/>
        <v>0</v>
      </c>
      <c r="AG297" s="78">
        <f ca="1">IFERROR(IF(AC297=0,0, PPMT(Refi_I_Adj,'Loan Amort Table'!AC297,Refi_Amort_Periods,Refi_Orig_Loan_Amount)),0)</f>
        <v>0</v>
      </c>
      <c r="AH297" s="78">
        <f t="shared" ca="1" si="105"/>
        <v>0</v>
      </c>
      <c r="AI297" s="78">
        <f t="shared" ca="1" si="121"/>
        <v>0</v>
      </c>
    </row>
    <row r="298" spans="1:35" x14ac:dyDescent="0.25">
      <c r="A298">
        <f t="shared" si="101"/>
        <v>25</v>
      </c>
      <c r="B298">
        <f t="shared" si="106"/>
        <v>293</v>
      </c>
      <c r="C298" s="49">
        <f t="shared" si="100"/>
        <v>8888</v>
      </c>
      <c r="D298" s="78">
        <f>IF(C298&gt;EDATE(DATE(YEAR(SED_Origination_Date)+ SED_Amort, MONTH(SED_Origination_Date), DAY(SED_Origination_Date)),SED_Interest_Only),0,H297)</f>
        <v>0</v>
      </c>
      <c r="E298" s="78">
        <f t="shared" si="107"/>
        <v>0</v>
      </c>
      <c r="F298" s="78">
        <f>IFERROR(IF(OR(B298=0, C298&gt;=Refi_Origination_Date),0, PPMT(SED_I_Adj,'Loan Amort Table'!B298,SED_Amort_Periods,SED_Orig_Loan_Amount)),0)</f>
        <v>0</v>
      </c>
      <c r="G298" s="78" cm="1">
        <f t="array" ref="G298">IFERROR(_xlfn.IFS(C298&gt;=Refi_Origination_Date, 0, SED_Amort = 0, -D298 * SED_I_Adj, 1, IPMT(SED_I_Adj,IF(B298 = 0, 1, B298),SED_Amort_Periods,SED_Orig_Loan_Amount)),0)</f>
        <v>0</v>
      </c>
      <c r="H298" s="78">
        <f t="shared" si="122"/>
        <v>0</v>
      </c>
      <c r="J298">
        <f t="shared" si="102"/>
        <v>25</v>
      </c>
      <c r="K298">
        <f t="shared" si="108"/>
        <v>293</v>
      </c>
      <c r="L298" s="49">
        <f t="shared" si="115"/>
        <v>8888</v>
      </c>
      <c r="M298" s="78">
        <f>IF(L298&gt;EDATE(DATE(YEAR(NEW_Origination_Date)+ NEW_Amort, MONTH(NEW_Origination_Date), DAY(NEW_Origination_Date)),NEW_Interest_Only),0,Q297)</f>
        <v>0</v>
      </c>
      <c r="N298" s="78">
        <f t="shared" si="109"/>
        <v>0</v>
      </c>
      <c r="O298" s="78">
        <f>IFERROR(IF(K298=0,0, PPMT(NEW_I_Adj,'Loan Amort Table'!K298,NEW_Amort_Periods,NEW_Orig_Loan_Amount)),0)</f>
        <v>0</v>
      </c>
      <c r="P298" s="78">
        <f>IFERROR(IF(NEW_Amort = 0, -M298* NEW_I_Adj,IPMT(NEW_I_Adj,IF(K298 = 0, 1, K298),NEW_Amort_Periods,NEW_Orig_Loan_Amount)),0)</f>
        <v>0</v>
      </c>
      <c r="Q298" s="78">
        <f t="shared" si="110"/>
        <v>0</v>
      </c>
      <c r="S298">
        <f t="shared" si="103"/>
        <v>25</v>
      </c>
      <c r="T298">
        <f t="shared" si="111"/>
        <v>293</v>
      </c>
      <c r="U298" s="49">
        <f t="shared" si="116"/>
        <v>8888</v>
      </c>
      <c r="V298" s="78">
        <f t="shared" si="112"/>
        <v>0</v>
      </c>
      <c r="W298" s="78">
        <f t="shared" ca="1" si="117"/>
        <v>0</v>
      </c>
      <c r="X298" s="78">
        <f>IFERROR(IF(OR(T298=0, U298&gt;=Refi_Origination_Date),0, PPMT(Mezz_I_Adj,'Loan Amort Table'!T298,Mezz_Amort_Periods,Mezz_Orig_Loan_Amount)),0)</f>
        <v>0</v>
      </c>
      <c r="Y298" s="78" cm="1">
        <f t="array" aca="1" ref="Y298" ca="1">IFERROR(_xlfn.IFS(U298&gt;=Refi_Origination_Date,0, Mezz_Amort = 0, -V298 * Mezz_I_Adj, 1, IPMT(Mezz_I_Adj,IF(T298 = 0, 1, T298),Mezz_Amort_Periods,Mezz_Orig_Loan_Amount)),0)</f>
        <v>0</v>
      </c>
      <c r="Z298" s="78">
        <f t="shared" si="118"/>
        <v>0</v>
      </c>
      <c r="AB298">
        <f t="shared" si="104"/>
        <v>25</v>
      </c>
      <c r="AC298">
        <f t="shared" si="113"/>
        <v>293</v>
      </c>
      <c r="AD298" s="49">
        <f t="shared" si="119"/>
        <v>8888</v>
      </c>
      <c r="AE298" s="78">
        <f t="shared" si="114"/>
        <v>0</v>
      </c>
      <c r="AF298" s="78">
        <f t="shared" ca="1" si="120"/>
        <v>0</v>
      </c>
      <c r="AG298" s="78">
        <f ca="1">IFERROR(IF(AC298=0,0, PPMT(Refi_I_Adj,'Loan Amort Table'!AC298,Refi_Amort_Periods,Refi_Orig_Loan_Amount)),0)</f>
        <v>0</v>
      </c>
      <c r="AH298" s="78">
        <f t="shared" ca="1" si="105"/>
        <v>0</v>
      </c>
      <c r="AI298" s="78">
        <f t="shared" ca="1" si="121"/>
        <v>0</v>
      </c>
    </row>
    <row r="299" spans="1:35" x14ac:dyDescent="0.25">
      <c r="A299">
        <f t="shared" si="101"/>
        <v>25</v>
      </c>
      <c r="B299">
        <f t="shared" si="106"/>
        <v>294</v>
      </c>
      <c r="C299" s="49">
        <f t="shared" si="100"/>
        <v>8919</v>
      </c>
      <c r="D299" s="78">
        <f>IF(C299&gt;EDATE(DATE(YEAR(SED_Origination_Date)+ SED_Amort, MONTH(SED_Origination_Date), DAY(SED_Origination_Date)),SED_Interest_Only),0,H298)</f>
        <v>0</v>
      </c>
      <c r="E299" s="78">
        <f t="shared" si="107"/>
        <v>0</v>
      </c>
      <c r="F299" s="78">
        <f>IFERROR(IF(OR(B299=0, C299&gt;=Refi_Origination_Date),0, PPMT(SED_I_Adj,'Loan Amort Table'!B299,SED_Amort_Periods,SED_Orig_Loan_Amount)),0)</f>
        <v>0</v>
      </c>
      <c r="G299" s="78" cm="1">
        <f t="array" ref="G299">IFERROR(_xlfn.IFS(C299&gt;=Refi_Origination_Date, 0, SED_Amort = 0, -D299 * SED_I_Adj, 1, IPMT(SED_I_Adj,IF(B299 = 0, 1, B299),SED_Amort_Periods,SED_Orig_Loan_Amount)),0)</f>
        <v>0</v>
      </c>
      <c r="H299" s="78">
        <f t="shared" si="122"/>
        <v>0</v>
      </c>
      <c r="J299">
        <f t="shared" si="102"/>
        <v>25</v>
      </c>
      <c r="K299">
        <f t="shared" si="108"/>
        <v>294</v>
      </c>
      <c r="L299" s="49">
        <f t="shared" si="115"/>
        <v>8919</v>
      </c>
      <c r="M299" s="78">
        <f>IF(L299&gt;EDATE(DATE(YEAR(NEW_Origination_Date)+ NEW_Amort, MONTH(NEW_Origination_Date), DAY(NEW_Origination_Date)),NEW_Interest_Only),0,Q298)</f>
        <v>0</v>
      </c>
      <c r="N299" s="78">
        <f t="shared" si="109"/>
        <v>0</v>
      </c>
      <c r="O299" s="78">
        <f>IFERROR(IF(K299=0,0, PPMT(NEW_I_Adj,'Loan Amort Table'!K299,NEW_Amort_Periods,NEW_Orig_Loan_Amount)),0)</f>
        <v>0</v>
      </c>
      <c r="P299" s="78">
        <f>IFERROR(IF(NEW_Amort = 0, -M299* NEW_I_Adj,IPMT(NEW_I_Adj,IF(K299 = 0, 1, K299),NEW_Amort_Periods,NEW_Orig_Loan_Amount)),0)</f>
        <v>0</v>
      </c>
      <c r="Q299" s="78">
        <f t="shared" si="110"/>
        <v>0</v>
      </c>
      <c r="S299">
        <f t="shared" si="103"/>
        <v>25</v>
      </c>
      <c r="T299">
        <f t="shared" si="111"/>
        <v>294</v>
      </c>
      <c r="U299" s="49">
        <f t="shared" si="116"/>
        <v>8919</v>
      </c>
      <c r="V299" s="78">
        <f t="shared" si="112"/>
        <v>0</v>
      </c>
      <c r="W299" s="78">
        <f t="shared" ca="1" si="117"/>
        <v>0</v>
      </c>
      <c r="X299" s="78">
        <f>IFERROR(IF(OR(T299=0, U299&gt;=Refi_Origination_Date),0, PPMT(Mezz_I_Adj,'Loan Amort Table'!T299,Mezz_Amort_Periods,Mezz_Orig_Loan_Amount)),0)</f>
        <v>0</v>
      </c>
      <c r="Y299" s="78" cm="1">
        <f t="array" aca="1" ref="Y299" ca="1">IFERROR(_xlfn.IFS(U299&gt;=Refi_Origination_Date,0, Mezz_Amort = 0, -V299 * Mezz_I_Adj, 1, IPMT(Mezz_I_Adj,IF(T299 = 0, 1, T299),Mezz_Amort_Periods,Mezz_Orig_Loan_Amount)),0)</f>
        <v>0</v>
      </c>
      <c r="Z299" s="78">
        <f t="shared" si="118"/>
        <v>0</v>
      </c>
      <c r="AB299">
        <f t="shared" si="104"/>
        <v>25</v>
      </c>
      <c r="AC299">
        <f t="shared" si="113"/>
        <v>294</v>
      </c>
      <c r="AD299" s="49">
        <f t="shared" si="119"/>
        <v>8919</v>
      </c>
      <c r="AE299" s="78">
        <f t="shared" si="114"/>
        <v>0</v>
      </c>
      <c r="AF299" s="78">
        <f t="shared" ca="1" si="120"/>
        <v>0</v>
      </c>
      <c r="AG299" s="78">
        <f ca="1">IFERROR(IF(AC299=0,0, PPMT(Refi_I_Adj,'Loan Amort Table'!AC299,Refi_Amort_Periods,Refi_Orig_Loan_Amount)),0)</f>
        <v>0</v>
      </c>
      <c r="AH299" s="78">
        <f t="shared" ca="1" si="105"/>
        <v>0</v>
      </c>
      <c r="AI299" s="78">
        <f t="shared" ca="1" si="121"/>
        <v>0</v>
      </c>
    </row>
    <row r="300" spans="1:35" x14ac:dyDescent="0.25">
      <c r="A300">
        <f t="shared" si="101"/>
        <v>25</v>
      </c>
      <c r="B300">
        <f t="shared" si="106"/>
        <v>295</v>
      </c>
      <c r="C300" s="49">
        <f t="shared" si="100"/>
        <v>8949</v>
      </c>
      <c r="D300" s="78">
        <f>IF(C300&gt;EDATE(DATE(YEAR(SED_Origination_Date)+ SED_Amort, MONTH(SED_Origination_Date), DAY(SED_Origination_Date)),SED_Interest_Only),0,H299)</f>
        <v>0</v>
      </c>
      <c r="E300" s="78">
        <f t="shared" si="107"/>
        <v>0</v>
      </c>
      <c r="F300" s="78">
        <f>IFERROR(IF(OR(B300=0, C300&gt;=Refi_Origination_Date),0, PPMT(SED_I_Adj,'Loan Amort Table'!B300,SED_Amort_Periods,SED_Orig_Loan_Amount)),0)</f>
        <v>0</v>
      </c>
      <c r="G300" s="78" cm="1">
        <f t="array" ref="G300">IFERROR(_xlfn.IFS(C300&gt;=Refi_Origination_Date, 0, SED_Amort = 0, -D300 * SED_I_Adj, 1, IPMT(SED_I_Adj,IF(B300 = 0, 1, B300),SED_Amort_Periods,SED_Orig_Loan_Amount)),0)</f>
        <v>0</v>
      </c>
      <c r="H300" s="78">
        <f t="shared" si="122"/>
        <v>0</v>
      </c>
      <c r="J300">
        <f t="shared" si="102"/>
        <v>25</v>
      </c>
      <c r="K300">
        <f t="shared" si="108"/>
        <v>295</v>
      </c>
      <c r="L300" s="49">
        <f t="shared" si="115"/>
        <v>8949</v>
      </c>
      <c r="M300" s="78">
        <f>IF(L300&gt;EDATE(DATE(YEAR(NEW_Origination_Date)+ NEW_Amort, MONTH(NEW_Origination_Date), DAY(NEW_Origination_Date)),NEW_Interest_Only),0,Q299)</f>
        <v>0</v>
      </c>
      <c r="N300" s="78">
        <f t="shared" si="109"/>
        <v>0</v>
      </c>
      <c r="O300" s="78">
        <f>IFERROR(IF(K300=0,0, PPMT(NEW_I_Adj,'Loan Amort Table'!K300,NEW_Amort_Periods,NEW_Orig_Loan_Amount)),0)</f>
        <v>0</v>
      </c>
      <c r="P300" s="78">
        <f>IFERROR(IF(NEW_Amort = 0, -M300* NEW_I_Adj,IPMT(NEW_I_Adj,IF(K300 = 0, 1, K300),NEW_Amort_Periods,NEW_Orig_Loan_Amount)),0)</f>
        <v>0</v>
      </c>
      <c r="Q300" s="78">
        <f t="shared" si="110"/>
        <v>0</v>
      </c>
      <c r="S300">
        <f t="shared" si="103"/>
        <v>25</v>
      </c>
      <c r="T300">
        <f t="shared" si="111"/>
        <v>295</v>
      </c>
      <c r="U300" s="49">
        <f t="shared" si="116"/>
        <v>8949</v>
      </c>
      <c r="V300" s="78">
        <f t="shared" si="112"/>
        <v>0</v>
      </c>
      <c r="W300" s="78">
        <f t="shared" ca="1" si="117"/>
        <v>0</v>
      </c>
      <c r="X300" s="78">
        <f>IFERROR(IF(OR(T300=0, U300&gt;=Refi_Origination_Date),0, PPMT(Mezz_I_Adj,'Loan Amort Table'!T300,Mezz_Amort_Periods,Mezz_Orig_Loan_Amount)),0)</f>
        <v>0</v>
      </c>
      <c r="Y300" s="78" cm="1">
        <f t="array" aca="1" ref="Y300" ca="1">IFERROR(_xlfn.IFS(U300&gt;=Refi_Origination_Date,0, Mezz_Amort = 0, -V300 * Mezz_I_Adj, 1, IPMT(Mezz_I_Adj,IF(T300 = 0, 1, T300),Mezz_Amort_Periods,Mezz_Orig_Loan_Amount)),0)</f>
        <v>0</v>
      </c>
      <c r="Z300" s="78">
        <f t="shared" si="118"/>
        <v>0</v>
      </c>
      <c r="AB300">
        <f t="shared" si="104"/>
        <v>25</v>
      </c>
      <c r="AC300">
        <f t="shared" si="113"/>
        <v>295</v>
      </c>
      <c r="AD300" s="49">
        <f t="shared" si="119"/>
        <v>8949</v>
      </c>
      <c r="AE300" s="78">
        <f t="shared" si="114"/>
        <v>0</v>
      </c>
      <c r="AF300" s="78">
        <f t="shared" ca="1" si="120"/>
        <v>0</v>
      </c>
      <c r="AG300" s="78">
        <f ca="1">IFERROR(IF(AC300=0,0, PPMT(Refi_I_Adj,'Loan Amort Table'!AC300,Refi_Amort_Periods,Refi_Orig_Loan_Amount)),0)</f>
        <v>0</v>
      </c>
      <c r="AH300" s="78">
        <f t="shared" ca="1" si="105"/>
        <v>0</v>
      </c>
      <c r="AI300" s="78">
        <f t="shared" ca="1" si="121"/>
        <v>0</v>
      </c>
    </row>
    <row r="301" spans="1:35" x14ac:dyDescent="0.25">
      <c r="A301">
        <f t="shared" si="101"/>
        <v>25</v>
      </c>
      <c r="B301">
        <f t="shared" si="106"/>
        <v>296</v>
      </c>
      <c r="C301" s="49">
        <f t="shared" si="100"/>
        <v>8980</v>
      </c>
      <c r="D301" s="78">
        <f>IF(C301&gt;EDATE(DATE(YEAR(SED_Origination_Date)+ SED_Amort, MONTH(SED_Origination_Date), DAY(SED_Origination_Date)),SED_Interest_Only),0,H300)</f>
        <v>0</v>
      </c>
      <c r="E301" s="78">
        <f t="shared" si="107"/>
        <v>0</v>
      </c>
      <c r="F301" s="78">
        <f>IFERROR(IF(OR(B301=0, C301&gt;=Refi_Origination_Date),0, PPMT(SED_I_Adj,'Loan Amort Table'!B301,SED_Amort_Periods,SED_Orig_Loan_Amount)),0)</f>
        <v>0</v>
      </c>
      <c r="G301" s="78" cm="1">
        <f t="array" ref="G301">IFERROR(_xlfn.IFS(C301&gt;=Refi_Origination_Date, 0, SED_Amort = 0, -D301 * SED_I_Adj, 1, IPMT(SED_I_Adj,IF(B301 = 0, 1, B301),SED_Amort_Periods,SED_Orig_Loan_Amount)),0)</f>
        <v>0</v>
      </c>
      <c r="H301" s="78">
        <f t="shared" si="122"/>
        <v>0</v>
      </c>
      <c r="J301">
        <f t="shared" si="102"/>
        <v>25</v>
      </c>
      <c r="K301">
        <f t="shared" si="108"/>
        <v>296</v>
      </c>
      <c r="L301" s="49">
        <f t="shared" si="115"/>
        <v>8980</v>
      </c>
      <c r="M301" s="78">
        <f>IF(L301&gt;EDATE(DATE(YEAR(NEW_Origination_Date)+ NEW_Amort, MONTH(NEW_Origination_Date), DAY(NEW_Origination_Date)),NEW_Interest_Only),0,Q300)</f>
        <v>0</v>
      </c>
      <c r="N301" s="78">
        <f t="shared" si="109"/>
        <v>0</v>
      </c>
      <c r="O301" s="78">
        <f>IFERROR(IF(K301=0,0, PPMT(NEW_I_Adj,'Loan Amort Table'!K301,NEW_Amort_Periods,NEW_Orig_Loan_Amount)),0)</f>
        <v>0</v>
      </c>
      <c r="P301" s="78">
        <f>IFERROR(IF(NEW_Amort = 0, -M301* NEW_I_Adj,IPMT(NEW_I_Adj,IF(K301 = 0, 1, K301),NEW_Amort_Periods,NEW_Orig_Loan_Amount)),0)</f>
        <v>0</v>
      </c>
      <c r="Q301" s="78">
        <f t="shared" si="110"/>
        <v>0</v>
      </c>
      <c r="S301">
        <f t="shared" si="103"/>
        <v>25</v>
      </c>
      <c r="T301">
        <f t="shared" si="111"/>
        <v>296</v>
      </c>
      <c r="U301" s="49">
        <f t="shared" si="116"/>
        <v>8980</v>
      </c>
      <c r="V301" s="78">
        <f t="shared" si="112"/>
        <v>0</v>
      </c>
      <c r="W301" s="78">
        <f t="shared" ca="1" si="117"/>
        <v>0</v>
      </c>
      <c r="X301" s="78">
        <f>IFERROR(IF(OR(T301=0, U301&gt;=Refi_Origination_Date),0, PPMT(Mezz_I_Adj,'Loan Amort Table'!T301,Mezz_Amort_Periods,Mezz_Orig_Loan_Amount)),0)</f>
        <v>0</v>
      </c>
      <c r="Y301" s="78" cm="1">
        <f t="array" aca="1" ref="Y301" ca="1">IFERROR(_xlfn.IFS(U301&gt;=Refi_Origination_Date,0, Mezz_Amort = 0, -V301 * Mezz_I_Adj, 1, IPMT(Mezz_I_Adj,IF(T301 = 0, 1, T301),Mezz_Amort_Periods,Mezz_Orig_Loan_Amount)),0)</f>
        <v>0</v>
      </c>
      <c r="Z301" s="78">
        <f t="shared" si="118"/>
        <v>0</v>
      </c>
      <c r="AB301">
        <f t="shared" si="104"/>
        <v>25</v>
      </c>
      <c r="AC301">
        <f t="shared" si="113"/>
        <v>296</v>
      </c>
      <c r="AD301" s="49">
        <f t="shared" si="119"/>
        <v>8980</v>
      </c>
      <c r="AE301" s="78">
        <f t="shared" si="114"/>
        <v>0</v>
      </c>
      <c r="AF301" s="78">
        <f t="shared" ca="1" si="120"/>
        <v>0</v>
      </c>
      <c r="AG301" s="78">
        <f ca="1">IFERROR(IF(AC301=0,0, PPMT(Refi_I_Adj,'Loan Amort Table'!AC301,Refi_Amort_Periods,Refi_Orig_Loan_Amount)),0)</f>
        <v>0</v>
      </c>
      <c r="AH301" s="78">
        <f t="shared" ca="1" si="105"/>
        <v>0</v>
      </c>
      <c r="AI301" s="78">
        <f t="shared" ca="1" si="121"/>
        <v>0</v>
      </c>
    </row>
    <row r="302" spans="1:35" x14ac:dyDescent="0.25">
      <c r="A302">
        <f t="shared" si="101"/>
        <v>25</v>
      </c>
      <c r="B302">
        <f t="shared" si="106"/>
        <v>297</v>
      </c>
      <c r="C302" s="49">
        <f t="shared" si="100"/>
        <v>9011</v>
      </c>
      <c r="D302" s="78">
        <f>IF(C302&gt;EDATE(DATE(YEAR(SED_Origination_Date)+ SED_Amort, MONTH(SED_Origination_Date), DAY(SED_Origination_Date)),SED_Interest_Only),0,H301)</f>
        <v>0</v>
      </c>
      <c r="E302" s="78">
        <f t="shared" si="107"/>
        <v>0</v>
      </c>
      <c r="F302" s="78">
        <f>IFERROR(IF(OR(B302=0, C302&gt;=Refi_Origination_Date),0, PPMT(SED_I_Adj,'Loan Amort Table'!B302,SED_Amort_Periods,SED_Orig_Loan_Amount)),0)</f>
        <v>0</v>
      </c>
      <c r="G302" s="78" cm="1">
        <f t="array" ref="G302">IFERROR(_xlfn.IFS(C302&gt;=Refi_Origination_Date, 0, SED_Amort = 0, -D302 * SED_I_Adj, 1, IPMT(SED_I_Adj,IF(B302 = 0, 1, B302),SED_Amort_Periods,SED_Orig_Loan_Amount)),0)</f>
        <v>0</v>
      </c>
      <c r="H302" s="78">
        <f t="shared" si="122"/>
        <v>0</v>
      </c>
      <c r="J302">
        <f t="shared" si="102"/>
        <v>25</v>
      </c>
      <c r="K302">
        <f t="shared" si="108"/>
        <v>297</v>
      </c>
      <c r="L302" s="49">
        <f t="shared" si="115"/>
        <v>9011</v>
      </c>
      <c r="M302" s="78">
        <f>IF(L302&gt;EDATE(DATE(YEAR(NEW_Origination_Date)+ NEW_Amort, MONTH(NEW_Origination_Date), DAY(NEW_Origination_Date)),NEW_Interest_Only),0,Q301)</f>
        <v>0</v>
      </c>
      <c r="N302" s="78">
        <f t="shared" si="109"/>
        <v>0</v>
      </c>
      <c r="O302" s="78">
        <f>IFERROR(IF(K302=0,0, PPMT(NEW_I_Adj,'Loan Amort Table'!K302,NEW_Amort_Periods,NEW_Orig_Loan_Amount)),0)</f>
        <v>0</v>
      </c>
      <c r="P302" s="78">
        <f>IFERROR(IF(NEW_Amort = 0, -M302* NEW_I_Adj,IPMT(NEW_I_Adj,IF(K302 = 0, 1, K302),NEW_Amort_Periods,NEW_Orig_Loan_Amount)),0)</f>
        <v>0</v>
      </c>
      <c r="Q302" s="78">
        <f t="shared" si="110"/>
        <v>0</v>
      </c>
      <c r="S302">
        <f t="shared" si="103"/>
        <v>25</v>
      </c>
      <c r="T302">
        <f t="shared" si="111"/>
        <v>297</v>
      </c>
      <c r="U302" s="49">
        <f t="shared" si="116"/>
        <v>9011</v>
      </c>
      <c r="V302" s="78">
        <f t="shared" si="112"/>
        <v>0</v>
      </c>
      <c r="W302" s="78">
        <f t="shared" ca="1" si="117"/>
        <v>0</v>
      </c>
      <c r="X302" s="78">
        <f>IFERROR(IF(OR(T302=0, U302&gt;=Refi_Origination_Date),0, PPMT(Mezz_I_Adj,'Loan Amort Table'!T302,Mezz_Amort_Periods,Mezz_Orig_Loan_Amount)),0)</f>
        <v>0</v>
      </c>
      <c r="Y302" s="78" cm="1">
        <f t="array" aca="1" ref="Y302" ca="1">IFERROR(_xlfn.IFS(U302&gt;=Refi_Origination_Date,0, Mezz_Amort = 0, -V302 * Mezz_I_Adj, 1, IPMT(Mezz_I_Adj,IF(T302 = 0, 1, T302),Mezz_Amort_Periods,Mezz_Orig_Loan_Amount)),0)</f>
        <v>0</v>
      </c>
      <c r="Z302" s="78">
        <f t="shared" si="118"/>
        <v>0</v>
      </c>
      <c r="AB302">
        <f t="shared" si="104"/>
        <v>25</v>
      </c>
      <c r="AC302">
        <f t="shared" si="113"/>
        <v>297</v>
      </c>
      <c r="AD302" s="49">
        <f t="shared" si="119"/>
        <v>9011</v>
      </c>
      <c r="AE302" s="78">
        <f t="shared" si="114"/>
        <v>0</v>
      </c>
      <c r="AF302" s="78">
        <f t="shared" ca="1" si="120"/>
        <v>0</v>
      </c>
      <c r="AG302" s="78">
        <f ca="1">IFERROR(IF(AC302=0,0, PPMT(Refi_I_Adj,'Loan Amort Table'!AC302,Refi_Amort_Periods,Refi_Orig_Loan_Amount)),0)</f>
        <v>0</v>
      </c>
      <c r="AH302" s="78">
        <f t="shared" ca="1" si="105"/>
        <v>0</v>
      </c>
      <c r="AI302" s="78">
        <f t="shared" ca="1" si="121"/>
        <v>0</v>
      </c>
    </row>
    <row r="303" spans="1:35" x14ac:dyDescent="0.25">
      <c r="A303">
        <f t="shared" si="101"/>
        <v>25</v>
      </c>
      <c r="B303">
        <f t="shared" si="106"/>
        <v>298</v>
      </c>
      <c r="C303" s="49">
        <f t="shared" si="100"/>
        <v>9041</v>
      </c>
      <c r="D303" s="78">
        <f>IF(C303&gt;EDATE(DATE(YEAR(SED_Origination_Date)+ SED_Amort, MONTH(SED_Origination_Date), DAY(SED_Origination_Date)),SED_Interest_Only),0,H302)</f>
        <v>0</v>
      </c>
      <c r="E303" s="78">
        <f t="shared" si="107"/>
        <v>0</v>
      </c>
      <c r="F303" s="78">
        <f>IFERROR(IF(OR(B303=0, C303&gt;=Refi_Origination_Date),0, PPMT(SED_I_Adj,'Loan Amort Table'!B303,SED_Amort_Periods,SED_Orig_Loan_Amount)),0)</f>
        <v>0</v>
      </c>
      <c r="G303" s="78" cm="1">
        <f t="array" ref="G303">IFERROR(_xlfn.IFS(C303&gt;=Refi_Origination_Date, 0, SED_Amort = 0, -D303 * SED_I_Adj, 1, IPMT(SED_I_Adj,IF(B303 = 0, 1, B303),SED_Amort_Periods,SED_Orig_Loan_Amount)),0)</f>
        <v>0</v>
      </c>
      <c r="H303" s="78">
        <f t="shared" si="122"/>
        <v>0</v>
      </c>
      <c r="J303">
        <f t="shared" si="102"/>
        <v>25</v>
      </c>
      <c r="K303">
        <f t="shared" si="108"/>
        <v>298</v>
      </c>
      <c r="L303" s="49">
        <f t="shared" si="115"/>
        <v>9041</v>
      </c>
      <c r="M303" s="78">
        <f>IF(L303&gt;EDATE(DATE(YEAR(NEW_Origination_Date)+ NEW_Amort, MONTH(NEW_Origination_Date), DAY(NEW_Origination_Date)),NEW_Interest_Only),0,Q302)</f>
        <v>0</v>
      </c>
      <c r="N303" s="78">
        <f t="shared" si="109"/>
        <v>0</v>
      </c>
      <c r="O303" s="78">
        <f>IFERROR(IF(K303=0,0, PPMT(NEW_I_Adj,'Loan Amort Table'!K303,NEW_Amort_Periods,NEW_Orig_Loan_Amount)),0)</f>
        <v>0</v>
      </c>
      <c r="P303" s="78">
        <f>IFERROR(IF(NEW_Amort = 0, -M303* NEW_I_Adj,IPMT(NEW_I_Adj,IF(K303 = 0, 1, K303),NEW_Amort_Periods,NEW_Orig_Loan_Amount)),0)</f>
        <v>0</v>
      </c>
      <c r="Q303" s="78">
        <f t="shared" si="110"/>
        <v>0</v>
      </c>
      <c r="S303">
        <f t="shared" si="103"/>
        <v>25</v>
      </c>
      <c r="T303">
        <f t="shared" si="111"/>
        <v>298</v>
      </c>
      <c r="U303" s="49">
        <f t="shared" si="116"/>
        <v>9041</v>
      </c>
      <c r="V303" s="78">
        <f t="shared" si="112"/>
        <v>0</v>
      </c>
      <c r="W303" s="78">
        <f t="shared" ca="1" si="117"/>
        <v>0</v>
      </c>
      <c r="X303" s="78">
        <f>IFERROR(IF(OR(T303=0, U303&gt;=Refi_Origination_Date),0, PPMT(Mezz_I_Adj,'Loan Amort Table'!T303,Mezz_Amort_Periods,Mezz_Orig_Loan_Amount)),0)</f>
        <v>0</v>
      </c>
      <c r="Y303" s="78" cm="1">
        <f t="array" aca="1" ref="Y303" ca="1">IFERROR(_xlfn.IFS(U303&gt;=Refi_Origination_Date,0, Mezz_Amort = 0, -V303 * Mezz_I_Adj, 1, IPMT(Mezz_I_Adj,IF(T303 = 0, 1, T303),Mezz_Amort_Periods,Mezz_Orig_Loan_Amount)),0)</f>
        <v>0</v>
      </c>
      <c r="Z303" s="78">
        <f t="shared" si="118"/>
        <v>0</v>
      </c>
      <c r="AB303">
        <f t="shared" si="104"/>
        <v>25</v>
      </c>
      <c r="AC303">
        <f t="shared" si="113"/>
        <v>298</v>
      </c>
      <c r="AD303" s="49">
        <f t="shared" si="119"/>
        <v>9041</v>
      </c>
      <c r="AE303" s="78">
        <f t="shared" si="114"/>
        <v>0</v>
      </c>
      <c r="AF303" s="78">
        <f t="shared" ca="1" si="120"/>
        <v>0</v>
      </c>
      <c r="AG303" s="78">
        <f ca="1">IFERROR(IF(AC303=0,0, PPMT(Refi_I_Adj,'Loan Amort Table'!AC303,Refi_Amort_Periods,Refi_Orig_Loan_Amount)),0)</f>
        <v>0</v>
      </c>
      <c r="AH303" s="78">
        <f t="shared" ca="1" si="105"/>
        <v>0</v>
      </c>
      <c r="AI303" s="78">
        <f t="shared" ca="1" si="121"/>
        <v>0</v>
      </c>
    </row>
    <row r="304" spans="1:35" x14ac:dyDescent="0.25">
      <c r="A304">
        <f t="shared" si="101"/>
        <v>25</v>
      </c>
      <c r="B304">
        <f t="shared" si="106"/>
        <v>299</v>
      </c>
      <c r="C304" s="49">
        <f t="shared" si="100"/>
        <v>9072</v>
      </c>
      <c r="D304" s="78">
        <f>IF(C304&gt;EDATE(DATE(YEAR(SED_Origination_Date)+ SED_Amort, MONTH(SED_Origination_Date), DAY(SED_Origination_Date)),SED_Interest_Only),0,H303)</f>
        <v>0</v>
      </c>
      <c r="E304" s="78">
        <f t="shared" si="107"/>
        <v>0</v>
      </c>
      <c r="F304" s="78">
        <f>IFERROR(IF(OR(B304=0, C304&gt;=Refi_Origination_Date),0, PPMT(SED_I_Adj,'Loan Amort Table'!B304,SED_Amort_Periods,SED_Orig_Loan_Amount)),0)</f>
        <v>0</v>
      </c>
      <c r="G304" s="78" cm="1">
        <f t="array" ref="G304">IFERROR(_xlfn.IFS(C304&gt;=Refi_Origination_Date, 0, SED_Amort = 0, -D304 * SED_I_Adj, 1, IPMT(SED_I_Adj,IF(B304 = 0, 1, B304),SED_Amort_Periods,SED_Orig_Loan_Amount)),0)</f>
        <v>0</v>
      </c>
      <c r="H304" s="78">
        <f t="shared" si="122"/>
        <v>0</v>
      </c>
      <c r="J304">
        <f t="shared" si="102"/>
        <v>25</v>
      </c>
      <c r="K304">
        <f t="shared" si="108"/>
        <v>299</v>
      </c>
      <c r="L304" s="49">
        <f t="shared" si="115"/>
        <v>9072</v>
      </c>
      <c r="M304" s="78">
        <f>IF(L304&gt;EDATE(DATE(YEAR(NEW_Origination_Date)+ NEW_Amort, MONTH(NEW_Origination_Date), DAY(NEW_Origination_Date)),NEW_Interest_Only),0,Q303)</f>
        <v>0</v>
      </c>
      <c r="N304" s="78">
        <f t="shared" si="109"/>
        <v>0</v>
      </c>
      <c r="O304" s="78">
        <f>IFERROR(IF(K304=0,0, PPMT(NEW_I_Adj,'Loan Amort Table'!K304,NEW_Amort_Periods,NEW_Orig_Loan_Amount)),0)</f>
        <v>0</v>
      </c>
      <c r="P304" s="78">
        <f>IFERROR(IF(NEW_Amort = 0, -M304* NEW_I_Adj,IPMT(NEW_I_Adj,IF(K304 = 0, 1, K304),NEW_Amort_Periods,NEW_Orig_Loan_Amount)),0)</f>
        <v>0</v>
      </c>
      <c r="Q304" s="78">
        <f t="shared" si="110"/>
        <v>0</v>
      </c>
      <c r="S304">
        <f t="shared" si="103"/>
        <v>25</v>
      </c>
      <c r="T304">
        <f t="shared" si="111"/>
        <v>299</v>
      </c>
      <c r="U304" s="49">
        <f t="shared" si="116"/>
        <v>9072</v>
      </c>
      <c r="V304" s="78">
        <f t="shared" si="112"/>
        <v>0</v>
      </c>
      <c r="W304" s="78">
        <f t="shared" ca="1" si="117"/>
        <v>0</v>
      </c>
      <c r="X304" s="78">
        <f>IFERROR(IF(OR(T304=0, U304&gt;=Refi_Origination_Date),0, PPMT(Mezz_I_Adj,'Loan Amort Table'!T304,Mezz_Amort_Periods,Mezz_Orig_Loan_Amount)),0)</f>
        <v>0</v>
      </c>
      <c r="Y304" s="78" cm="1">
        <f t="array" aca="1" ref="Y304" ca="1">IFERROR(_xlfn.IFS(U304&gt;=Refi_Origination_Date,0, Mezz_Amort = 0, -V304 * Mezz_I_Adj, 1, IPMT(Mezz_I_Adj,IF(T304 = 0, 1, T304),Mezz_Amort_Periods,Mezz_Orig_Loan_Amount)),0)</f>
        <v>0</v>
      </c>
      <c r="Z304" s="78">
        <f t="shared" si="118"/>
        <v>0</v>
      </c>
      <c r="AB304">
        <f t="shared" si="104"/>
        <v>25</v>
      </c>
      <c r="AC304">
        <f t="shared" si="113"/>
        <v>299</v>
      </c>
      <c r="AD304" s="49">
        <f t="shared" si="119"/>
        <v>9072</v>
      </c>
      <c r="AE304" s="78">
        <f t="shared" si="114"/>
        <v>0</v>
      </c>
      <c r="AF304" s="78">
        <f t="shared" ca="1" si="120"/>
        <v>0</v>
      </c>
      <c r="AG304" s="78">
        <f ca="1">IFERROR(IF(AC304=0,0, PPMT(Refi_I_Adj,'Loan Amort Table'!AC304,Refi_Amort_Periods,Refi_Orig_Loan_Amount)),0)</f>
        <v>0</v>
      </c>
      <c r="AH304" s="78">
        <f t="shared" ca="1" si="105"/>
        <v>0</v>
      </c>
      <c r="AI304" s="78">
        <f t="shared" ca="1" si="121"/>
        <v>0</v>
      </c>
    </row>
    <row r="305" spans="1:35" x14ac:dyDescent="0.25">
      <c r="A305">
        <f t="shared" si="101"/>
        <v>25</v>
      </c>
      <c r="B305">
        <f t="shared" si="106"/>
        <v>300</v>
      </c>
      <c r="C305" s="49">
        <f t="shared" si="100"/>
        <v>9102</v>
      </c>
      <c r="D305" s="78">
        <f>IF(C305&gt;EDATE(DATE(YEAR(SED_Origination_Date)+ SED_Amort, MONTH(SED_Origination_Date), DAY(SED_Origination_Date)),SED_Interest_Only),0,H304)</f>
        <v>0</v>
      </c>
      <c r="E305" s="78">
        <f t="shared" si="107"/>
        <v>0</v>
      </c>
      <c r="F305" s="78">
        <f>IFERROR(IF(OR(B305=0, C305&gt;=Refi_Origination_Date),0, PPMT(SED_I_Adj,'Loan Amort Table'!B305,SED_Amort_Periods,SED_Orig_Loan_Amount)),0)</f>
        <v>0</v>
      </c>
      <c r="G305" s="78" cm="1">
        <f t="array" ref="G305">IFERROR(_xlfn.IFS(C305&gt;=Refi_Origination_Date, 0, SED_Amort = 0, -D305 * SED_I_Adj, 1, IPMT(SED_I_Adj,IF(B305 = 0, 1, B305),SED_Amort_Periods,SED_Orig_Loan_Amount)),0)</f>
        <v>0</v>
      </c>
      <c r="H305" s="78">
        <f t="shared" si="122"/>
        <v>0</v>
      </c>
      <c r="J305">
        <f t="shared" si="102"/>
        <v>25</v>
      </c>
      <c r="K305">
        <f t="shared" si="108"/>
        <v>300</v>
      </c>
      <c r="L305" s="49">
        <f t="shared" si="115"/>
        <v>9102</v>
      </c>
      <c r="M305" s="78">
        <f>IF(L305&gt;EDATE(DATE(YEAR(NEW_Origination_Date)+ NEW_Amort, MONTH(NEW_Origination_Date), DAY(NEW_Origination_Date)),NEW_Interest_Only),0,Q304)</f>
        <v>0</v>
      </c>
      <c r="N305" s="78">
        <f t="shared" si="109"/>
        <v>0</v>
      </c>
      <c r="O305" s="78">
        <f>IFERROR(IF(K305=0,0, PPMT(NEW_I_Adj,'Loan Amort Table'!K305,NEW_Amort_Periods,NEW_Orig_Loan_Amount)),0)</f>
        <v>0</v>
      </c>
      <c r="P305" s="78">
        <f>IFERROR(IF(NEW_Amort = 0, -M305* NEW_I_Adj,IPMT(NEW_I_Adj,IF(K305 = 0, 1, K305),NEW_Amort_Periods,NEW_Orig_Loan_Amount)),0)</f>
        <v>0</v>
      </c>
      <c r="Q305" s="78">
        <f t="shared" si="110"/>
        <v>0</v>
      </c>
      <c r="S305">
        <f t="shared" si="103"/>
        <v>25</v>
      </c>
      <c r="T305">
        <f t="shared" si="111"/>
        <v>300</v>
      </c>
      <c r="U305" s="49">
        <f t="shared" si="116"/>
        <v>9102</v>
      </c>
      <c r="V305" s="78">
        <f t="shared" si="112"/>
        <v>0</v>
      </c>
      <c r="W305" s="78">
        <f t="shared" ca="1" si="117"/>
        <v>0</v>
      </c>
      <c r="X305" s="78">
        <f>IFERROR(IF(OR(T305=0, U305&gt;=Refi_Origination_Date),0, PPMT(Mezz_I_Adj,'Loan Amort Table'!T305,Mezz_Amort_Periods,Mezz_Orig_Loan_Amount)),0)</f>
        <v>0</v>
      </c>
      <c r="Y305" s="78" cm="1">
        <f t="array" aca="1" ref="Y305" ca="1">IFERROR(_xlfn.IFS(U305&gt;=Refi_Origination_Date,0, Mezz_Amort = 0, -V305 * Mezz_I_Adj, 1, IPMT(Mezz_I_Adj,IF(T305 = 0, 1, T305),Mezz_Amort_Periods,Mezz_Orig_Loan_Amount)),0)</f>
        <v>0</v>
      </c>
      <c r="Z305" s="78">
        <f t="shared" si="118"/>
        <v>0</v>
      </c>
      <c r="AB305">
        <f t="shared" si="104"/>
        <v>25</v>
      </c>
      <c r="AC305">
        <f t="shared" si="113"/>
        <v>300</v>
      </c>
      <c r="AD305" s="49">
        <f t="shared" si="119"/>
        <v>9102</v>
      </c>
      <c r="AE305" s="78">
        <f t="shared" si="114"/>
        <v>0</v>
      </c>
      <c r="AF305" s="78">
        <f t="shared" ca="1" si="120"/>
        <v>0</v>
      </c>
      <c r="AG305" s="78">
        <f ca="1">IFERROR(IF(AC305=0,0, PPMT(Refi_I_Adj,'Loan Amort Table'!AC305,Refi_Amort_Periods,Refi_Orig_Loan_Amount)),0)</f>
        <v>0</v>
      </c>
      <c r="AH305" s="78">
        <f t="shared" ca="1" si="105"/>
        <v>0</v>
      </c>
      <c r="AI305" s="78">
        <f t="shared" ca="1" si="121"/>
        <v>0</v>
      </c>
    </row>
    <row r="306" spans="1:35" x14ac:dyDescent="0.25">
      <c r="A306">
        <f t="shared" si="101"/>
        <v>26</v>
      </c>
      <c r="B306">
        <f t="shared" si="106"/>
        <v>301</v>
      </c>
      <c r="C306" s="49">
        <f t="shared" si="100"/>
        <v>9133</v>
      </c>
      <c r="D306" s="78">
        <f>IF(C306&gt;EDATE(DATE(YEAR(SED_Origination_Date)+ SED_Amort, MONTH(SED_Origination_Date), DAY(SED_Origination_Date)),SED_Interest_Only),0,H305)</f>
        <v>0</v>
      </c>
      <c r="E306" s="78">
        <f t="shared" si="107"/>
        <v>0</v>
      </c>
      <c r="F306" s="78">
        <f>IFERROR(IF(OR(B306=0, C306&gt;=Refi_Origination_Date),0, PPMT(SED_I_Adj,'Loan Amort Table'!B306,SED_Amort_Periods,SED_Orig_Loan_Amount)),0)</f>
        <v>0</v>
      </c>
      <c r="G306" s="78" cm="1">
        <f t="array" ref="G306">IFERROR(_xlfn.IFS(C306&gt;=Refi_Origination_Date, 0, SED_Amort = 0, -D306 * SED_I_Adj, 1, IPMT(SED_I_Adj,IF(B306 = 0, 1, B306),SED_Amort_Periods,SED_Orig_Loan_Amount)),0)</f>
        <v>0</v>
      </c>
      <c r="H306" s="78">
        <f t="shared" si="122"/>
        <v>0</v>
      </c>
      <c r="J306">
        <f t="shared" si="102"/>
        <v>26</v>
      </c>
      <c r="K306">
        <f t="shared" si="108"/>
        <v>301</v>
      </c>
      <c r="L306" s="49">
        <f t="shared" si="115"/>
        <v>9133</v>
      </c>
      <c r="M306" s="78">
        <f>IF(L306&gt;EDATE(DATE(YEAR(NEW_Origination_Date)+ NEW_Amort, MONTH(NEW_Origination_Date), DAY(NEW_Origination_Date)),NEW_Interest_Only),0,Q305)</f>
        <v>0</v>
      </c>
      <c r="N306" s="78">
        <f t="shared" si="109"/>
        <v>0</v>
      </c>
      <c r="O306" s="78">
        <f>IFERROR(IF(K306=0,0, PPMT(NEW_I_Adj,'Loan Amort Table'!K306,NEW_Amort_Periods,NEW_Orig_Loan_Amount)),0)</f>
        <v>0</v>
      </c>
      <c r="P306" s="78">
        <f>IFERROR(IF(NEW_Amort = 0, -M306* NEW_I_Adj,IPMT(NEW_I_Adj,IF(K306 = 0, 1, K306),NEW_Amort_Periods,NEW_Orig_Loan_Amount)),0)</f>
        <v>0</v>
      </c>
      <c r="Q306" s="78">
        <f t="shared" si="110"/>
        <v>0</v>
      </c>
      <c r="S306">
        <f t="shared" si="103"/>
        <v>26</v>
      </c>
      <c r="T306">
        <f t="shared" si="111"/>
        <v>301</v>
      </c>
      <c r="U306" s="49">
        <f t="shared" si="116"/>
        <v>9133</v>
      </c>
      <c r="V306" s="78">
        <f t="shared" si="112"/>
        <v>0</v>
      </c>
      <c r="W306" s="78">
        <f t="shared" ca="1" si="117"/>
        <v>0</v>
      </c>
      <c r="X306" s="78">
        <f>IFERROR(IF(OR(T306=0, U306&gt;=Refi_Origination_Date),0, PPMT(Mezz_I_Adj,'Loan Amort Table'!T306,Mezz_Amort_Periods,Mezz_Orig_Loan_Amount)),0)</f>
        <v>0</v>
      </c>
      <c r="Y306" s="78" cm="1">
        <f t="array" aca="1" ref="Y306" ca="1">IFERROR(_xlfn.IFS(U306&gt;=Refi_Origination_Date,0, Mezz_Amort = 0, -V306 * Mezz_I_Adj, 1, IPMT(Mezz_I_Adj,IF(T306 = 0, 1, T306),Mezz_Amort_Periods,Mezz_Orig_Loan_Amount)),0)</f>
        <v>0</v>
      </c>
      <c r="Z306" s="78">
        <f t="shared" si="118"/>
        <v>0</v>
      </c>
      <c r="AB306">
        <f t="shared" si="104"/>
        <v>26</v>
      </c>
      <c r="AC306">
        <f t="shared" si="113"/>
        <v>301</v>
      </c>
      <c r="AD306" s="49">
        <f t="shared" si="119"/>
        <v>9133</v>
      </c>
      <c r="AE306" s="78">
        <f t="shared" si="114"/>
        <v>0</v>
      </c>
      <c r="AF306" s="78">
        <f t="shared" ca="1" si="120"/>
        <v>0</v>
      </c>
      <c r="AG306" s="78">
        <f ca="1">IFERROR(IF(AC306=0,0, PPMT(Refi_I_Adj,'Loan Amort Table'!AC306,Refi_Amort_Periods,Refi_Orig_Loan_Amount)),0)</f>
        <v>0</v>
      </c>
      <c r="AH306" s="78">
        <f t="shared" ca="1" si="105"/>
        <v>0</v>
      </c>
      <c r="AI306" s="78">
        <f t="shared" ca="1" si="121"/>
        <v>0</v>
      </c>
    </row>
    <row r="307" spans="1:35" x14ac:dyDescent="0.25">
      <c r="A307">
        <f t="shared" si="101"/>
        <v>26</v>
      </c>
      <c r="B307">
        <f t="shared" si="106"/>
        <v>302</v>
      </c>
      <c r="C307" s="49">
        <f t="shared" si="100"/>
        <v>9164</v>
      </c>
      <c r="D307" s="78">
        <f>IF(C307&gt;EDATE(DATE(YEAR(SED_Origination_Date)+ SED_Amort, MONTH(SED_Origination_Date), DAY(SED_Origination_Date)),SED_Interest_Only),0,H306)</f>
        <v>0</v>
      </c>
      <c r="E307" s="78">
        <f t="shared" si="107"/>
        <v>0</v>
      </c>
      <c r="F307" s="78">
        <f>IFERROR(IF(OR(B307=0, C307&gt;=Refi_Origination_Date),0, PPMT(SED_I_Adj,'Loan Amort Table'!B307,SED_Amort_Periods,SED_Orig_Loan_Amount)),0)</f>
        <v>0</v>
      </c>
      <c r="G307" s="78" cm="1">
        <f t="array" ref="G307">IFERROR(_xlfn.IFS(C307&gt;=Refi_Origination_Date, 0, SED_Amort = 0, -D307 * SED_I_Adj, 1, IPMT(SED_I_Adj,IF(B307 = 0, 1, B307),SED_Amort_Periods,SED_Orig_Loan_Amount)),0)</f>
        <v>0</v>
      </c>
      <c r="H307" s="78">
        <f t="shared" si="122"/>
        <v>0</v>
      </c>
      <c r="J307">
        <f t="shared" si="102"/>
        <v>26</v>
      </c>
      <c r="K307">
        <f t="shared" si="108"/>
        <v>302</v>
      </c>
      <c r="L307" s="49">
        <f t="shared" si="115"/>
        <v>9164</v>
      </c>
      <c r="M307" s="78">
        <f>IF(L307&gt;EDATE(DATE(YEAR(NEW_Origination_Date)+ NEW_Amort, MONTH(NEW_Origination_Date), DAY(NEW_Origination_Date)),NEW_Interest_Only),0,Q306)</f>
        <v>0</v>
      </c>
      <c r="N307" s="78">
        <f t="shared" si="109"/>
        <v>0</v>
      </c>
      <c r="O307" s="78">
        <f>IFERROR(IF(K307=0,0, PPMT(NEW_I_Adj,'Loan Amort Table'!K307,NEW_Amort_Periods,NEW_Orig_Loan_Amount)),0)</f>
        <v>0</v>
      </c>
      <c r="P307" s="78">
        <f>IFERROR(IF(NEW_Amort = 0, -M307* NEW_I_Adj,IPMT(NEW_I_Adj,IF(K307 = 0, 1, K307),NEW_Amort_Periods,NEW_Orig_Loan_Amount)),0)</f>
        <v>0</v>
      </c>
      <c r="Q307" s="78">
        <f t="shared" si="110"/>
        <v>0</v>
      </c>
      <c r="S307">
        <f t="shared" si="103"/>
        <v>26</v>
      </c>
      <c r="T307">
        <f t="shared" si="111"/>
        <v>302</v>
      </c>
      <c r="U307" s="49">
        <f t="shared" si="116"/>
        <v>9164</v>
      </c>
      <c r="V307" s="78">
        <f t="shared" si="112"/>
        <v>0</v>
      </c>
      <c r="W307" s="78">
        <f t="shared" ca="1" si="117"/>
        <v>0</v>
      </c>
      <c r="X307" s="78">
        <f>IFERROR(IF(OR(T307=0, U307&gt;=Refi_Origination_Date),0, PPMT(Mezz_I_Adj,'Loan Amort Table'!T307,Mezz_Amort_Periods,Mezz_Orig_Loan_Amount)),0)</f>
        <v>0</v>
      </c>
      <c r="Y307" s="78" cm="1">
        <f t="array" aca="1" ref="Y307" ca="1">IFERROR(_xlfn.IFS(U307&gt;=Refi_Origination_Date,0, Mezz_Amort = 0, -V307 * Mezz_I_Adj, 1, IPMT(Mezz_I_Adj,IF(T307 = 0, 1, T307),Mezz_Amort_Periods,Mezz_Orig_Loan_Amount)),0)</f>
        <v>0</v>
      </c>
      <c r="Z307" s="78">
        <f t="shared" si="118"/>
        <v>0</v>
      </c>
      <c r="AB307">
        <f t="shared" si="104"/>
        <v>26</v>
      </c>
      <c r="AC307">
        <f t="shared" si="113"/>
        <v>302</v>
      </c>
      <c r="AD307" s="49">
        <f t="shared" si="119"/>
        <v>9164</v>
      </c>
      <c r="AE307" s="78">
        <f t="shared" si="114"/>
        <v>0</v>
      </c>
      <c r="AF307" s="78">
        <f t="shared" ca="1" si="120"/>
        <v>0</v>
      </c>
      <c r="AG307" s="78">
        <f ca="1">IFERROR(IF(AC307=0,0, PPMT(Refi_I_Adj,'Loan Amort Table'!AC307,Refi_Amort_Periods,Refi_Orig_Loan_Amount)),0)</f>
        <v>0</v>
      </c>
      <c r="AH307" s="78">
        <f t="shared" ca="1" si="105"/>
        <v>0</v>
      </c>
      <c r="AI307" s="78">
        <f t="shared" ca="1" si="121"/>
        <v>0</v>
      </c>
    </row>
    <row r="308" spans="1:35" x14ac:dyDescent="0.25">
      <c r="A308">
        <f t="shared" si="101"/>
        <v>26</v>
      </c>
      <c r="B308">
        <f t="shared" si="106"/>
        <v>303</v>
      </c>
      <c r="C308" s="49">
        <f t="shared" si="100"/>
        <v>9192</v>
      </c>
      <c r="D308" s="78">
        <f>IF(C308&gt;EDATE(DATE(YEAR(SED_Origination_Date)+ SED_Amort, MONTH(SED_Origination_Date), DAY(SED_Origination_Date)),SED_Interest_Only),0,H307)</f>
        <v>0</v>
      </c>
      <c r="E308" s="78">
        <f t="shared" si="107"/>
        <v>0</v>
      </c>
      <c r="F308" s="78">
        <f>IFERROR(IF(OR(B308=0, C308&gt;=Refi_Origination_Date),0, PPMT(SED_I_Adj,'Loan Amort Table'!B308,SED_Amort_Periods,SED_Orig_Loan_Amount)),0)</f>
        <v>0</v>
      </c>
      <c r="G308" s="78" cm="1">
        <f t="array" ref="G308">IFERROR(_xlfn.IFS(C308&gt;=Refi_Origination_Date, 0, SED_Amort = 0, -D308 * SED_I_Adj, 1, IPMT(SED_I_Adj,IF(B308 = 0, 1, B308),SED_Amort_Periods,SED_Orig_Loan_Amount)),0)</f>
        <v>0</v>
      </c>
      <c r="H308" s="78">
        <f t="shared" si="122"/>
        <v>0</v>
      </c>
      <c r="J308">
        <f t="shared" si="102"/>
        <v>26</v>
      </c>
      <c r="K308">
        <f t="shared" si="108"/>
        <v>303</v>
      </c>
      <c r="L308" s="49">
        <f t="shared" si="115"/>
        <v>9192</v>
      </c>
      <c r="M308" s="78">
        <f>IF(L308&gt;EDATE(DATE(YEAR(NEW_Origination_Date)+ NEW_Amort, MONTH(NEW_Origination_Date), DAY(NEW_Origination_Date)),NEW_Interest_Only),0,Q307)</f>
        <v>0</v>
      </c>
      <c r="N308" s="78">
        <f t="shared" si="109"/>
        <v>0</v>
      </c>
      <c r="O308" s="78">
        <f>IFERROR(IF(K308=0,0, PPMT(NEW_I_Adj,'Loan Amort Table'!K308,NEW_Amort_Periods,NEW_Orig_Loan_Amount)),0)</f>
        <v>0</v>
      </c>
      <c r="P308" s="78">
        <f>IFERROR(IF(NEW_Amort = 0, -M308* NEW_I_Adj,IPMT(NEW_I_Adj,IF(K308 = 0, 1, K308),NEW_Amort_Periods,NEW_Orig_Loan_Amount)),0)</f>
        <v>0</v>
      </c>
      <c r="Q308" s="78">
        <f t="shared" si="110"/>
        <v>0</v>
      </c>
      <c r="S308">
        <f t="shared" si="103"/>
        <v>26</v>
      </c>
      <c r="T308">
        <f t="shared" si="111"/>
        <v>303</v>
      </c>
      <c r="U308" s="49">
        <f t="shared" si="116"/>
        <v>9192</v>
      </c>
      <c r="V308" s="78">
        <f t="shared" si="112"/>
        <v>0</v>
      </c>
      <c r="W308" s="78">
        <f t="shared" ca="1" si="117"/>
        <v>0</v>
      </c>
      <c r="X308" s="78">
        <f>IFERROR(IF(OR(T308=0, U308&gt;=Refi_Origination_Date),0, PPMT(Mezz_I_Adj,'Loan Amort Table'!T308,Mezz_Amort_Periods,Mezz_Orig_Loan_Amount)),0)</f>
        <v>0</v>
      </c>
      <c r="Y308" s="78" cm="1">
        <f t="array" aca="1" ref="Y308" ca="1">IFERROR(_xlfn.IFS(U308&gt;=Refi_Origination_Date,0, Mezz_Amort = 0, -V308 * Mezz_I_Adj, 1, IPMT(Mezz_I_Adj,IF(T308 = 0, 1, T308),Mezz_Amort_Periods,Mezz_Orig_Loan_Amount)),0)</f>
        <v>0</v>
      </c>
      <c r="Z308" s="78">
        <f t="shared" si="118"/>
        <v>0</v>
      </c>
      <c r="AB308">
        <f t="shared" si="104"/>
        <v>26</v>
      </c>
      <c r="AC308">
        <f t="shared" si="113"/>
        <v>303</v>
      </c>
      <c r="AD308" s="49">
        <f t="shared" si="119"/>
        <v>9192</v>
      </c>
      <c r="AE308" s="78">
        <f t="shared" si="114"/>
        <v>0</v>
      </c>
      <c r="AF308" s="78">
        <f t="shared" ca="1" si="120"/>
        <v>0</v>
      </c>
      <c r="AG308" s="78">
        <f ca="1">IFERROR(IF(AC308=0,0, PPMT(Refi_I_Adj,'Loan Amort Table'!AC308,Refi_Amort_Periods,Refi_Orig_Loan_Amount)),0)</f>
        <v>0</v>
      </c>
      <c r="AH308" s="78">
        <f t="shared" ca="1" si="105"/>
        <v>0</v>
      </c>
      <c r="AI308" s="78">
        <f t="shared" ca="1" si="121"/>
        <v>0</v>
      </c>
    </row>
    <row r="309" spans="1:35" x14ac:dyDescent="0.25">
      <c r="A309">
        <f t="shared" si="101"/>
        <v>26</v>
      </c>
      <c r="B309">
        <f t="shared" si="106"/>
        <v>304</v>
      </c>
      <c r="C309" s="49">
        <f t="shared" si="100"/>
        <v>9223</v>
      </c>
      <c r="D309" s="78">
        <f>IF(C309&gt;EDATE(DATE(YEAR(SED_Origination_Date)+ SED_Amort, MONTH(SED_Origination_Date), DAY(SED_Origination_Date)),SED_Interest_Only),0,H308)</f>
        <v>0</v>
      </c>
      <c r="E309" s="78">
        <f t="shared" si="107"/>
        <v>0</v>
      </c>
      <c r="F309" s="78">
        <f>IFERROR(IF(OR(B309=0, C309&gt;=Refi_Origination_Date),0, PPMT(SED_I_Adj,'Loan Amort Table'!B309,SED_Amort_Periods,SED_Orig_Loan_Amount)),0)</f>
        <v>0</v>
      </c>
      <c r="G309" s="78" cm="1">
        <f t="array" ref="G309">IFERROR(_xlfn.IFS(C309&gt;=Refi_Origination_Date, 0, SED_Amort = 0, -D309 * SED_I_Adj, 1, IPMT(SED_I_Adj,IF(B309 = 0, 1, B309),SED_Amort_Periods,SED_Orig_Loan_Amount)),0)</f>
        <v>0</v>
      </c>
      <c r="H309" s="78">
        <f t="shared" si="122"/>
        <v>0</v>
      </c>
      <c r="J309">
        <f t="shared" si="102"/>
        <v>26</v>
      </c>
      <c r="K309">
        <f t="shared" si="108"/>
        <v>304</v>
      </c>
      <c r="L309" s="49">
        <f t="shared" si="115"/>
        <v>9223</v>
      </c>
      <c r="M309" s="78">
        <f>IF(L309&gt;EDATE(DATE(YEAR(NEW_Origination_Date)+ NEW_Amort, MONTH(NEW_Origination_Date), DAY(NEW_Origination_Date)),NEW_Interest_Only),0,Q308)</f>
        <v>0</v>
      </c>
      <c r="N309" s="78">
        <f t="shared" si="109"/>
        <v>0</v>
      </c>
      <c r="O309" s="78">
        <f>IFERROR(IF(K309=0,0, PPMT(NEW_I_Adj,'Loan Amort Table'!K309,NEW_Amort_Periods,NEW_Orig_Loan_Amount)),0)</f>
        <v>0</v>
      </c>
      <c r="P309" s="78">
        <f>IFERROR(IF(NEW_Amort = 0, -M309* NEW_I_Adj,IPMT(NEW_I_Adj,IF(K309 = 0, 1, K309),NEW_Amort_Periods,NEW_Orig_Loan_Amount)),0)</f>
        <v>0</v>
      </c>
      <c r="Q309" s="78">
        <f t="shared" si="110"/>
        <v>0</v>
      </c>
      <c r="S309">
        <f t="shared" si="103"/>
        <v>26</v>
      </c>
      <c r="T309">
        <f t="shared" si="111"/>
        <v>304</v>
      </c>
      <c r="U309" s="49">
        <f t="shared" si="116"/>
        <v>9223</v>
      </c>
      <c r="V309" s="78">
        <f t="shared" si="112"/>
        <v>0</v>
      </c>
      <c r="W309" s="78">
        <f t="shared" ca="1" si="117"/>
        <v>0</v>
      </c>
      <c r="X309" s="78">
        <f>IFERROR(IF(OR(T309=0, U309&gt;=Refi_Origination_Date),0, PPMT(Mezz_I_Adj,'Loan Amort Table'!T309,Mezz_Amort_Periods,Mezz_Orig_Loan_Amount)),0)</f>
        <v>0</v>
      </c>
      <c r="Y309" s="78" cm="1">
        <f t="array" aca="1" ref="Y309" ca="1">IFERROR(_xlfn.IFS(U309&gt;=Refi_Origination_Date,0, Mezz_Amort = 0, -V309 * Mezz_I_Adj, 1, IPMT(Mezz_I_Adj,IF(T309 = 0, 1, T309),Mezz_Amort_Periods,Mezz_Orig_Loan_Amount)),0)</f>
        <v>0</v>
      </c>
      <c r="Z309" s="78">
        <f t="shared" si="118"/>
        <v>0</v>
      </c>
      <c r="AB309">
        <f t="shared" si="104"/>
        <v>26</v>
      </c>
      <c r="AC309">
        <f t="shared" si="113"/>
        <v>304</v>
      </c>
      <c r="AD309" s="49">
        <f t="shared" si="119"/>
        <v>9223</v>
      </c>
      <c r="AE309" s="78">
        <f t="shared" si="114"/>
        <v>0</v>
      </c>
      <c r="AF309" s="78">
        <f t="shared" ca="1" si="120"/>
        <v>0</v>
      </c>
      <c r="AG309" s="78">
        <f ca="1">IFERROR(IF(AC309=0,0, PPMT(Refi_I_Adj,'Loan Amort Table'!AC309,Refi_Amort_Periods,Refi_Orig_Loan_Amount)),0)</f>
        <v>0</v>
      </c>
      <c r="AH309" s="78">
        <f t="shared" ca="1" si="105"/>
        <v>0</v>
      </c>
      <c r="AI309" s="78">
        <f t="shared" ca="1" si="121"/>
        <v>0</v>
      </c>
    </row>
    <row r="310" spans="1:35" x14ac:dyDescent="0.25">
      <c r="A310">
        <f t="shared" si="101"/>
        <v>26</v>
      </c>
      <c r="B310">
        <f t="shared" si="106"/>
        <v>305</v>
      </c>
      <c r="C310" s="49">
        <f t="shared" si="100"/>
        <v>9253</v>
      </c>
      <c r="D310" s="78">
        <f>IF(C310&gt;EDATE(DATE(YEAR(SED_Origination_Date)+ SED_Amort, MONTH(SED_Origination_Date), DAY(SED_Origination_Date)),SED_Interest_Only),0,H309)</f>
        <v>0</v>
      </c>
      <c r="E310" s="78">
        <f t="shared" si="107"/>
        <v>0</v>
      </c>
      <c r="F310" s="78">
        <f>IFERROR(IF(OR(B310=0, C310&gt;=Refi_Origination_Date),0, PPMT(SED_I_Adj,'Loan Amort Table'!B310,SED_Amort_Periods,SED_Orig_Loan_Amount)),0)</f>
        <v>0</v>
      </c>
      <c r="G310" s="78" cm="1">
        <f t="array" ref="G310">IFERROR(_xlfn.IFS(C310&gt;=Refi_Origination_Date, 0, SED_Amort = 0, -D310 * SED_I_Adj, 1, IPMT(SED_I_Adj,IF(B310 = 0, 1, B310),SED_Amort_Periods,SED_Orig_Loan_Amount)),0)</f>
        <v>0</v>
      </c>
      <c r="H310" s="78">
        <f t="shared" si="122"/>
        <v>0</v>
      </c>
      <c r="J310">
        <f t="shared" si="102"/>
        <v>26</v>
      </c>
      <c r="K310">
        <f t="shared" si="108"/>
        <v>305</v>
      </c>
      <c r="L310" s="49">
        <f t="shared" si="115"/>
        <v>9253</v>
      </c>
      <c r="M310" s="78">
        <f>IF(L310&gt;EDATE(DATE(YEAR(NEW_Origination_Date)+ NEW_Amort, MONTH(NEW_Origination_Date), DAY(NEW_Origination_Date)),NEW_Interest_Only),0,Q309)</f>
        <v>0</v>
      </c>
      <c r="N310" s="78">
        <f t="shared" si="109"/>
        <v>0</v>
      </c>
      <c r="O310" s="78">
        <f>IFERROR(IF(K310=0,0, PPMT(NEW_I_Adj,'Loan Amort Table'!K310,NEW_Amort_Periods,NEW_Orig_Loan_Amount)),0)</f>
        <v>0</v>
      </c>
      <c r="P310" s="78">
        <f>IFERROR(IF(NEW_Amort = 0, -M310* NEW_I_Adj,IPMT(NEW_I_Adj,IF(K310 = 0, 1, K310),NEW_Amort_Periods,NEW_Orig_Loan_Amount)),0)</f>
        <v>0</v>
      </c>
      <c r="Q310" s="78">
        <f t="shared" si="110"/>
        <v>0</v>
      </c>
      <c r="S310">
        <f t="shared" si="103"/>
        <v>26</v>
      </c>
      <c r="T310">
        <f t="shared" si="111"/>
        <v>305</v>
      </c>
      <c r="U310" s="49">
        <f t="shared" si="116"/>
        <v>9253</v>
      </c>
      <c r="V310" s="78">
        <f t="shared" si="112"/>
        <v>0</v>
      </c>
      <c r="W310" s="78">
        <f t="shared" ca="1" si="117"/>
        <v>0</v>
      </c>
      <c r="X310" s="78">
        <f>IFERROR(IF(OR(T310=0, U310&gt;=Refi_Origination_Date),0, PPMT(Mezz_I_Adj,'Loan Amort Table'!T310,Mezz_Amort_Periods,Mezz_Orig_Loan_Amount)),0)</f>
        <v>0</v>
      </c>
      <c r="Y310" s="78" cm="1">
        <f t="array" aca="1" ref="Y310" ca="1">IFERROR(_xlfn.IFS(U310&gt;=Refi_Origination_Date,0, Mezz_Amort = 0, -V310 * Mezz_I_Adj, 1, IPMT(Mezz_I_Adj,IF(T310 = 0, 1, T310),Mezz_Amort_Periods,Mezz_Orig_Loan_Amount)),0)</f>
        <v>0</v>
      </c>
      <c r="Z310" s="78">
        <f t="shared" si="118"/>
        <v>0</v>
      </c>
      <c r="AB310">
        <f t="shared" si="104"/>
        <v>26</v>
      </c>
      <c r="AC310">
        <f t="shared" si="113"/>
        <v>305</v>
      </c>
      <c r="AD310" s="49">
        <f t="shared" si="119"/>
        <v>9253</v>
      </c>
      <c r="AE310" s="78">
        <f t="shared" si="114"/>
        <v>0</v>
      </c>
      <c r="AF310" s="78">
        <f t="shared" ca="1" si="120"/>
        <v>0</v>
      </c>
      <c r="AG310" s="78">
        <f ca="1">IFERROR(IF(AC310=0,0, PPMT(Refi_I_Adj,'Loan Amort Table'!AC310,Refi_Amort_Periods,Refi_Orig_Loan_Amount)),0)</f>
        <v>0</v>
      </c>
      <c r="AH310" s="78">
        <f t="shared" ca="1" si="105"/>
        <v>0</v>
      </c>
      <c r="AI310" s="78">
        <f t="shared" ca="1" si="121"/>
        <v>0</v>
      </c>
    </row>
    <row r="311" spans="1:35" x14ac:dyDescent="0.25">
      <c r="A311">
        <f t="shared" si="101"/>
        <v>26</v>
      </c>
      <c r="B311">
        <f t="shared" si="106"/>
        <v>306</v>
      </c>
      <c r="C311" s="49">
        <f t="shared" si="100"/>
        <v>9284</v>
      </c>
      <c r="D311" s="78">
        <f>IF(C311&gt;EDATE(DATE(YEAR(SED_Origination_Date)+ SED_Amort, MONTH(SED_Origination_Date), DAY(SED_Origination_Date)),SED_Interest_Only),0,H310)</f>
        <v>0</v>
      </c>
      <c r="E311" s="78">
        <f t="shared" si="107"/>
        <v>0</v>
      </c>
      <c r="F311" s="78">
        <f>IFERROR(IF(OR(B311=0, C311&gt;=Refi_Origination_Date),0, PPMT(SED_I_Adj,'Loan Amort Table'!B311,SED_Amort_Periods,SED_Orig_Loan_Amount)),0)</f>
        <v>0</v>
      </c>
      <c r="G311" s="78" cm="1">
        <f t="array" ref="G311">IFERROR(_xlfn.IFS(C311&gt;=Refi_Origination_Date, 0, SED_Amort = 0, -D311 * SED_I_Adj, 1, IPMT(SED_I_Adj,IF(B311 = 0, 1, B311),SED_Amort_Periods,SED_Orig_Loan_Amount)),0)</f>
        <v>0</v>
      </c>
      <c r="H311" s="78">
        <f t="shared" si="122"/>
        <v>0</v>
      </c>
      <c r="J311">
        <f t="shared" si="102"/>
        <v>26</v>
      </c>
      <c r="K311">
        <f t="shared" si="108"/>
        <v>306</v>
      </c>
      <c r="L311" s="49">
        <f t="shared" si="115"/>
        <v>9284</v>
      </c>
      <c r="M311" s="78">
        <f>IF(L311&gt;EDATE(DATE(YEAR(NEW_Origination_Date)+ NEW_Amort, MONTH(NEW_Origination_Date), DAY(NEW_Origination_Date)),NEW_Interest_Only),0,Q310)</f>
        <v>0</v>
      </c>
      <c r="N311" s="78">
        <f t="shared" si="109"/>
        <v>0</v>
      </c>
      <c r="O311" s="78">
        <f>IFERROR(IF(K311=0,0, PPMT(NEW_I_Adj,'Loan Amort Table'!K311,NEW_Amort_Periods,NEW_Orig_Loan_Amount)),0)</f>
        <v>0</v>
      </c>
      <c r="P311" s="78">
        <f>IFERROR(IF(NEW_Amort = 0, -M311* NEW_I_Adj,IPMT(NEW_I_Adj,IF(K311 = 0, 1, K311),NEW_Amort_Periods,NEW_Orig_Loan_Amount)),0)</f>
        <v>0</v>
      </c>
      <c r="Q311" s="78">
        <f t="shared" si="110"/>
        <v>0</v>
      </c>
      <c r="S311">
        <f t="shared" si="103"/>
        <v>26</v>
      </c>
      <c r="T311">
        <f t="shared" si="111"/>
        <v>306</v>
      </c>
      <c r="U311" s="49">
        <f t="shared" si="116"/>
        <v>9284</v>
      </c>
      <c r="V311" s="78">
        <f t="shared" si="112"/>
        <v>0</v>
      </c>
      <c r="W311" s="78">
        <f t="shared" ca="1" si="117"/>
        <v>0</v>
      </c>
      <c r="X311" s="78">
        <f>IFERROR(IF(OR(T311=0, U311&gt;=Refi_Origination_Date),0, PPMT(Mezz_I_Adj,'Loan Amort Table'!T311,Mezz_Amort_Periods,Mezz_Orig_Loan_Amount)),0)</f>
        <v>0</v>
      </c>
      <c r="Y311" s="78" cm="1">
        <f t="array" aca="1" ref="Y311" ca="1">IFERROR(_xlfn.IFS(U311&gt;=Refi_Origination_Date,0, Mezz_Amort = 0, -V311 * Mezz_I_Adj, 1, IPMT(Mezz_I_Adj,IF(T311 = 0, 1, T311),Mezz_Amort_Periods,Mezz_Orig_Loan_Amount)),0)</f>
        <v>0</v>
      </c>
      <c r="Z311" s="78">
        <f t="shared" si="118"/>
        <v>0</v>
      </c>
      <c r="AB311">
        <f t="shared" si="104"/>
        <v>26</v>
      </c>
      <c r="AC311">
        <f t="shared" si="113"/>
        <v>306</v>
      </c>
      <c r="AD311" s="49">
        <f t="shared" si="119"/>
        <v>9284</v>
      </c>
      <c r="AE311" s="78">
        <f t="shared" si="114"/>
        <v>0</v>
      </c>
      <c r="AF311" s="78">
        <f t="shared" ca="1" si="120"/>
        <v>0</v>
      </c>
      <c r="AG311" s="78">
        <f ca="1">IFERROR(IF(AC311=0,0, PPMT(Refi_I_Adj,'Loan Amort Table'!AC311,Refi_Amort_Periods,Refi_Orig_Loan_Amount)),0)</f>
        <v>0</v>
      </c>
      <c r="AH311" s="78">
        <f t="shared" ca="1" si="105"/>
        <v>0</v>
      </c>
      <c r="AI311" s="78">
        <f t="shared" ca="1" si="121"/>
        <v>0</v>
      </c>
    </row>
    <row r="312" spans="1:35" x14ac:dyDescent="0.25">
      <c r="A312">
        <f t="shared" si="101"/>
        <v>26</v>
      </c>
      <c r="B312">
        <f t="shared" si="106"/>
        <v>307</v>
      </c>
      <c r="C312" s="49">
        <f t="shared" ref="C312:C375" si="123">EDATE(C311,1)</f>
        <v>9314</v>
      </c>
      <c r="D312" s="78">
        <f>IF(C312&gt;EDATE(DATE(YEAR(SED_Origination_Date)+ SED_Amort, MONTH(SED_Origination_Date), DAY(SED_Origination_Date)),SED_Interest_Only),0,H311)</f>
        <v>0</v>
      </c>
      <c r="E312" s="78">
        <f t="shared" si="107"/>
        <v>0</v>
      </c>
      <c r="F312" s="78">
        <f>IFERROR(IF(OR(B312=0, C312&gt;=Refi_Origination_Date),0, PPMT(SED_I_Adj,'Loan Amort Table'!B312,SED_Amort_Periods,SED_Orig_Loan_Amount)),0)</f>
        <v>0</v>
      </c>
      <c r="G312" s="78" cm="1">
        <f t="array" ref="G312">IFERROR(_xlfn.IFS(C312&gt;=Refi_Origination_Date, 0, SED_Amort = 0, -D312 * SED_I_Adj, 1, IPMT(SED_I_Adj,IF(B312 = 0, 1, B312),SED_Amort_Periods,SED_Orig_Loan_Amount)),0)</f>
        <v>0</v>
      </c>
      <c r="H312" s="78">
        <f t="shared" si="122"/>
        <v>0</v>
      </c>
      <c r="J312">
        <f t="shared" si="102"/>
        <v>26</v>
      </c>
      <c r="K312">
        <f t="shared" si="108"/>
        <v>307</v>
      </c>
      <c r="L312" s="49">
        <f t="shared" si="115"/>
        <v>9314</v>
      </c>
      <c r="M312" s="78">
        <f>IF(L312&gt;EDATE(DATE(YEAR(NEW_Origination_Date)+ NEW_Amort, MONTH(NEW_Origination_Date), DAY(NEW_Origination_Date)),NEW_Interest_Only),0,Q311)</f>
        <v>0</v>
      </c>
      <c r="N312" s="78">
        <f t="shared" si="109"/>
        <v>0</v>
      </c>
      <c r="O312" s="78">
        <f>IFERROR(IF(K312=0,0, PPMT(NEW_I_Adj,'Loan Amort Table'!K312,NEW_Amort_Periods,NEW_Orig_Loan_Amount)),0)</f>
        <v>0</v>
      </c>
      <c r="P312" s="78">
        <f>IFERROR(IF(NEW_Amort = 0, -M312* NEW_I_Adj,IPMT(NEW_I_Adj,IF(K312 = 0, 1, K312),NEW_Amort_Periods,NEW_Orig_Loan_Amount)),0)</f>
        <v>0</v>
      </c>
      <c r="Q312" s="78">
        <f t="shared" si="110"/>
        <v>0</v>
      </c>
      <c r="S312">
        <f t="shared" si="103"/>
        <v>26</v>
      </c>
      <c r="T312">
        <f t="shared" si="111"/>
        <v>307</v>
      </c>
      <c r="U312" s="49">
        <f t="shared" si="116"/>
        <v>9314</v>
      </c>
      <c r="V312" s="78">
        <f t="shared" si="112"/>
        <v>0</v>
      </c>
      <c r="W312" s="78">
        <f t="shared" ca="1" si="117"/>
        <v>0</v>
      </c>
      <c r="X312" s="78">
        <f>IFERROR(IF(OR(T312=0, U312&gt;=Refi_Origination_Date),0, PPMT(Mezz_I_Adj,'Loan Amort Table'!T312,Mezz_Amort_Periods,Mezz_Orig_Loan_Amount)),0)</f>
        <v>0</v>
      </c>
      <c r="Y312" s="78" cm="1">
        <f t="array" aca="1" ref="Y312" ca="1">IFERROR(_xlfn.IFS(U312&gt;=Refi_Origination_Date,0, Mezz_Amort = 0, -V312 * Mezz_I_Adj, 1, IPMT(Mezz_I_Adj,IF(T312 = 0, 1, T312),Mezz_Amort_Periods,Mezz_Orig_Loan_Amount)),0)</f>
        <v>0</v>
      </c>
      <c r="Z312" s="78">
        <f t="shared" si="118"/>
        <v>0</v>
      </c>
      <c r="AB312">
        <f t="shared" si="104"/>
        <v>26</v>
      </c>
      <c r="AC312">
        <f t="shared" si="113"/>
        <v>307</v>
      </c>
      <c r="AD312" s="49">
        <f t="shared" si="119"/>
        <v>9314</v>
      </c>
      <c r="AE312" s="78">
        <f t="shared" si="114"/>
        <v>0</v>
      </c>
      <c r="AF312" s="78">
        <f t="shared" ca="1" si="120"/>
        <v>0</v>
      </c>
      <c r="AG312" s="78">
        <f ca="1">IFERROR(IF(AC312=0,0, PPMT(Refi_I_Adj,'Loan Amort Table'!AC312,Refi_Amort_Periods,Refi_Orig_Loan_Amount)),0)</f>
        <v>0</v>
      </c>
      <c r="AH312" s="78">
        <f t="shared" ca="1" si="105"/>
        <v>0</v>
      </c>
      <c r="AI312" s="78">
        <f t="shared" ca="1" si="121"/>
        <v>0</v>
      </c>
    </row>
    <row r="313" spans="1:35" x14ac:dyDescent="0.25">
      <c r="A313">
        <f t="shared" si="101"/>
        <v>26</v>
      </c>
      <c r="B313">
        <f t="shared" si="106"/>
        <v>308</v>
      </c>
      <c r="C313" s="49">
        <f t="shared" si="123"/>
        <v>9345</v>
      </c>
      <c r="D313" s="78">
        <f>IF(C313&gt;EDATE(DATE(YEAR(SED_Origination_Date)+ SED_Amort, MONTH(SED_Origination_Date), DAY(SED_Origination_Date)),SED_Interest_Only),0,H312)</f>
        <v>0</v>
      </c>
      <c r="E313" s="78">
        <f t="shared" si="107"/>
        <v>0</v>
      </c>
      <c r="F313" s="78">
        <f>IFERROR(IF(OR(B313=0, C313&gt;=Refi_Origination_Date),0, PPMT(SED_I_Adj,'Loan Amort Table'!B313,SED_Amort_Periods,SED_Orig_Loan_Amount)),0)</f>
        <v>0</v>
      </c>
      <c r="G313" s="78" cm="1">
        <f t="array" ref="G313">IFERROR(_xlfn.IFS(C313&gt;=Refi_Origination_Date, 0, SED_Amort = 0, -D313 * SED_I_Adj, 1, IPMT(SED_I_Adj,IF(B313 = 0, 1, B313),SED_Amort_Periods,SED_Orig_Loan_Amount)),0)</f>
        <v>0</v>
      </c>
      <c r="H313" s="78">
        <f t="shared" si="122"/>
        <v>0</v>
      </c>
      <c r="J313">
        <f t="shared" si="102"/>
        <v>26</v>
      </c>
      <c r="K313">
        <f t="shared" si="108"/>
        <v>308</v>
      </c>
      <c r="L313" s="49">
        <f t="shared" si="115"/>
        <v>9345</v>
      </c>
      <c r="M313" s="78">
        <f>IF(L313&gt;EDATE(DATE(YEAR(NEW_Origination_Date)+ NEW_Amort, MONTH(NEW_Origination_Date), DAY(NEW_Origination_Date)),NEW_Interest_Only),0,Q312)</f>
        <v>0</v>
      </c>
      <c r="N313" s="78">
        <f t="shared" si="109"/>
        <v>0</v>
      </c>
      <c r="O313" s="78">
        <f>IFERROR(IF(K313=0,0, PPMT(NEW_I_Adj,'Loan Amort Table'!K313,NEW_Amort_Periods,NEW_Orig_Loan_Amount)),0)</f>
        <v>0</v>
      </c>
      <c r="P313" s="78">
        <f>IFERROR(IF(NEW_Amort = 0, -M313* NEW_I_Adj,IPMT(NEW_I_Adj,IF(K313 = 0, 1, K313),NEW_Amort_Periods,NEW_Orig_Loan_Amount)),0)</f>
        <v>0</v>
      </c>
      <c r="Q313" s="78">
        <f t="shared" si="110"/>
        <v>0</v>
      </c>
      <c r="S313">
        <f t="shared" si="103"/>
        <v>26</v>
      </c>
      <c r="T313">
        <f t="shared" si="111"/>
        <v>308</v>
      </c>
      <c r="U313" s="49">
        <f t="shared" si="116"/>
        <v>9345</v>
      </c>
      <c r="V313" s="78">
        <f t="shared" si="112"/>
        <v>0</v>
      </c>
      <c r="W313" s="78">
        <f t="shared" ca="1" si="117"/>
        <v>0</v>
      </c>
      <c r="X313" s="78">
        <f>IFERROR(IF(OR(T313=0, U313&gt;=Refi_Origination_Date),0, PPMT(Mezz_I_Adj,'Loan Amort Table'!T313,Mezz_Amort_Periods,Mezz_Orig_Loan_Amount)),0)</f>
        <v>0</v>
      </c>
      <c r="Y313" s="78" cm="1">
        <f t="array" aca="1" ref="Y313" ca="1">IFERROR(_xlfn.IFS(U313&gt;=Refi_Origination_Date,0, Mezz_Amort = 0, -V313 * Mezz_I_Adj, 1, IPMT(Mezz_I_Adj,IF(T313 = 0, 1, T313),Mezz_Amort_Periods,Mezz_Orig_Loan_Amount)),0)</f>
        <v>0</v>
      </c>
      <c r="Z313" s="78">
        <f t="shared" si="118"/>
        <v>0</v>
      </c>
      <c r="AB313">
        <f t="shared" si="104"/>
        <v>26</v>
      </c>
      <c r="AC313">
        <f t="shared" si="113"/>
        <v>308</v>
      </c>
      <c r="AD313" s="49">
        <f t="shared" si="119"/>
        <v>9345</v>
      </c>
      <c r="AE313" s="78">
        <f t="shared" si="114"/>
        <v>0</v>
      </c>
      <c r="AF313" s="78">
        <f t="shared" ca="1" si="120"/>
        <v>0</v>
      </c>
      <c r="AG313" s="78">
        <f ca="1">IFERROR(IF(AC313=0,0, PPMT(Refi_I_Adj,'Loan Amort Table'!AC313,Refi_Amort_Periods,Refi_Orig_Loan_Amount)),0)</f>
        <v>0</v>
      </c>
      <c r="AH313" s="78">
        <f t="shared" ca="1" si="105"/>
        <v>0</v>
      </c>
      <c r="AI313" s="78">
        <f t="shared" ca="1" si="121"/>
        <v>0</v>
      </c>
    </row>
    <row r="314" spans="1:35" x14ac:dyDescent="0.25">
      <c r="A314">
        <f t="shared" si="101"/>
        <v>26</v>
      </c>
      <c r="B314">
        <f t="shared" si="106"/>
        <v>309</v>
      </c>
      <c r="C314" s="49">
        <f t="shared" si="123"/>
        <v>9376</v>
      </c>
      <c r="D314" s="78">
        <f>IF(C314&gt;EDATE(DATE(YEAR(SED_Origination_Date)+ SED_Amort, MONTH(SED_Origination_Date), DAY(SED_Origination_Date)),SED_Interest_Only),0,H313)</f>
        <v>0</v>
      </c>
      <c r="E314" s="78">
        <f t="shared" si="107"/>
        <v>0</v>
      </c>
      <c r="F314" s="78">
        <f>IFERROR(IF(OR(B314=0, C314&gt;=Refi_Origination_Date),0, PPMT(SED_I_Adj,'Loan Amort Table'!B314,SED_Amort_Periods,SED_Orig_Loan_Amount)),0)</f>
        <v>0</v>
      </c>
      <c r="G314" s="78" cm="1">
        <f t="array" ref="G314">IFERROR(_xlfn.IFS(C314&gt;=Refi_Origination_Date, 0, SED_Amort = 0, -D314 * SED_I_Adj, 1, IPMT(SED_I_Adj,IF(B314 = 0, 1, B314),SED_Amort_Periods,SED_Orig_Loan_Amount)),0)</f>
        <v>0</v>
      </c>
      <c r="H314" s="78">
        <f t="shared" si="122"/>
        <v>0</v>
      </c>
      <c r="J314">
        <f t="shared" si="102"/>
        <v>26</v>
      </c>
      <c r="K314">
        <f t="shared" si="108"/>
        <v>309</v>
      </c>
      <c r="L314" s="49">
        <f t="shared" si="115"/>
        <v>9376</v>
      </c>
      <c r="M314" s="78">
        <f>IF(L314&gt;EDATE(DATE(YEAR(NEW_Origination_Date)+ NEW_Amort, MONTH(NEW_Origination_Date), DAY(NEW_Origination_Date)),NEW_Interest_Only),0,Q313)</f>
        <v>0</v>
      </c>
      <c r="N314" s="78">
        <f t="shared" si="109"/>
        <v>0</v>
      </c>
      <c r="O314" s="78">
        <f>IFERROR(IF(K314=0,0, PPMT(NEW_I_Adj,'Loan Amort Table'!K314,NEW_Amort_Periods,NEW_Orig_Loan_Amount)),0)</f>
        <v>0</v>
      </c>
      <c r="P314" s="78">
        <f>IFERROR(IF(NEW_Amort = 0, -M314* NEW_I_Adj,IPMT(NEW_I_Adj,IF(K314 = 0, 1, K314),NEW_Amort_Periods,NEW_Orig_Loan_Amount)),0)</f>
        <v>0</v>
      </c>
      <c r="Q314" s="78">
        <f t="shared" si="110"/>
        <v>0</v>
      </c>
      <c r="S314">
        <f t="shared" si="103"/>
        <v>26</v>
      </c>
      <c r="T314">
        <f t="shared" si="111"/>
        <v>309</v>
      </c>
      <c r="U314" s="49">
        <f t="shared" si="116"/>
        <v>9376</v>
      </c>
      <c r="V314" s="78">
        <f t="shared" si="112"/>
        <v>0</v>
      </c>
      <c r="W314" s="78">
        <f t="shared" ca="1" si="117"/>
        <v>0</v>
      </c>
      <c r="X314" s="78">
        <f>IFERROR(IF(OR(T314=0, U314&gt;=Refi_Origination_Date),0, PPMT(Mezz_I_Adj,'Loan Amort Table'!T314,Mezz_Amort_Periods,Mezz_Orig_Loan_Amount)),0)</f>
        <v>0</v>
      </c>
      <c r="Y314" s="78" cm="1">
        <f t="array" aca="1" ref="Y314" ca="1">IFERROR(_xlfn.IFS(U314&gt;=Refi_Origination_Date,0, Mezz_Amort = 0, -V314 * Mezz_I_Adj, 1, IPMT(Mezz_I_Adj,IF(T314 = 0, 1, T314),Mezz_Amort_Periods,Mezz_Orig_Loan_Amount)),0)</f>
        <v>0</v>
      </c>
      <c r="Z314" s="78">
        <f t="shared" si="118"/>
        <v>0</v>
      </c>
      <c r="AB314">
        <f t="shared" si="104"/>
        <v>26</v>
      </c>
      <c r="AC314">
        <f t="shared" si="113"/>
        <v>309</v>
      </c>
      <c r="AD314" s="49">
        <f t="shared" si="119"/>
        <v>9376</v>
      </c>
      <c r="AE314" s="78">
        <f t="shared" si="114"/>
        <v>0</v>
      </c>
      <c r="AF314" s="78">
        <f t="shared" ca="1" si="120"/>
        <v>0</v>
      </c>
      <c r="AG314" s="78">
        <f ca="1">IFERROR(IF(AC314=0,0, PPMT(Refi_I_Adj,'Loan Amort Table'!AC314,Refi_Amort_Periods,Refi_Orig_Loan_Amount)),0)</f>
        <v>0</v>
      </c>
      <c r="AH314" s="78">
        <f t="shared" ca="1" si="105"/>
        <v>0</v>
      </c>
      <c r="AI314" s="78">
        <f t="shared" ca="1" si="121"/>
        <v>0</v>
      </c>
    </row>
    <row r="315" spans="1:35" x14ac:dyDescent="0.25">
      <c r="A315">
        <f t="shared" si="101"/>
        <v>26</v>
      </c>
      <c r="B315">
        <f t="shared" si="106"/>
        <v>310</v>
      </c>
      <c r="C315" s="49">
        <f t="shared" si="123"/>
        <v>9406</v>
      </c>
      <c r="D315" s="78">
        <f>IF(C315&gt;EDATE(DATE(YEAR(SED_Origination_Date)+ SED_Amort, MONTH(SED_Origination_Date), DAY(SED_Origination_Date)),SED_Interest_Only),0,H314)</f>
        <v>0</v>
      </c>
      <c r="E315" s="78">
        <f t="shared" si="107"/>
        <v>0</v>
      </c>
      <c r="F315" s="78">
        <f>IFERROR(IF(OR(B315=0, C315&gt;=Refi_Origination_Date),0, PPMT(SED_I_Adj,'Loan Amort Table'!B315,SED_Amort_Periods,SED_Orig_Loan_Amount)),0)</f>
        <v>0</v>
      </c>
      <c r="G315" s="78" cm="1">
        <f t="array" ref="G315">IFERROR(_xlfn.IFS(C315&gt;=Refi_Origination_Date, 0, SED_Amort = 0, -D315 * SED_I_Adj, 1, IPMT(SED_I_Adj,IF(B315 = 0, 1, B315),SED_Amort_Periods,SED_Orig_Loan_Amount)),0)</f>
        <v>0</v>
      </c>
      <c r="H315" s="78">
        <f t="shared" si="122"/>
        <v>0</v>
      </c>
      <c r="J315">
        <f t="shared" si="102"/>
        <v>26</v>
      </c>
      <c r="K315">
        <f t="shared" si="108"/>
        <v>310</v>
      </c>
      <c r="L315" s="49">
        <f t="shared" si="115"/>
        <v>9406</v>
      </c>
      <c r="M315" s="78">
        <f>IF(L315&gt;EDATE(DATE(YEAR(NEW_Origination_Date)+ NEW_Amort, MONTH(NEW_Origination_Date), DAY(NEW_Origination_Date)),NEW_Interest_Only),0,Q314)</f>
        <v>0</v>
      </c>
      <c r="N315" s="78">
        <f t="shared" si="109"/>
        <v>0</v>
      </c>
      <c r="O315" s="78">
        <f>IFERROR(IF(K315=0,0, PPMT(NEW_I_Adj,'Loan Amort Table'!K315,NEW_Amort_Periods,NEW_Orig_Loan_Amount)),0)</f>
        <v>0</v>
      </c>
      <c r="P315" s="78">
        <f>IFERROR(IF(NEW_Amort = 0, -M315* NEW_I_Adj,IPMT(NEW_I_Adj,IF(K315 = 0, 1, K315),NEW_Amort_Periods,NEW_Orig_Loan_Amount)),0)</f>
        <v>0</v>
      </c>
      <c r="Q315" s="78">
        <f t="shared" si="110"/>
        <v>0</v>
      </c>
      <c r="S315">
        <f t="shared" si="103"/>
        <v>26</v>
      </c>
      <c r="T315">
        <f t="shared" si="111"/>
        <v>310</v>
      </c>
      <c r="U315" s="49">
        <f t="shared" si="116"/>
        <v>9406</v>
      </c>
      <c r="V315" s="78">
        <f t="shared" si="112"/>
        <v>0</v>
      </c>
      <c r="W315" s="78">
        <f t="shared" ca="1" si="117"/>
        <v>0</v>
      </c>
      <c r="X315" s="78">
        <f>IFERROR(IF(OR(T315=0, U315&gt;=Refi_Origination_Date),0, PPMT(Mezz_I_Adj,'Loan Amort Table'!T315,Mezz_Amort_Periods,Mezz_Orig_Loan_Amount)),0)</f>
        <v>0</v>
      </c>
      <c r="Y315" s="78" cm="1">
        <f t="array" aca="1" ref="Y315" ca="1">IFERROR(_xlfn.IFS(U315&gt;=Refi_Origination_Date,0, Mezz_Amort = 0, -V315 * Mezz_I_Adj, 1, IPMT(Mezz_I_Adj,IF(T315 = 0, 1, T315),Mezz_Amort_Periods,Mezz_Orig_Loan_Amount)),0)</f>
        <v>0</v>
      </c>
      <c r="Z315" s="78">
        <f t="shared" si="118"/>
        <v>0</v>
      </c>
      <c r="AB315">
        <f t="shared" si="104"/>
        <v>26</v>
      </c>
      <c r="AC315">
        <f t="shared" si="113"/>
        <v>310</v>
      </c>
      <c r="AD315" s="49">
        <f t="shared" si="119"/>
        <v>9406</v>
      </c>
      <c r="AE315" s="78">
        <f t="shared" si="114"/>
        <v>0</v>
      </c>
      <c r="AF315" s="78">
        <f t="shared" ca="1" si="120"/>
        <v>0</v>
      </c>
      <c r="AG315" s="78">
        <f ca="1">IFERROR(IF(AC315=0,0, PPMT(Refi_I_Adj,'Loan Amort Table'!AC315,Refi_Amort_Periods,Refi_Orig_Loan_Amount)),0)</f>
        <v>0</v>
      </c>
      <c r="AH315" s="78">
        <f t="shared" ca="1" si="105"/>
        <v>0</v>
      </c>
      <c r="AI315" s="78">
        <f t="shared" ca="1" si="121"/>
        <v>0</v>
      </c>
    </row>
    <row r="316" spans="1:35" x14ac:dyDescent="0.25">
      <c r="A316">
        <f t="shared" si="101"/>
        <v>26</v>
      </c>
      <c r="B316">
        <f t="shared" si="106"/>
        <v>311</v>
      </c>
      <c r="C316" s="49">
        <f t="shared" si="123"/>
        <v>9437</v>
      </c>
      <c r="D316" s="78">
        <f>IF(C316&gt;EDATE(DATE(YEAR(SED_Origination_Date)+ SED_Amort, MONTH(SED_Origination_Date), DAY(SED_Origination_Date)),SED_Interest_Only),0,H315)</f>
        <v>0</v>
      </c>
      <c r="E316" s="78">
        <f t="shared" si="107"/>
        <v>0</v>
      </c>
      <c r="F316" s="78">
        <f>IFERROR(IF(OR(B316=0, C316&gt;=Refi_Origination_Date),0, PPMT(SED_I_Adj,'Loan Amort Table'!B316,SED_Amort_Periods,SED_Orig_Loan_Amount)),0)</f>
        <v>0</v>
      </c>
      <c r="G316" s="78" cm="1">
        <f t="array" ref="G316">IFERROR(_xlfn.IFS(C316&gt;=Refi_Origination_Date, 0, SED_Amort = 0, -D316 * SED_I_Adj, 1, IPMT(SED_I_Adj,IF(B316 = 0, 1, B316),SED_Amort_Periods,SED_Orig_Loan_Amount)),0)</f>
        <v>0</v>
      </c>
      <c r="H316" s="78">
        <f t="shared" si="122"/>
        <v>0</v>
      </c>
      <c r="J316">
        <f t="shared" si="102"/>
        <v>26</v>
      </c>
      <c r="K316">
        <f t="shared" si="108"/>
        <v>311</v>
      </c>
      <c r="L316" s="49">
        <f t="shared" si="115"/>
        <v>9437</v>
      </c>
      <c r="M316" s="78">
        <f>IF(L316&gt;EDATE(DATE(YEAR(NEW_Origination_Date)+ NEW_Amort, MONTH(NEW_Origination_Date), DAY(NEW_Origination_Date)),NEW_Interest_Only),0,Q315)</f>
        <v>0</v>
      </c>
      <c r="N316" s="78">
        <f t="shared" si="109"/>
        <v>0</v>
      </c>
      <c r="O316" s="78">
        <f>IFERROR(IF(K316=0,0, PPMT(NEW_I_Adj,'Loan Amort Table'!K316,NEW_Amort_Periods,NEW_Orig_Loan_Amount)),0)</f>
        <v>0</v>
      </c>
      <c r="P316" s="78">
        <f>IFERROR(IF(NEW_Amort = 0, -M316* NEW_I_Adj,IPMT(NEW_I_Adj,IF(K316 = 0, 1, K316),NEW_Amort_Periods,NEW_Orig_Loan_Amount)),0)</f>
        <v>0</v>
      </c>
      <c r="Q316" s="78">
        <f t="shared" si="110"/>
        <v>0</v>
      </c>
      <c r="S316">
        <f t="shared" si="103"/>
        <v>26</v>
      </c>
      <c r="T316">
        <f t="shared" si="111"/>
        <v>311</v>
      </c>
      <c r="U316" s="49">
        <f t="shared" si="116"/>
        <v>9437</v>
      </c>
      <c r="V316" s="78">
        <f t="shared" si="112"/>
        <v>0</v>
      </c>
      <c r="W316" s="78">
        <f t="shared" ca="1" si="117"/>
        <v>0</v>
      </c>
      <c r="X316" s="78">
        <f>IFERROR(IF(OR(T316=0, U316&gt;=Refi_Origination_Date),0, PPMT(Mezz_I_Adj,'Loan Amort Table'!T316,Mezz_Amort_Periods,Mezz_Orig_Loan_Amount)),0)</f>
        <v>0</v>
      </c>
      <c r="Y316" s="78" cm="1">
        <f t="array" aca="1" ref="Y316" ca="1">IFERROR(_xlfn.IFS(U316&gt;=Refi_Origination_Date,0, Mezz_Amort = 0, -V316 * Mezz_I_Adj, 1, IPMT(Mezz_I_Adj,IF(T316 = 0, 1, T316),Mezz_Amort_Periods,Mezz_Orig_Loan_Amount)),0)</f>
        <v>0</v>
      </c>
      <c r="Z316" s="78">
        <f t="shared" si="118"/>
        <v>0</v>
      </c>
      <c r="AB316">
        <f t="shared" si="104"/>
        <v>26</v>
      </c>
      <c r="AC316">
        <f t="shared" si="113"/>
        <v>311</v>
      </c>
      <c r="AD316" s="49">
        <f t="shared" si="119"/>
        <v>9437</v>
      </c>
      <c r="AE316" s="78">
        <f t="shared" si="114"/>
        <v>0</v>
      </c>
      <c r="AF316" s="78">
        <f t="shared" ca="1" si="120"/>
        <v>0</v>
      </c>
      <c r="AG316" s="78">
        <f ca="1">IFERROR(IF(AC316=0,0, PPMT(Refi_I_Adj,'Loan Amort Table'!AC316,Refi_Amort_Periods,Refi_Orig_Loan_Amount)),0)</f>
        <v>0</v>
      </c>
      <c r="AH316" s="78">
        <f t="shared" ca="1" si="105"/>
        <v>0</v>
      </c>
      <c r="AI316" s="78">
        <f t="shared" ca="1" si="121"/>
        <v>0</v>
      </c>
    </row>
    <row r="317" spans="1:35" x14ac:dyDescent="0.25">
      <c r="A317">
        <f t="shared" si="101"/>
        <v>26</v>
      </c>
      <c r="B317">
        <f t="shared" si="106"/>
        <v>312</v>
      </c>
      <c r="C317" s="49">
        <f t="shared" si="123"/>
        <v>9467</v>
      </c>
      <c r="D317" s="78">
        <f>IF(C317&gt;EDATE(DATE(YEAR(SED_Origination_Date)+ SED_Amort, MONTH(SED_Origination_Date), DAY(SED_Origination_Date)),SED_Interest_Only),0,H316)</f>
        <v>0</v>
      </c>
      <c r="E317" s="78">
        <f t="shared" si="107"/>
        <v>0</v>
      </c>
      <c r="F317" s="78">
        <f>IFERROR(IF(OR(B317=0, C317&gt;=Refi_Origination_Date),0, PPMT(SED_I_Adj,'Loan Amort Table'!B317,SED_Amort_Periods,SED_Orig_Loan_Amount)),0)</f>
        <v>0</v>
      </c>
      <c r="G317" s="78" cm="1">
        <f t="array" ref="G317">IFERROR(_xlfn.IFS(C317&gt;=Refi_Origination_Date, 0, SED_Amort = 0, -D317 * SED_I_Adj, 1, IPMT(SED_I_Adj,IF(B317 = 0, 1, B317),SED_Amort_Periods,SED_Orig_Loan_Amount)),0)</f>
        <v>0</v>
      </c>
      <c r="H317" s="78">
        <f t="shared" si="122"/>
        <v>0</v>
      </c>
      <c r="J317">
        <f t="shared" si="102"/>
        <v>26</v>
      </c>
      <c r="K317">
        <f t="shared" si="108"/>
        <v>312</v>
      </c>
      <c r="L317" s="49">
        <f t="shared" si="115"/>
        <v>9467</v>
      </c>
      <c r="M317" s="78">
        <f>IF(L317&gt;EDATE(DATE(YEAR(NEW_Origination_Date)+ NEW_Amort, MONTH(NEW_Origination_Date), DAY(NEW_Origination_Date)),NEW_Interest_Only),0,Q316)</f>
        <v>0</v>
      </c>
      <c r="N317" s="78">
        <f t="shared" si="109"/>
        <v>0</v>
      </c>
      <c r="O317" s="78">
        <f>IFERROR(IF(K317=0,0, PPMT(NEW_I_Adj,'Loan Amort Table'!K317,NEW_Amort_Periods,NEW_Orig_Loan_Amount)),0)</f>
        <v>0</v>
      </c>
      <c r="P317" s="78">
        <f>IFERROR(IF(NEW_Amort = 0, -M317* NEW_I_Adj,IPMT(NEW_I_Adj,IF(K317 = 0, 1, K317),NEW_Amort_Periods,NEW_Orig_Loan_Amount)),0)</f>
        <v>0</v>
      </c>
      <c r="Q317" s="78">
        <f t="shared" si="110"/>
        <v>0</v>
      </c>
      <c r="S317">
        <f t="shared" si="103"/>
        <v>26</v>
      </c>
      <c r="T317">
        <f t="shared" si="111"/>
        <v>312</v>
      </c>
      <c r="U317" s="49">
        <f t="shared" si="116"/>
        <v>9467</v>
      </c>
      <c r="V317" s="78">
        <f t="shared" si="112"/>
        <v>0</v>
      </c>
      <c r="W317" s="78">
        <f t="shared" ca="1" si="117"/>
        <v>0</v>
      </c>
      <c r="X317" s="78">
        <f>IFERROR(IF(OR(T317=0, U317&gt;=Refi_Origination_Date),0, PPMT(Mezz_I_Adj,'Loan Amort Table'!T317,Mezz_Amort_Periods,Mezz_Orig_Loan_Amount)),0)</f>
        <v>0</v>
      </c>
      <c r="Y317" s="78" cm="1">
        <f t="array" aca="1" ref="Y317" ca="1">IFERROR(_xlfn.IFS(U317&gt;=Refi_Origination_Date,0, Mezz_Amort = 0, -V317 * Mezz_I_Adj, 1, IPMT(Mezz_I_Adj,IF(T317 = 0, 1, T317),Mezz_Amort_Periods,Mezz_Orig_Loan_Amount)),0)</f>
        <v>0</v>
      </c>
      <c r="Z317" s="78">
        <f t="shared" si="118"/>
        <v>0</v>
      </c>
      <c r="AB317">
        <f t="shared" si="104"/>
        <v>26</v>
      </c>
      <c r="AC317">
        <f t="shared" si="113"/>
        <v>312</v>
      </c>
      <c r="AD317" s="49">
        <f t="shared" si="119"/>
        <v>9467</v>
      </c>
      <c r="AE317" s="78">
        <f t="shared" si="114"/>
        <v>0</v>
      </c>
      <c r="AF317" s="78">
        <f t="shared" ca="1" si="120"/>
        <v>0</v>
      </c>
      <c r="AG317" s="78">
        <f ca="1">IFERROR(IF(AC317=0,0, PPMT(Refi_I_Adj,'Loan Amort Table'!AC317,Refi_Amort_Periods,Refi_Orig_Loan_Amount)),0)</f>
        <v>0</v>
      </c>
      <c r="AH317" s="78">
        <f t="shared" ca="1" si="105"/>
        <v>0</v>
      </c>
      <c r="AI317" s="78">
        <f t="shared" ca="1" si="121"/>
        <v>0</v>
      </c>
    </row>
    <row r="318" spans="1:35" x14ac:dyDescent="0.25">
      <c r="A318">
        <f t="shared" si="101"/>
        <v>27</v>
      </c>
      <c r="B318">
        <f t="shared" si="106"/>
        <v>313</v>
      </c>
      <c r="C318" s="49">
        <f t="shared" si="123"/>
        <v>9498</v>
      </c>
      <c r="D318" s="78">
        <f>IF(C318&gt;EDATE(DATE(YEAR(SED_Origination_Date)+ SED_Amort, MONTH(SED_Origination_Date), DAY(SED_Origination_Date)),SED_Interest_Only),0,H317)</f>
        <v>0</v>
      </c>
      <c r="E318" s="78">
        <f t="shared" si="107"/>
        <v>0</v>
      </c>
      <c r="F318" s="78">
        <f>IFERROR(IF(OR(B318=0, C318&gt;=Refi_Origination_Date),0, PPMT(SED_I_Adj,'Loan Amort Table'!B318,SED_Amort_Periods,SED_Orig_Loan_Amount)),0)</f>
        <v>0</v>
      </c>
      <c r="G318" s="78" cm="1">
        <f t="array" ref="G318">IFERROR(_xlfn.IFS(C318&gt;=Refi_Origination_Date, 0, SED_Amort = 0, -D318 * SED_I_Adj, 1, IPMT(SED_I_Adj,IF(B318 = 0, 1, B318),SED_Amort_Periods,SED_Orig_Loan_Amount)),0)</f>
        <v>0</v>
      </c>
      <c r="H318" s="78">
        <f t="shared" si="122"/>
        <v>0</v>
      </c>
      <c r="J318">
        <f t="shared" si="102"/>
        <v>27</v>
      </c>
      <c r="K318">
        <f t="shared" si="108"/>
        <v>313</v>
      </c>
      <c r="L318" s="49">
        <f t="shared" si="115"/>
        <v>9498</v>
      </c>
      <c r="M318" s="78">
        <f>IF(L318&gt;EDATE(DATE(YEAR(NEW_Origination_Date)+ NEW_Amort, MONTH(NEW_Origination_Date), DAY(NEW_Origination_Date)),NEW_Interest_Only),0,Q317)</f>
        <v>0</v>
      </c>
      <c r="N318" s="78">
        <f t="shared" si="109"/>
        <v>0</v>
      </c>
      <c r="O318" s="78">
        <f>IFERROR(IF(K318=0,0, PPMT(NEW_I_Adj,'Loan Amort Table'!K318,NEW_Amort_Periods,NEW_Orig_Loan_Amount)),0)</f>
        <v>0</v>
      </c>
      <c r="P318" s="78">
        <f>IFERROR(IF(NEW_Amort = 0, -M318* NEW_I_Adj,IPMT(NEW_I_Adj,IF(K318 = 0, 1, K318),NEW_Amort_Periods,NEW_Orig_Loan_Amount)),0)</f>
        <v>0</v>
      </c>
      <c r="Q318" s="78">
        <f t="shared" si="110"/>
        <v>0</v>
      </c>
      <c r="S318">
        <f t="shared" si="103"/>
        <v>27</v>
      </c>
      <c r="T318">
        <f t="shared" si="111"/>
        <v>313</v>
      </c>
      <c r="U318" s="49">
        <f t="shared" si="116"/>
        <v>9498</v>
      </c>
      <c r="V318" s="78">
        <f t="shared" si="112"/>
        <v>0</v>
      </c>
      <c r="W318" s="78">
        <f t="shared" ca="1" si="117"/>
        <v>0</v>
      </c>
      <c r="X318" s="78">
        <f>IFERROR(IF(OR(T318=0, U318&gt;=Refi_Origination_Date),0, PPMT(Mezz_I_Adj,'Loan Amort Table'!T318,Mezz_Amort_Periods,Mezz_Orig_Loan_Amount)),0)</f>
        <v>0</v>
      </c>
      <c r="Y318" s="78" cm="1">
        <f t="array" aca="1" ref="Y318" ca="1">IFERROR(_xlfn.IFS(U318&gt;=Refi_Origination_Date,0, Mezz_Amort = 0, -V318 * Mezz_I_Adj, 1, IPMT(Mezz_I_Adj,IF(T318 = 0, 1, T318),Mezz_Amort_Periods,Mezz_Orig_Loan_Amount)),0)</f>
        <v>0</v>
      </c>
      <c r="Z318" s="78">
        <f t="shared" si="118"/>
        <v>0</v>
      </c>
      <c r="AB318">
        <f t="shared" si="104"/>
        <v>27</v>
      </c>
      <c r="AC318">
        <f t="shared" si="113"/>
        <v>313</v>
      </c>
      <c r="AD318" s="49">
        <f t="shared" si="119"/>
        <v>9498</v>
      </c>
      <c r="AE318" s="78">
        <f t="shared" si="114"/>
        <v>0</v>
      </c>
      <c r="AF318" s="78">
        <f t="shared" ca="1" si="120"/>
        <v>0</v>
      </c>
      <c r="AG318" s="78">
        <f ca="1">IFERROR(IF(AC318=0,0, PPMT(Refi_I_Adj,'Loan Amort Table'!AC318,Refi_Amort_Periods,Refi_Orig_Loan_Amount)),0)</f>
        <v>0</v>
      </c>
      <c r="AH318" s="78">
        <f t="shared" ca="1" si="105"/>
        <v>0</v>
      </c>
      <c r="AI318" s="78">
        <f t="shared" ca="1" si="121"/>
        <v>0</v>
      </c>
    </row>
    <row r="319" spans="1:35" x14ac:dyDescent="0.25">
      <c r="A319">
        <f t="shared" si="101"/>
        <v>27</v>
      </c>
      <c r="B319">
        <f t="shared" si="106"/>
        <v>314</v>
      </c>
      <c r="C319" s="49">
        <f t="shared" si="123"/>
        <v>9529</v>
      </c>
      <c r="D319" s="78">
        <f>IF(C319&gt;EDATE(DATE(YEAR(SED_Origination_Date)+ SED_Amort, MONTH(SED_Origination_Date), DAY(SED_Origination_Date)),SED_Interest_Only),0,H318)</f>
        <v>0</v>
      </c>
      <c r="E319" s="78">
        <f t="shared" si="107"/>
        <v>0</v>
      </c>
      <c r="F319" s="78">
        <f>IFERROR(IF(OR(B319=0, C319&gt;=Refi_Origination_Date),0, PPMT(SED_I_Adj,'Loan Amort Table'!B319,SED_Amort_Periods,SED_Orig_Loan_Amount)),0)</f>
        <v>0</v>
      </c>
      <c r="G319" s="78" cm="1">
        <f t="array" ref="G319">IFERROR(_xlfn.IFS(C319&gt;=Refi_Origination_Date, 0, SED_Amort = 0, -D319 * SED_I_Adj, 1, IPMT(SED_I_Adj,IF(B319 = 0, 1, B319),SED_Amort_Periods,SED_Orig_Loan_Amount)),0)</f>
        <v>0</v>
      </c>
      <c r="H319" s="78">
        <f t="shared" si="122"/>
        <v>0</v>
      </c>
      <c r="J319">
        <f t="shared" si="102"/>
        <v>27</v>
      </c>
      <c r="K319">
        <f t="shared" si="108"/>
        <v>314</v>
      </c>
      <c r="L319" s="49">
        <f t="shared" si="115"/>
        <v>9529</v>
      </c>
      <c r="M319" s="78">
        <f>IF(L319&gt;EDATE(DATE(YEAR(NEW_Origination_Date)+ NEW_Amort, MONTH(NEW_Origination_Date), DAY(NEW_Origination_Date)),NEW_Interest_Only),0,Q318)</f>
        <v>0</v>
      </c>
      <c r="N319" s="78">
        <f t="shared" si="109"/>
        <v>0</v>
      </c>
      <c r="O319" s="78">
        <f>IFERROR(IF(K319=0,0, PPMT(NEW_I_Adj,'Loan Amort Table'!K319,NEW_Amort_Periods,NEW_Orig_Loan_Amount)),0)</f>
        <v>0</v>
      </c>
      <c r="P319" s="78">
        <f>IFERROR(IF(NEW_Amort = 0, -M319* NEW_I_Adj,IPMT(NEW_I_Adj,IF(K319 = 0, 1, K319),NEW_Amort_Periods,NEW_Orig_Loan_Amount)),0)</f>
        <v>0</v>
      </c>
      <c r="Q319" s="78">
        <f t="shared" si="110"/>
        <v>0</v>
      </c>
      <c r="S319">
        <f t="shared" si="103"/>
        <v>27</v>
      </c>
      <c r="T319">
        <f t="shared" si="111"/>
        <v>314</v>
      </c>
      <c r="U319" s="49">
        <f t="shared" si="116"/>
        <v>9529</v>
      </c>
      <c r="V319" s="78">
        <f t="shared" si="112"/>
        <v>0</v>
      </c>
      <c r="W319" s="78">
        <f t="shared" ca="1" si="117"/>
        <v>0</v>
      </c>
      <c r="X319" s="78">
        <f>IFERROR(IF(OR(T319=0, U319&gt;=Refi_Origination_Date),0, PPMT(Mezz_I_Adj,'Loan Amort Table'!T319,Mezz_Amort_Periods,Mezz_Orig_Loan_Amount)),0)</f>
        <v>0</v>
      </c>
      <c r="Y319" s="78" cm="1">
        <f t="array" aca="1" ref="Y319" ca="1">IFERROR(_xlfn.IFS(U319&gt;=Refi_Origination_Date,0, Mezz_Amort = 0, -V319 * Mezz_I_Adj, 1, IPMT(Mezz_I_Adj,IF(T319 = 0, 1, T319),Mezz_Amort_Periods,Mezz_Orig_Loan_Amount)),0)</f>
        <v>0</v>
      </c>
      <c r="Z319" s="78">
        <f t="shared" si="118"/>
        <v>0</v>
      </c>
      <c r="AB319">
        <f t="shared" si="104"/>
        <v>27</v>
      </c>
      <c r="AC319">
        <f t="shared" si="113"/>
        <v>314</v>
      </c>
      <c r="AD319" s="49">
        <f t="shared" si="119"/>
        <v>9529</v>
      </c>
      <c r="AE319" s="78">
        <f t="shared" si="114"/>
        <v>0</v>
      </c>
      <c r="AF319" s="78">
        <f t="shared" ca="1" si="120"/>
        <v>0</v>
      </c>
      <c r="AG319" s="78">
        <f ca="1">IFERROR(IF(AC319=0,0, PPMT(Refi_I_Adj,'Loan Amort Table'!AC319,Refi_Amort_Periods,Refi_Orig_Loan_Amount)),0)</f>
        <v>0</v>
      </c>
      <c r="AH319" s="78">
        <f t="shared" ca="1" si="105"/>
        <v>0</v>
      </c>
      <c r="AI319" s="78">
        <f t="shared" ca="1" si="121"/>
        <v>0</v>
      </c>
    </row>
    <row r="320" spans="1:35" x14ac:dyDescent="0.25">
      <c r="A320">
        <f t="shared" si="101"/>
        <v>27</v>
      </c>
      <c r="B320">
        <f t="shared" si="106"/>
        <v>315</v>
      </c>
      <c r="C320" s="49">
        <f t="shared" si="123"/>
        <v>9557</v>
      </c>
      <c r="D320" s="78">
        <f>IF(C320&gt;EDATE(DATE(YEAR(SED_Origination_Date)+ SED_Amort, MONTH(SED_Origination_Date), DAY(SED_Origination_Date)),SED_Interest_Only),0,H319)</f>
        <v>0</v>
      </c>
      <c r="E320" s="78">
        <f t="shared" si="107"/>
        <v>0</v>
      </c>
      <c r="F320" s="78">
        <f>IFERROR(IF(OR(B320=0, C320&gt;=Refi_Origination_Date),0, PPMT(SED_I_Adj,'Loan Amort Table'!B320,SED_Amort_Periods,SED_Orig_Loan_Amount)),0)</f>
        <v>0</v>
      </c>
      <c r="G320" s="78" cm="1">
        <f t="array" ref="G320">IFERROR(_xlfn.IFS(C320&gt;=Refi_Origination_Date, 0, SED_Amort = 0, -D320 * SED_I_Adj, 1, IPMT(SED_I_Adj,IF(B320 = 0, 1, B320),SED_Amort_Periods,SED_Orig_Loan_Amount)),0)</f>
        <v>0</v>
      </c>
      <c r="H320" s="78">
        <f t="shared" si="122"/>
        <v>0</v>
      </c>
      <c r="J320">
        <f t="shared" si="102"/>
        <v>27</v>
      </c>
      <c r="K320">
        <f t="shared" si="108"/>
        <v>315</v>
      </c>
      <c r="L320" s="49">
        <f t="shared" si="115"/>
        <v>9557</v>
      </c>
      <c r="M320" s="78">
        <f>IF(L320&gt;EDATE(DATE(YEAR(NEW_Origination_Date)+ NEW_Amort, MONTH(NEW_Origination_Date), DAY(NEW_Origination_Date)),NEW_Interest_Only),0,Q319)</f>
        <v>0</v>
      </c>
      <c r="N320" s="78">
        <f t="shared" si="109"/>
        <v>0</v>
      </c>
      <c r="O320" s="78">
        <f>IFERROR(IF(K320=0,0, PPMT(NEW_I_Adj,'Loan Amort Table'!K320,NEW_Amort_Periods,NEW_Orig_Loan_Amount)),0)</f>
        <v>0</v>
      </c>
      <c r="P320" s="78">
        <f>IFERROR(IF(NEW_Amort = 0, -M320* NEW_I_Adj,IPMT(NEW_I_Adj,IF(K320 = 0, 1, K320),NEW_Amort_Periods,NEW_Orig_Loan_Amount)),0)</f>
        <v>0</v>
      </c>
      <c r="Q320" s="78">
        <f t="shared" si="110"/>
        <v>0</v>
      </c>
      <c r="S320">
        <f t="shared" si="103"/>
        <v>27</v>
      </c>
      <c r="T320">
        <f t="shared" si="111"/>
        <v>315</v>
      </c>
      <c r="U320" s="49">
        <f t="shared" si="116"/>
        <v>9557</v>
      </c>
      <c r="V320" s="78">
        <f t="shared" si="112"/>
        <v>0</v>
      </c>
      <c r="W320" s="78">
        <f t="shared" ca="1" si="117"/>
        <v>0</v>
      </c>
      <c r="X320" s="78">
        <f>IFERROR(IF(OR(T320=0, U320&gt;=Refi_Origination_Date),0, PPMT(Mezz_I_Adj,'Loan Amort Table'!T320,Mezz_Amort_Periods,Mezz_Orig_Loan_Amount)),0)</f>
        <v>0</v>
      </c>
      <c r="Y320" s="78" cm="1">
        <f t="array" aca="1" ref="Y320" ca="1">IFERROR(_xlfn.IFS(U320&gt;=Refi_Origination_Date,0, Mezz_Amort = 0, -V320 * Mezz_I_Adj, 1, IPMT(Mezz_I_Adj,IF(T320 = 0, 1, T320),Mezz_Amort_Periods,Mezz_Orig_Loan_Amount)),0)</f>
        <v>0</v>
      </c>
      <c r="Z320" s="78">
        <f t="shared" si="118"/>
        <v>0</v>
      </c>
      <c r="AB320">
        <f t="shared" si="104"/>
        <v>27</v>
      </c>
      <c r="AC320">
        <f t="shared" si="113"/>
        <v>315</v>
      </c>
      <c r="AD320" s="49">
        <f t="shared" si="119"/>
        <v>9557</v>
      </c>
      <c r="AE320" s="78">
        <f t="shared" si="114"/>
        <v>0</v>
      </c>
      <c r="AF320" s="78">
        <f t="shared" ca="1" si="120"/>
        <v>0</v>
      </c>
      <c r="AG320" s="78">
        <f ca="1">IFERROR(IF(AC320=0,0, PPMT(Refi_I_Adj,'Loan Amort Table'!AC320,Refi_Amort_Periods,Refi_Orig_Loan_Amount)),0)</f>
        <v>0</v>
      </c>
      <c r="AH320" s="78">
        <f t="shared" ca="1" si="105"/>
        <v>0</v>
      </c>
      <c r="AI320" s="78">
        <f t="shared" ca="1" si="121"/>
        <v>0</v>
      </c>
    </row>
    <row r="321" spans="1:35" x14ac:dyDescent="0.25">
      <c r="A321">
        <f t="shared" si="101"/>
        <v>27</v>
      </c>
      <c r="B321">
        <f t="shared" si="106"/>
        <v>316</v>
      </c>
      <c r="C321" s="49">
        <f t="shared" si="123"/>
        <v>9588</v>
      </c>
      <c r="D321" s="78">
        <f>IF(C321&gt;EDATE(DATE(YEAR(SED_Origination_Date)+ SED_Amort, MONTH(SED_Origination_Date), DAY(SED_Origination_Date)),SED_Interest_Only),0,H320)</f>
        <v>0</v>
      </c>
      <c r="E321" s="78">
        <f t="shared" si="107"/>
        <v>0</v>
      </c>
      <c r="F321" s="78">
        <f>IFERROR(IF(OR(B321=0, C321&gt;=Refi_Origination_Date),0, PPMT(SED_I_Adj,'Loan Amort Table'!B321,SED_Amort_Periods,SED_Orig_Loan_Amount)),0)</f>
        <v>0</v>
      </c>
      <c r="G321" s="78" cm="1">
        <f t="array" ref="G321">IFERROR(_xlfn.IFS(C321&gt;=Refi_Origination_Date, 0, SED_Amort = 0, -D321 * SED_I_Adj, 1, IPMT(SED_I_Adj,IF(B321 = 0, 1, B321),SED_Amort_Periods,SED_Orig_Loan_Amount)),0)</f>
        <v>0</v>
      </c>
      <c r="H321" s="78">
        <f t="shared" si="122"/>
        <v>0</v>
      </c>
      <c r="J321">
        <f t="shared" si="102"/>
        <v>27</v>
      </c>
      <c r="K321">
        <f t="shared" si="108"/>
        <v>316</v>
      </c>
      <c r="L321" s="49">
        <f t="shared" si="115"/>
        <v>9588</v>
      </c>
      <c r="M321" s="78">
        <f>IF(L321&gt;EDATE(DATE(YEAR(NEW_Origination_Date)+ NEW_Amort, MONTH(NEW_Origination_Date), DAY(NEW_Origination_Date)),NEW_Interest_Only),0,Q320)</f>
        <v>0</v>
      </c>
      <c r="N321" s="78">
        <f t="shared" si="109"/>
        <v>0</v>
      </c>
      <c r="O321" s="78">
        <f>IFERROR(IF(K321=0,0, PPMT(NEW_I_Adj,'Loan Amort Table'!K321,NEW_Amort_Periods,NEW_Orig_Loan_Amount)),0)</f>
        <v>0</v>
      </c>
      <c r="P321" s="78">
        <f>IFERROR(IF(NEW_Amort = 0, -M321* NEW_I_Adj,IPMT(NEW_I_Adj,IF(K321 = 0, 1, K321),NEW_Amort_Periods,NEW_Orig_Loan_Amount)),0)</f>
        <v>0</v>
      </c>
      <c r="Q321" s="78">
        <f t="shared" si="110"/>
        <v>0</v>
      </c>
      <c r="S321">
        <f t="shared" si="103"/>
        <v>27</v>
      </c>
      <c r="T321">
        <f t="shared" si="111"/>
        <v>316</v>
      </c>
      <c r="U321" s="49">
        <f t="shared" si="116"/>
        <v>9588</v>
      </c>
      <c r="V321" s="78">
        <f t="shared" si="112"/>
        <v>0</v>
      </c>
      <c r="W321" s="78">
        <f t="shared" ca="1" si="117"/>
        <v>0</v>
      </c>
      <c r="X321" s="78">
        <f>IFERROR(IF(OR(T321=0, U321&gt;=Refi_Origination_Date),0, PPMT(Mezz_I_Adj,'Loan Amort Table'!T321,Mezz_Amort_Periods,Mezz_Orig_Loan_Amount)),0)</f>
        <v>0</v>
      </c>
      <c r="Y321" s="78" cm="1">
        <f t="array" aca="1" ref="Y321" ca="1">IFERROR(_xlfn.IFS(U321&gt;=Refi_Origination_Date,0, Mezz_Amort = 0, -V321 * Mezz_I_Adj, 1, IPMT(Mezz_I_Adj,IF(T321 = 0, 1, T321),Mezz_Amort_Periods,Mezz_Orig_Loan_Amount)),0)</f>
        <v>0</v>
      </c>
      <c r="Z321" s="78">
        <f t="shared" si="118"/>
        <v>0</v>
      </c>
      <c r="AB321">
        <f t="shared" si="104"/>
        <v>27</v>
      </c>
      <c r="AC321">
        <f t="shared" si="113"/>
        <v>316</v>
      </c>
      <c r="AD321" s="49">
        <f t="shared" si="119"/>
        <v>9588</v>
      </c>
      <c r="AE321" s="78">
        <f t="shared" si="114"/>
        <v>0</v>
      </c>
      <c r="AF321" s="78">
        <f t="shared" ca="1" si="120"/>
        <v>0</v>
      </c>
      <c r="AG321" s="78">
        <f ca="1">IFERROR(IF(AC321=0,0, PPMT(Refi_I_Adj,'Loan Amort Table'!AC321,Refi_Amort_Periods,Refi_Orig_Loan_Amount)),0)</f>
        <v>0</v>
      </c>
      <c r="AH321" s="78">
        <f t="shared" ca="1" si="105"/>
        <v>0</v>
      </c>
      <c r="AI321" s="78">
        <f t="shared" ca="1" si="121"/>
        <v>0</v>
      </c>
    </row>
    <row r="322" spans="1:35" x14ac:dyDescent="0.25">
      <c r="A322">
        <f t="shared" si="101"/>
        <v>27</v>
      </c>
      <c r="B322">
        <f t="shared" si="106"/>
        <v>317</v>
      </c>
      <c r="C322" s="49">
        <f t="shared" si="123"/>
        <v>9618</v>
      </c>
      <c r="D322" s="78">
        <f>IF(C322&gt;EDATE(DATE(YEAR(SED_Origination_Date)+ SED_Amort, MONTH(SED_Origination_Date), DAY(SED_Origination_Date)),SED_Interest_Only),0,H321)</f>
        <v>0</v>
      </c>
      <c r="E322" s="78">
        <f t="shared" si="107"/>
        <v>0</v>
      </c>
      <c r="F322" s="78">
        <f>IFERROR(IF(OR(B322=0, C322&gt;=Refi_Origination_Date),0, PPMT(SED_I_Adj,'Loan Amort Table'!B322,SED_Amort_Periods,SED_Orig_Loan_Amount)),0)</f>
        <v>0</v>
      </c>
      <c r="G322" s="78" cm="1">
        <f t="array" ref="G322">IFERROR(_xlfn.IFS(C322&gt;=Refi_Origination_Date, 0, SED_Amort = 0, -D322 * SED_I_Adj, 1, IPMT(SED_I_Adj,IF(B322 = 0, 1, B322),SED_Amort_Periods,SED_Orig_Loan_Amount)),0)</f>
        <v>0</v>
      </c>
      <c r="H322" s="78">
        <f t="shared" si="122"/>
        <v>0</v>
      </c>
      <c r="J322">
        <f t="shared" si="102"/>
        <v>27</v>
      </c>
      <c r="K322">
        <f t="shared" si="108"/>
        <v>317</v>
      </c>
      <c r="L322" s="49">
        <f t="shared" si="115"/>
        <v>9618</v>
      </c>
      <c r="M322" s="78">
        <f>IF(L322&gt;EDATE(DATE(YEAR(NEW_Origination_Date)+ NEW_Amort, MONTH(NEW_Origination_Date), DAY(NEW_Origination_Date)),NEW_Interest_Only),0,Q321)</f>
        <v>0</v>
      </c>
      <c r="N322" s="78">
        <f t="shared" si="109"/>
        <v>0</v>
      </c>
      <c r="O322" s="78">
        <f>IFERROR(IF(K322=0,0, PPMT(NEW_I_Adj,'Loan Amort Table'!K322,NEW_Amort_Periods,NEW_Orig_Loan_Amount)),0)</f>
        <v>0</v>
      </c>
      <c r="P322" s="78">
        <f>IFERROR(IF(NEW_Amort = 0, -M322* NEW_I_Adj,IPMT(NEW_I_Adj,IF(K322 = 0, 1, K322),NEW_Amort_Periods,NEW_Orig_Loan_Amount)),0)</f>
        <v>0</v>
      </c>
      <c r="Q322" s="78">
        <f t="shared" si="110"/>
        <v>0</v>
      </c>
      <c r="S322">
        <f t="shared" si="103"/>
        <v>27</v>
      </c>
      <c r="T322">
        <f t="shared" si="111"/>
        <v>317</v>
      </c>
      <c r="U322" s="49">
        <f t="shared" si="116"/>
        <v>9618</v>
      </c>
      <c r="V322" s="78">
        <f t="shared" si="112"/>
        <v>0</v>
      </c>
      <c r="W322" s="78">
        <f t="shared" ca="1" si="117"/>
        <v>0</v>
      </c>
      <c r="X322" s="78">
        <f>IFERROR(IF(OR(T322=0, U322&gt;=Refi_Origination_Date),0, PPMT(Mezz_I_Adj,'Loan Amort Table'!T322,Mezz_Amort_Periods,Mezz_Orig_Loan_Amount)),0)</f>
        <v>0</v>
      </c>
      <c r="Y322" s="78" cm="1">
        <f t="array" aca="1" ref="Y322" ca="1">IFERROR(_xlfn.IFS(U322&gt;=Refi_Origination_Date,0, Mezz_Amort = 0, -V322 * Mezz_I_Adj, 1, IPMT(Mezz_I_Adj,IF(T322 = 0, 1, T322),Mezz_Amort_Periods,Mezz_Orig_Loan_Amount)),0)</f>
        <v>0</v>
      </c>
      <c r="Z322" s="78">
        <f t="shared" si="118"/>
        <v>0</v>
      </c>
      <c r="AB322">
        <f t="shared" si="104"/>
        <v>27</v>
      </c>
      <c r="AC322">
        <f t="shared" si="113"/>
        <v>317</v>
      </c>
      <c r="AD322" s="49">
        <f t="shared" si="119"/>
        <v>9618</v>
      </c>
      <c r="AE322" s="78">
        <f t="shared" si="114"/>
        <v>0</v>
      </c>
      <c r="AF322" s="78">
        <f t="shared" ca="1" si="120"/>
        <v>0</v>
      </c>
      <c r="AG322" s="78">
        <f ca="1">IFERROR(IF(AC322=0,0, PPMT(Refi_I_Adj,'Loan Amort Table'!AC322,Refi_Amort_Periods,Refi_Orig_Loan_Amount)),0)</f>
        <v>0</v>
      </c>
      <c r="AH322" s="78">
        <f t="shared" ca="1" si="105"/>
        <v>0</v>
      </c>
      <c r="AI322" s="78">
        <f t="shared" ca="1" si="121"/>
        <v>0</v>
      </c>
    </row>
    <row r="323" spans="1:35" x14ac:dyDescent="0.25">
      <c r="A323">
        <f t="shared" si="101"/>
        <v>27</v>
      </c>
      <c r="B323">
        <f t="shared" si="106"/>
        <v>318</v>
      </c>
      <c r="C323" s="49">
        <f t="shared" si="123"/>
        <v>9649</v>
      </c>
      <c r="D323" s="78">
        <f>IF(C323&gt;EDATE(DATE(YEAR(SED_Origination_Date)+ SED_Amort, MONTH(SED_Origination_Date), DAY(SED_Origination_Date)),SED_Interest_Only),0,H322)</f>
        <v>0</v>
      </c>
      <c r="E323" s="78">
        <f t="shared" si="107"/>
        <v>0</v>
      </c>
      <c r="F323" s="78">
        <f>IFERROR(IF(OR(B323=0, C323&gt;=Refi_Origination_Date),0, PPMT(SED_I_Adj,'Loan Amort Table'!B323,SED_Amort_Periods,SED_Orig_Loan_Amount)),0)</f>
        <v>0</v>
      </c>
      <c r="G323" s="78" cm="1">
        <f t="array" ref="G323">IFERROR(_xlfn.IFS(C323&gt;=Refi_Origination_Date, 0, SED_Amort = 0, -D323 * SED_I_Adj, 1, IPMT(SED_I_Adj,IF(B323 = 0, 1, B323),SED_Amort_Periods,SED_Orig_Loan_Amount)),0)</f>
        <v>0</v>
      </c>
      <c r="H323" s="78">
        <f t="shared" si="122"/>
        <v>0</v>
      </c>
      <c r="J323">
        <f t="shared" si="102"/>
        <v>27</v>
      </c>
      <c r="K323">
        <f t="shared" si="108"/>
        <v>318</v>
      </c>
      <c r="L323" s="49">
        <f t="shared" si="115"/>
        <v>9649</v>
      </c>
      <c r="M323" s="78">
        <f>IF(L323&gt;EDATE(DATE(YEAR(NEW_Origination_Date)+ NEW_Amort, MONTH(NEW_Origination_Date), DAY(NEW_Origination_Date)),NEW_Interest_Only),0,Q322)</f>
        <v>0</v>
      </c>
      <c r="N323" s="78">
        <f t="shared" si="109"/>
        <v>0</v>
      </c>
      <c r="O323" s="78">
        <f>IFERROR(IF(K323=0,0, PPMT(NEW_I_Adj,'Loan Amort Table'!K323,NEW_Amort_Periods,NEW_Orig_Loan_Amount)),0)</f>
        <v>0</v>
      </c>
      <c r="P323" s="78">
        <f>IFERROR(IF(NEW_Amort = 0, -M323* NEW_I_Adj,IPMT(NEW_I_Adj,IF(K323 = 0, 1, K323),NEW_Amort_Periods,NEW_Orig_Loan_Amount)),0)</f>
        <v>0</v>
      </c>
      <c r="Q323" s="78">
        <f t="shared" si="110"/>
        <v>0</v>
      </c>
      <c r="S323">
        <f t="shared" si="103"/>
        <v>27</v>
      </c>
      <c r="T323">
        <f t="shared" si="111"/>
        <v>318</v>
      </c>
      <c r="U323" s="49">
        <f t="shared" si="116"/>
        <v>9649</v>
      </c>
      <c r="V323" s="78">
        <f t="shared" si="112"/>
        <v>0</v>
      </c>
      <c r="W323" s="78">
        <f t="shared" ca="1" si="117"/>
        <v>0</v>
      </c>
      <c r="X323" s="78">
        <f>IFERROR(IF(OR(T323=0, U323&gt;=Refi_Origination_Date),0, PPMT(Mezz_I_Adj,'Loan Amort Table'!T323,Mezz_Amort_Periods,Mezz_Orig_Loan_Amount)),0)</f>
        <v>0</v>
      </c>
      <c r="Y323" s="78" cm="1">
        <f t="array" aca="1" ref="Y323" ca="1">IFERROR(_xlfn.IFS(U323&gt;=Refi_Origination_Date,0, Mezz_Amort = 0, -V323 * Mezz_I_Adj, 1, IPMT(Mezz_I_Adj,IF(T323 = 0, 1, T323),Mezz_Amort_Periods,Mezz_Orig_Loan_Amount)),0)</f>
        <v>0</v>
      </c>
      <c r="Z323" s="78">
        <f t="shared" si="118"/>
        <v>0</v>
      </c>
      <c r="AB323">
        <f t="shared" si="104"/>
        <v>27</v>
      </c>
      <c r="AC323">
        <f t="shared" si="113"/>
        <v>318</v>
      </c>
      <c r="AD323" s="49">
        <f t="shared" si="119"/>
        <v>9649</v>
      </c>
      <c r="AE323" s="78">
        <f t="shared" si="114"/>
        <v>0</v>
      </c>
      <c r="AF323" s="78">
        <f t="shared" ca="1" si="120"/>
        <v>0</v>
      </c>
      <c r="AG323" s="78">
        <f ca="1">IFERROR(IF(AC323=0,0, PPMT(Refi_I_Adj,'Loan Amort Table'!AC323,Refi_Amort_Periods,Refi_Orig_Loan_Amount)),0)</f>
        <v>0</v>
      </c>
      <c r="AH323" s="78">
        <f t="shared" ca="1" si="105"/>
        <v>0</v>
      </c>
      <c r="AI323" s="78">
        <f t="shared" ca="1" si="121"/>
        <v>0</v>
      </c>
    </row>
    <row r="324" spans="1:35" x14ac:dyDescent="0.25">
      <c r="A324">
        <f t="shared" si="101"/>
        <v>27</v>
      </c>
      <c r="B324">
        <f t="shared" si="106"/>
        <v>319</v>
      </c>
      <c r="C324" s="49">
        <f t="shared" si="123"/>
        <v>9679</v>
      </c>
      <c r="D324" s="78">
        <f>IF(C324&gt;EDATE(DATE(YEAR(SED_Origination_Date)+ SED_Amort, MONTH(SED_Origination_Date), DAY(SED_Origination_Date)),SED_Interest_Only),0,H323)</f>
        <v>0</v>
      </c>
      <c r="E324" s="78">
        <f t="shared" si="107"/>
        <v>0</v>
      </c>
      <c r="F324" s="78">
        <f>IFERROR(IF(OR(B324=0, C324&gt;=Refi_Origination_Date),0, PPMT(SED_I_Adj,'Loan Amort Table'!B324,SED_Amort_Periods,SED_Orig_Loan_Amount)),0)</f>
        <v>0</v>
      </c>
      <c r="G324" s="78" cm="1">
        <f t="array" ref="G324">IFERROR(_xlfn.IFS(C324&gt;=Refi_Origination_Date, 0, SED_Amort = 0, -D324 * SED_I_Adj, 1, IPMT(SED_I_Adj,IF(B324 = 0, 1, B324),SED_Amort_Periods,SED_Orig_Loan_Amount)),0)</f>
        <v>0</v>
      </c>
      <c r="H324" s="78">
        <f t="shared" si="122"/>
        <v>0</v>
      </c>
      <c r="J324">
        <f t="shared" si="102"/>
        <v>27</v>
      </c>
      <c r="K324">
        <f t="shared" si="108"/>
        <v>319</v>
      </c>
      <c r="L324" s="49">
        <f t="shared" si="115"/>
        <v>9679</v>
      </c>
      <c r="M324" s="78">
        <f>IF(L324&gt;EDATE(DATE(YEAR(NEW_Origination_Date)+ NEW_Amort, MONTH(NEW_Origination_Date), DAY(NEW_Origination_Date)),NEW_Interest_Only),0,Q323)</f>
        <v>0</v>
      </c>
      <c r="N324" s="78">
        <f t="shared" si="109"/>
        <v>0</v>
      </c>
      <c r="O324" s="78">
        <f>IFERROR(IF(K324=0,0, PPMT(NEW_I_Adj,'Loan Amort Table'!K324,NEW_Amort_Periods,NEW_Orig_Loan_Amount)),0)</f>
        <v>0</v>
      </c>
      <c r="P324" s="78">
        <f>IFERROR(IF(NEW_Amort = 0, -M324* NEW_I_Adj,IPMT(NEW_I_Adj,IF(K324 = 0, 1, K324),NEW_Amort_Periods,NEW_Orig_Loan_Amount)),0)</f>
        <v>0</v>
      </c>
      <c r="Q324" s="78">
        <f t="shared" si="110"/>
        <v>0</v>
      </c>
      <c r="S324">
        <f t="shared" si="103"/>
        <v>27</v>
      </c>
      <c r="T324">
        <f t="shared" si="111"/>
        <v>319</v>
      </c>
      <c r="U324" s="49">
        <f t="shared" si="116"/>
        <v>9679</v>
      </c>
      <c r="V324" s="78">
        <f t="shared" si="112"/>
        <v>0</v>
      </c>
      <c r="W324" s="78">
        <f t="shared" ca="1" si="117"/>
        <v>0</v>
      </c>
      <c r="X324" s="78">
        <f>IFERROR(IF(OR(T324=0, U324&gt;=Refi_Origination_Date),0, PPMT(Mezz_I_Adj,'Loan Amort Table'!T324,Mezz_Amort_Periods,Mezz_Orig_Loan_Amount)),0)</f>
        <v>0</v>
      </c>
      <c r="Y324" s="78" cm="1">
        <f t="array" aca="1" ref="Y324" ca="1">IFERROR(_xlfn.IFS(U324&gt;=Refi_Origination_Date,0, Mezz_Amort = 0, -V324 * Mezz_I_Adj, 1, IPMT(Mezz_I_Adj,IF(T324 = 0, 1, T324),Mezz_Amort_Periods,Mezz_Orig_Loan_Amount)),0)</f>
        <v>0</v>
      </c>
      <c r="Z324" s="78">
        <f t="shared" si="118"/>
        <v>0</v>
      </c>
      <c r="AB324">
        <f t="shared" si="104"/>
        <v>27</v>
      </c>
      <c r="AC324">
        <f t="shared" si="113"/>
        <v>319</v>
      </c>
      <c r="AD324" s="49">
        <f t="shared" si="119"/>
        <v>9679</v>
      </c>
      <c r="AE324" s="78">
        <f t="shared" si="114"/>
        <v>0</v>
      </c>
      <c r="AF324" s="78">
        <f t="shared" ca="1" si="120"/>
        <v>0</v>
      </c>
      <c r="AG324" s="78">
        <f ca="1">IFERROR(IF(AC324=0,0, PPMT(Refi_I_Adj,'Loan Amort Table'!AC324,Refi_Amort_Periods,Refi_Orig_Loan_Amount)),0)</f>
        <v>0</v>
      </c>
      <c r="AH324" s="78">
        <f t="shared" ca="1" si="105"/>
        <v>0</v>
      </c>
      <c r="AI324" s="78">
        <f t="shared" ca="1" si="121"/>
        <v>0</v>
      </c>
    </row>
    <row r="325" spans="1:35" x14ac:dyDescent="0.25">
      <c r="A325">
        <f t="shared" si="101"/>
        <v>27</v>
      </c>
      <c r="B325">
        <f t="shared" si="106"/>
        <v>320</v>
      </c>
      <c r="C325" s="49">
        <f t="shared" si="123"/>
        <v>9710</v>
      </c>
      <c r="D325" s="78">
        <f>IF(C325&gt;EDATE(DATE(YEAR(SED_Origination_Date)+ SED_Amort, MONTH(SED_Origination_Date), DAY(SED_Origination_Date)),SED_Interest_Only),0,H324)</f>
        <v>0</v>
      </c>
      <c r="E325" s="78">
        <f t="shared" si="107"/>
        <v>0</v>
      </c>
      <c r="F325" s="78">
        <f>IFERROR(IF(OR(B325=0, C325&gt;=Refi_Origination_Date),0, PPMT(SED_I_Adj,'Loan Amort Table'!B325,SED_Amort_Periods,SED_Orig_Loan_Amount)),0)</f>
        <v>0</v>
      </c>
      <c r="G325" s="78" cm="1">
        <f t="array" ref="G325">IFERROR(_xlfn.IFS(C325&gt;=Refi_Origination_Date, 0, SED_Amort = 0, -D325 * SED_I_Adj, 1, IPMT(SED_I_Adj,IF(B325 = 0, 1, B325),SED_Amort_Periods,SED_Orig_Loan_Amount)),0)</f>
        <v>0</v>
      </c>
      <c r="H325" s="78">
        <f t="shared" si="122"/>
        <v>0</v>
      </c>
      <c r="J325">
        <f t="shared" si="102"/>
        <v>27</v>
      </c>
      <c r="K325">
        <f t="shared" si="108"/>
        <v>320</v>
      </c>
      <c r="L325" s="49">
        <f t="shared" si="115"/>
        <v>9710</v>
      </c>
      <c r="M325" s="78">
        <f>IF(L325&gt;EDATE(DATE(YEAR(NEW_Origination_Date)+ NEW_Amort, MONTH(NEW_Origination_Date), DAY(NEW_Origination_Date)),NEW_Interest_Only),0,Q324)</f>
        <v>0</v>
      </c>
      <c r="N325" s="78">
        <f t="shared" si="109"/>
        <v>0</v>
      </c>
      <c r="O325" s="78">
        <f>IFERROR(IF(K325=0,0, PPMT(NEW_I_Adj,'Loan Amort Table'!K325,NEW_Amort_Periods,NEW_Orig_Loan_Amount)),0)</f>
        <v>0</v>
      </c>
      <c r="P325" s="78">
        <f>IFERROR(IF(NEW_Amort = 0, -M325* NEW_I_Adj,IPMT(NEW_I_Adj,IF(K325 = 0, 1, K325),NEW_Amort_Periods,NEW_Orig_Loan_Amount)),0)</f>
        <v>0</v>
      </c>
      <c r="Q325" s="78">
        <f t="shared" si="110"/>
        <v>0</v>
      </c>
      <c r="S325">
        <f t="shared" si="103"/>
        <v>27</v>
      </c>
      <c r="T325">
        <f t="shared" si="111"/>
        <v>320</v>
      </c>
      <c r="U325" s="49">
        <f t="shared" si="116"/>
        <v>9710</v>
      </c>
      <c r="V325" s="78">
        <f t="shared" si="112"/>
        <v>0</v>
      </c>
      <c r="W325" s="78">
        <f t="shared" ca="1" si="117"/>
        <v>0</v>
      </c>
      <c r="X325" s="78">
        <f>IFERROR(IF(OR(T325=0, U325&gt;=Refi_Origination_Date),0, PPMT(Mezz_I_Adj,'Loan Amort Table'!T325,Mezz_Amort_Periods,Mezz_Orig_Loan_Amount)),0)</f>
        <v>0</v>
      </c>
      <c r="Y325" s="78" cm="1">
        <f t="array" aca="1" ref="Y325" ca="1">IFERROR(_xlfn.IFS(U325&gt;=Refi_Origination_Date,0, Mezz_Amort = 0, -V325 * Mezz_I_Adj, 1, IPMT(Mezz_I_Adj,IF(T325 = 0, 1, T325),Mezz_Amort_Periods,Mezz_Orig_Loan_Amount)),0)</f>
        <v>0</v>
      </c>
      <c r="Z325" s="78">
        <f t="shared" si="118"/>
        <v>0</v>
      </c>
      <c r="AB325">
        <f t="shared" si="104"/>
        <v>27</v>
      </c>
      <c r="AC325">
        <f t="shared" si="113"/>
        <v>320</v>
      </c>
      <c r="AD325" s="49">
        <f t="shared" si="119"/>
        <v>9710</v>
      </c>
      <c r="AE325" s="78">
        <f t="shared" si="114"/>
        <v>0</v>
      </c>
      <c r="AF325" s="78">
        <f t="shared" ca="1" si="120"/>
        <v>0</v>
      </c>
      <c r="AG325" s="78">
        <f ca="1">IFERROR(IF(AC325=0,0, PPMT(Refi_I_Adj,'Loan Amort Table'!AC325,Refi_Amort_Periods,Refi_Orig_Loan_Amount)),0)</f>
        <v>0</v>
      </c>
      <c r="AH325" s="78">
        <f t="shared" ca="1" si="105"/>
        <v>0</v>
      </c>
      <c r="AI325" s="78">
        <f t="shared" ca="1" si="121"/>
        <v>0</v>
      </c>
    </row>
    <row r="326" spans="1:35" x14ac:dyDescent="0.25">
      <c r="A326">
        <f t="shared" ref="A326:A389" si="124">IFERROR(ROUNDUP((DATEDIF(SED_Origination_Date,C326,"m")+1)/12,0),"")</f>
        <v>27</v>
      </c>
      <c r="B326">
        <f t="shared" si="106"/>
        <v>321</v>
      </c>
      <c r="C326" s="49">
        <f t="shared" si="123"/>
        <v>9741</v>
      </c>
      <c r="D326" s="78">
        <f>IF(C326&gt;EDATE(DATE(YEAR(SED_Origination_Date)+ SED_Amort, MONTH(SED_Origination_Date), DAY(SED_Origination_Date)),SED_Interest_Only),0,H325)</f>
        <v>0</v>
      </c>
      <c r="E326" s="78">
        <f t="shared" si="107"/>
        <v>0</v>
      </c>
      <c r="F326" s="78">
        <f>IFERROR(IF(OR(B326=0, C326&gt;=Refi_Origination_Date),0, PPMT(SED_I_Adj,'Loan Amort Table'!B326,SED_Amort_Periods,SED_Orig_Loan_Amount)),0)</f>
        <v>0</v>
      </c>
      <c r="G326" s="78" cm="1">
        <f t="array" ref="G326">IFERROR(_xlfn.IFS(C326&gt;=Refi_Origination_Date, 0, SED_Amort = 0, -D326 * SED_I_Adj, 1, IPMT(SED_I_Adj,IF(B326 = 0, 1, B326),SED_Amort_Periods,SED_Orig_Loan_Amount)),0)</f>
        <v>0</v>
      </c>
      <c r="H326" s="78">
        <f t="shared" si="122"/>
        <v>0</v>
      </c>
      <c r="J326">
        <f t="shared" ref="J326:J389" si="125">IFERROR(ROUNDUP((DATEDIF(NEW_Origination_Date,L326,"m")+1)/12,0),"")</f>
        <v>27</v>
      </c>
      <c r="K326">
        <f t="shared" si="108"/>
        <v>321</v>
      </c>
      <c r="L326" s="49">
        <f t="shared" si="115"/>
        <v>9741</v>
      </c>
      <c r="M326" s="78">
        <f>IF(L326&gt;EDATE(DATE(YEAR(NEW_Origination_Date)+ NEW_Amort, MONTH(NEW_Origination_Date), DAY(NEW_Origination_Date)),NEW_Interest_Only),0,Q325)</f>
        <v>0</v>
      </c>
      <c r="N326" s="78">
        <f t="shared" si="109"/>
        <v>0</v>
      </c>
      <c r="O326" s="78">
        <f>IFERROR(IF(K326=0,0, PPMT(NEW_I_Adj,'Loan Amort Table'!K326,NEW_Amort_Periods,NEW_Orig_Loan_Amount)),0)</f>
        <v>0</v>
      </c>
      <c r="P326" s="78">
        <f>IFERROR(IF(NEW_Amort = 0, -M326* NEW_I_Adj,IPMT(NEW_I_Adj,IF(K326 = 0, 1, K326),NEW_Amort_Periods,NEW_Orig_Loan_Amount)),0)</f>
        <v>0</v>
      </c>
      <c r="Q326" s="78">
        <f t="shared" si="110"/>
        <v>0</v>
      </c>
      <c r="S326">
        <f t="shared" ref="S326:S389" si="126">IFERROR(ROUNDUP((DATEDIF(Mezz_Origination_Date,U326,"m")+1)/12,0),"")</f>
        <v>27</v>
      </c>
      <c r="T326">
        <f t="shared" si="111"/>
        <v>321</v>
      </c>
      <c r="U326" s="49">
        <f t="shared" si="116"/>
        <v>9741</v>
      </c>
      <c r="V326" s="78">
        <f t="shared" si="112"/>
        <v>0</v>
      </c>
      <c r="W326" s="78">
        <f t="shared" ca="1" si="117"/>
        <v>0</v>
      </c>
      <c r="X326" s="78">
        <f>IFERROR(IF(OR(T326=0, U326&gt;=Refi_Origination_Date),0, PPMT(Mezz_I_Adj,'Loan Amort Table'!T326,Mezz_Amort_Periods,Mezz_Orig_Loan_Amount)),0)</f>
        <v>0</v>
      </c>
      <c r="Y326" s="78" cm="1">
        <f t="array" aca="1" ref="Y326" ca="1">IFERROR(_xlfn.IFS(U326&gt;=Refi_Origination_Date,0, Mezz_Amort = 0, -V326 * Mezz_I_Adj, 1, IPMT(Mezz_I_Adj,IF(T326 = 0, 1, T326),Mezz_Amort_Periods,Mezz_Orig_Loan_Amount)),0)</f>
        <v>0</v>
      </c>
      <c r="Z326" s="78">
        <f t="shared" si="118"/>
        <v>0</v>
      </c>
      <c r="AB326">
        <f t="shared" ref="AB326:AB389" si="127">IFERROR(ROUNDUP((DATEDIF(Refi_Origination_Date,AD326,"m")+1)/12,0),"")</f>
        <v>27</v>
      </c>
      <c r="AC326">
        <f t="shared" si="113"/>
        <v>321</v>
      </c>
      <c r="AD326" s="49">
        <f t="shared" si="119"/>
        <v>9741</v>
      </c>
      <c r="AE326" s="78">
        <f t="shared" si="114"/>
        <v>0</v>
      </c>
      <c r="AF326" s="78">
        <f t="shared" ca="1" si="120"/>
        <v>0</v>
      </c>
      <c r="AG326" s="78">
        <f ca="1">IFERROR(IF(AC326=0,0, PPMT(Refi_I_Adj,'Loan Amort Table'!AC326,Refi_Amort_Periods,Refi_Orig_Loan_Amount)),0)</f>
        <v>0</v>
      </c>
      <c r="AH326" s="78">
        <f t="shared" ref="AH326:AH389" ca="1" si="128">IFERROR(IF(Refi_Amort = 0, -AE326 * Refi_I_Adj, IPMT(Refi_I_Adj,IF(AC326 = 0, 1, AC326),Refi_Amort_Periods,Refi_Orig_Loan_Amount)),0)</f>
        <v>0</v>
      </c>
      <c r="AI326" s="78">
        <f t="shared" ca="1" si="121"/>
        <v>0</v>
      </c>
    </row>
    <row r="327" spans="1:35" x14ac:dyDescent="0.25">
      <c r="A327">
        <f t="shared" si="124"/>
        <v>27</v>
      </c>
      <c r="B327">
        <f t="shared" ref="B327:B390" si="129">IF(C327&lt;SED_Begin_PMT,0, B326+1)</f>
        <v>322</v>
      </c>
      <c r="C327" s="49">
        <f t="shared" si="123"/>
        <v>9771</v>
      </c>
      <c r="D327" s="78">
        <f>IF(C327&gt;EDATE(DATE(YEAR(SED_Origination_Date)+ SED_Amort, MONTH(SED_Origination_Date), DAY(SED_Origination_Date)),SED_Interest_Only),0,H326)</f>
        <v>0</v>
      </c>
      <c r="E327" s="78">
        <f t="shared" ref="E327:E390" si="130">F327+G327</f>
        <v>0</v>
      </c>
      <c r="F327" s="78">
        <f>IFERROR(IF(OR(B327=0, C327&gt;=Refi_Origination_Date),0, PPMT(SED_I_Adj,'Loan Amort Table'!B327,SED_Amort_Periods,SED_Orig_Loan_Amount)),0)</f>
        <v>0</v>
      </c>
      <c r="G327" s="78" cm="1">
        <f t="array" ref="G327">IFERROR(_xlfn.IFS(C327&gt;=Refi_Origination_Date, 0, SED_Amort = 0, -D327 * SED_I_Adj, 1, IPMT(SED_I_Adj,IF(B327 = 0, 1, B327),SED_Amort_Periods,SED_Orig_Loan_Amount)),0)</f>
        <v>0</v>
      </c>
      <c r="H327" s="78">
        <f t="shared" si="122"/>
        <v>0</v>
      </c>
      <c r="J327">
        <f t="shared" si="125"/>
        <v>27</v>
      </c>
      <c r="K327">
        <f t="shared" ref="K327:K390" si="131">IF(L327&lt;NEW_Begin_PMT,0, K326+1)</f>
        <v>322</v>
      </c>
      <c r="L327" s="49">
        <f t="shared" si="115"/>
        <v>9771</v>
      </c>
      <c r="M327" s="78">
        <f>IF(L327&gt;EDATE(DATE(YEAR(NEW_Origination_Date)+ NEW_Amort, MONTH(NEW_Origination_Date), DAY(NEW_Origination_Date)),NEW_Interest_Only),0,Q326)</f>
        <v>0</v>
      </c>
      <c r="N327" s="78">
        <f t="shared" ref="N327:N390" si="132">O327+P327</f>
        <v>0</v>
      </c>
      <c r="O327" s="78">
        <f>IFERROR(IF(K327=0,0, PPMT(NEW_I_Adj,'Loan Amort Table'!K327,NEW_Amort_Periods,NEW_Orig_Loan_Amount)),0)</f>
        <v>0</v>
      </c>
      <c r="P327" s="78">
        <f>IFERROR(IF(NEW_Amort = 0, -M327* NEW_I_Adj,IPMT(NEW_I_Adj,IF(K327 = 0, 1, K327),NEW_Amort_Periods,NEW_Orig_Loan_Amount)),0)</f>
        <v>0</v>
      </c>
      <c r="Q327" s="78">
        <f t="shared" ref="Q327:Q390" si="133">M327+O327</f>
        <v>0</v>
      </c>
      <c r="S327">
        <f t="shared" si="126"/>
        <v>27</v>
      </c>
      <c r="T327">
        <f t="shared" ref="T327:T390" si="134">IF(U327&lt;Mezz_Begin_PMT,0, T326+1)</f>
        <v>322</v>
      </c>
      <c r="U327" s="49">
        <f t="shared" si="116"/>
        <v>9771</v>
      </c>
      <c r="V327" s="78">
        <f t="shared" ref="V327:V390" si="135">IF(U327&gt;EDATE(DATE(YEAR(Mezz_Origination_Date)+ Mezz_Amort, MONTH(Mezz_Origination_Date), DAY(Mezz_Origination_Date)),Mezz_Interest_Only),0,Z326)</f>
        <v>0</v>
      </c>
      <c r="W327" s="78">
        <f t="shared" ca="1" si="117"/>
        <v>0</v>
      </c>
      <c r="X327" s="78">
        <f>IFERROR(IF(OR(T327=0, U327&gt;=Refi_Origination_Date),0, PPMT(Mezz_I_Adj,'Loan Amort Table'!T327,Mezz_Amort_Periods,Mezz_Orig_Loan_Amount)),0)</f>
        <v>0</v>
      </c>
      <c r="Y327" s="78" cm="1">
        <f t="array" aca="1" ref="Y327" ca="1">IFERROR(_xlfn.IFS(U327&gt;=Refi_Origination_Date,0, Mezz_Amort = 0, -V327 * Mezz_I_Adj, 1, IPMT(Mezz_I_Adj,IF(T327 = 0, 1, T327),Mezz_Amort_Periods,Mezz_Orig_Loan_Amount)),0)</f>
        <v>0</v>
      </c>
      <c r="Z327" s="78">
        <f t="shared" si="118"/>
        <v>0</v>
      </c>
      <c r="AB327">
        <f t="shared" si="127"/>
        <v>27</v>
      </c>
      <c r="AC327">
        <f t="shared" ref="AC327:AC390" si="136">IF(AD327&lt;Refi_Begin_PMT,0, AC326+1)</f>
        <v>322</v>
      </c>
      <c r="AD327" s="49">
        <f t="shared" si="119"/>
        <v>9771</v>
      </c>
      <c r="AE327" s="78">
        <f t="shared" ref="AE327:AE390" si="137">IF(AD327&gt;EDATE(DATE(YEAR(Refi_Origination_Date)+ Refi_Amort, MONTH(Refi_Origination_Date), DAY(Refi_Origination_Date)),Refi_Interest_Only),0,AI326)</f>
        <v>0</v>
      </c>
      <c r="AF327" s="78">
        <f t="shared" ca="1" si="120"/>
        <v>0</v>
      </c>
      <c r="AG327" s="78">
        <f ca="1">IFERROR(IF(AC327=0,0, PPMT(Refi_I_Adj,'Loan Amort Table'!AC327,Refi_Amort_Periods,Refi_Orig_Loan_Amount)),0)</f>
        <v>0</v>
      </c>
      <c r="AH327" s="78">
        <f t="shared" ca="1" si="128"/>
        <v>0</v>
      </c>
      <c r="AI327" s="78">
        <f t="shared" ca="1" si="121"/>
        <v>0</v>
      </c>
    </row>
    <row r="328" spans="1:35" x14ac:dyDescent="0.25">
      <c r="A328">
        <f t="shared" si="124"/>
        <v>27</v>
      </c>
      <c r="B328">
        <f t="shared" si="129"/>
        <v>323</v>
      </c>
      <c r="C328" s="49">
        <f t="shared" si="123"/>
        <v>9802</v>
      </c>
      <c r="D328" s="78">
        <f>IF(C328&gt;EDATE(DATE(YEAR(SED_Origination_Date)+ SED_Amort, MONTH(SED_Origination_Date), DAY(SED_Origination_Date)),SED_Interest_Only),0,H327)</f>
        <v>0</v>
      </c>
      <c r="E328" s="78">
        <f t="shared" si="130"/>
        <v>0</v>
      </c>
      <c r="F328" s="78">
        <f>IFERROR(IF(OR(B328=0, C328&gt;=Refi_Origination_Date),0, PPMT(SED_I_Adj,'Loan Amort Table'!B328,SED_Amort_Periods,SED_Orig_Loan_Amount)),0)</f>
        <v>0</v>
      </c>
      <c r="G328" s="78" cm="1">
        <f t="array" ref="G328">IFERROR(_xlfn.IFS(C328&gt;=Refi_Origination_Date, 0, SED_Amort = 0, -D328 * SED_I_Adj, 1, IPMT(SED_I_Adj,IF(B328 = 0, 1, B328),SED_Amort_Periods,SED_Orig_Loan_Amount)),0)</f>
        <v>0</v>
      </c>
      <c r="H328" s="78">
        <f t="shared" si="122"/>
        <v>0</v>
      </c>
      <c r="J328">
        <f t="shared" si="125"/>
        <v>27</v>
      </c>
      <c r="K328">
        <f t="shared" si="131"/>
        <v>323</v>
      </c>
      <c r="L328" s="49">
        <f t="shared" ref="L328:L391" si="138">EDATE(L327,1)</f>
        <v>9802</v>
      </c>
      <c r="M328" s="78">
        <f>IF(L328&gt;EDATE(DATE(YEAR(NEW_Origination_Date)+ NEW_Amort, MONTH(NEW_Origination_Date), DAY(NEW_Origination_Date)),NEW_Interest_Only),0,Q327)</f>
        <v>0</v>
      </c>
      <c r="N328" s="78">
        <f t="shared" si="132"/>
        <v>0</v>
      </c>
      <c r="O328" s="78">
        <f>IFERROR(IF(K328=0,0, PPMT(NEW_I_Adj,'Loan Amort Table'!K328,NEW_Amort_Periods,NEW_Orig_Loan_Amount)),0)</f>
        <v>0</v>
      </c>
      <c r="P328" s="78">
        <f>IFERROR(IF(NEW_Amort = 0, -M328* NEW_I_Adj,IPMT(NEW_I_Adj,IF(K328 = 0, 1, K328),NEW_Amort_Periods,NEW_Orig_Loan_Amount)),0)</f>
        <v>0</v>
      </c>
      <c r="Q328" s="78">
        <f t="shared" si="133"/>
        <v>0</v>
      </c>
      <c r="S328">
        <f t="shared" si="126"/>
        <v>27</v>
      </c>
      <c r="T328">
        <f t="shared" si="134"/>
        <v>323</v>
      </c>
      <c r="U328" s="49">
        <f t="shared" ref="U328:U391" si="139">EDATE(U327,1)</f>
        <v>9802</v>
      </c>
      <c r="V328" s="78">
        <f t="shared" si="135"/>
        <v>0</v>
      </c>
      <c r="W328" s="78">
        <f t="shared" ref="W328:W391" ca="1" si="140">X328+Y328</f>
        <v>0</v>
      </c>
      <c r="X328" s="78">
        <f>IFERROR(IF(OR(T328=0, U328&gt;=Refi_Origination_Date),0, PPMT(Mezz_I_Adj,'Loan Amort Table'!T328,Mezz_Amort_Periods,Mezz_Orig_Loan_Amount)),0)</f>
        <v>0</v>
      </c>
      <c r="Y328" s="78" cm="1">
        <f t="array" aca="1" ref="Y328" ca="1">IFERROR(_xlfn.IFS(U328&gt;=Refi_Origination_Date,0, Mezz_Amort = 0, -V328 * Mezz_I_Adj, 1, IPMT(Mezz_I_Adj,IF(T328 = 0, 1, T328),Mezz_Amort_Periods,Mezz_Orig_Loan_Amount)),0)</f>
        <v>0</v>
      </c>
      <c r="Z328" s="78">
        <f t="shared" ref="Z328:Z391" si="141">V328+X328</f>
        <v>0</v>
      </c>
      <c r="AB328">
        <f t="shared" si="127"/>
        <v>27</v>
      </c>
      <c r="AC328">
        <f t="shared" si="136"/>
        <v>323</v>
      </c>
      <c r="AD328" s="49">
        <f t="shared" ref="AD328:AD391" si="142">EDATE(AD327,1)</f>
        <v>9802</v>
      </c>
      <c r="AE328" s="78">
        <f t="shared" si="137"/>
        <v>0</v>
      </c>
      <c r="AF328" s="78">
        <f t="shared" ref="AF328:AF391" ca="1" si="143">AG328+AH328</f>
        <v>0</v>
      </c>
      <c r="AG328" s="78">
        <f ca="1">IFERROR(IF(AC328=0,0, PPMT(Refi_I_Adj,'Loan Amort Table'!AC328,Refi_Amort_Periods,Refi_Orig_Loan_Amount)),0)</f>
        <v>0</v>
      </c>
      <c r="AH328" s="78">
        <f t="shared" ca="1" si="128"/>
        <v>0</v>
      </c>
      <c r="AI328" s="78">
        <f t="shared" ref="AI328:AI391" ca="1" si="144">AE328+AG328</f>
        <v>0</v>
      </c>
    </row>
    <row r="329" spans="1:35" x14ac:dyDescent="0.25">
      <c r="A329">
        <f t="shared" si="124"/>
        <v>27</v>
      </c>
      <c r="B329">
        <f t="shared" si="129"/>
        <v>324</v>
      </c>
      <c r="C329" s="49">
        <f t="shared" si="123"/>
        <v>9832</v>
      </c>
      <c r="D329" s="78">
        <f>IF(C329&gt;EDATE(DATE(YEAR(SED_Origination_Date)+ SED_Amort, MONTH(SED_Origination_Date), DAY(SED_Origination_Date)),SED_Interest_Only),0,H328)</f>
        <v>0</v>
      </c>
      <c r="E329" s="78">
        <f t="shared" si="130"/>
        <v>0</v>
      </c>
      <c r="F329" s="78">
        <f>IFERROR(IF(OR(B329=0, C329&gt;=Refi_Origination_Date),0, PPMT(SED_I_Adj,'Loan Amort Table'!B329,SED_Amort_Periods,SED_Orig_Loan_Amount)),0)</f>
        <v>0</v>
      </c>
      <c r="G329" s="78" cm="1">
        <f t="array" ref="G329">IFERROR(_xlfn.IFS(C329&gt;=Refi_Origination_Date, 0, SED_Amort = 0, -D329 * SED_I_Adj, 1, IPMT(SED_I_Adj,IF(B329 = 0, 1, B329),SED_Amort_Periods,SED_Orig_Loan_Amount)),0)</f>
        <v>0</v>
      </c>
      <c r="H329" s="78">
        <f t="shared" si="122"/>
        <v>0</v>
      </c>
      <c r="J329">
        <f t="shared" si="125"/>
        <v>27</v>
      </c>
      <c r="K329">
        <f t="shared" si="131"/>
        <v>324</v>
      </c>
      <c r="L329" s="49">
        <f t="shared" si="138"/>
        <v>9832</v>
      </c>
      <c r="M329" s="78">
        <f>IF(L329&gt;EDATE(DATE(YEAR(NEW_Origination_Date)+ NEW_Amort, MONTH(NEW_Origination_Date), DAY(NEW_Origination_Date)),NEW_Interest_Only),0,Q328)</f>
        <v>0</v>
      </c>
      <c r="N329" s="78">
        <f t="shared" si="132"/>
        <v>0</v>
      </c>
      <c r="O329" s="78">
        <f>IFERROR(IF(K329=0,0, PPMT(NEW_I_Adj,'Loan Amort Table'!K329,NEW_Amort_Periods,NEW_Orig_Loan_Amount)),0)</f>
        <v>0</v>
      </c>
      <c r="P329" s="78">
        <f>IFERROR(IF(NEW_Amort = 0, -M329* NEW_I_Adj,IPMT(NEW_I_Adj,IF(K329 = 0, 1, K329),NEW_Amort_Periods,NEW_Orig_Loan_Amount)),0)</f>
        <v>0</v>
      </c>
      <c r="Q329" s="78">
        <f t="shared" si="133"/>
        <v>0</v>
      </c>
      <c r="S329">
        <f t="shared" si="126"/>
        <v>27</v>
      </c>
      <c r="T329">
        <f t="shared" si="134"/>
        <v>324</v>
      </c>
      <c r="U329" s="49">
        <f t="shared" si="139"/>
        <v>9832</v>
      </c>
      <c r="V329" s="78">
        <f t="shared" si="135"/>
        <v>0</v>
      </c>
      <c r="W329" s="78">
        <f t="shared" ca="1" si="140"/>
        <v>0</v>
      </c>
      <c r="X329" s="78">
        <f>IFERROR(IF(OR(T329=0, U329&gt;=Refi_Origination_Date),0, PPMT(Mezz_I_Adj,'Loan Amort Table'!T329,Mezz_Amort_Periods,Mezz_Orig_Loan_Amount)),0)</f>
        <v>0</v>
      </c>
      <c r="Y329" s="78" cm="1">
        <f t="array" aca="1" ref="Y329" ca="1">IFERROR(_xlfn.IFS(U329&gt;=Refi_Origination_Date,0, Mezz_Amort = 0, -V329 * Mezz_I_Adj, 1, IPMT(Mezz_I_Adj,IF(T329 = 0, 1, T329),Mezz_Amort_Periods,Mezz_Orig_Loan_Amount)),0)</f>
        <v>0</v>
      </c>
      <c r="Z329" s="78">
        <f t="shared" si="141"/>
        <v>0</v>
      </c>
      <c r="AB329">
        <f t="shared" si="127"/>
        <v>27</v>
      </c>
      <c r="AC329">
        <f t="shared" si="136"/>
        <v>324</v>
      </c>
      <c r="AD329" s="49">
        <f t="shared" si="142"/>
        <v>9832</v>
      </c>
      <c r="AE329" s="78">
        <f t="shared" si="137"/>
        <v>0</v>
      </c>
      <c r="AF329" s="78">
        <f t="shared" ca="1" si="143"/>
        <v>0</v>
      </c>
      <c r="AG329" s="78">
        <f ca="1">IFERROR(IF(AC329=0,0, PPMT(Refi_I_Adj,'Loan Amort Table'!AC329,Refi_Amort_Periods,Refi_Orig_Loan_Amount)),0)</f>
        <v>0</v>
      </c>
      <c r="AH329" s="78">
        <f t="shared" ca="1" si="128"/>
        <v>0</v>
      </c>
      <c r="AI329" s="78">
        <f t="shared" ca="1" si="144"/>
        <v>0</v>
      </c>
    </row>
    <row r="330" spans="1:35" x14ac:dyDescent="0.25">
      <c r="A330">
        <f t="shared" si="124"/>
        <v>28</v>
      </c>
      <c r="B330">
        <f t="shared" si="129"/>
        <v>325</v>
      </c>
      <c r="C330" s="49">
        <f t="shared" si="123"/>
        <v>9863</v>
      </c>
      <c r="D330" s="78">
        <f>IF(C330&gt;EDATE(DATE(YEAR(SED_Origination_Date)+ SED_Amort, MONTH(SED_Origination_Date), DAY(SED_Origination_Date)),SED_Interest_Only),0,H329)</f>
        <v>0</v>
      </c>
      <c r="E330" s="78">
        <f t="shared" si="130"/>
        <v>0</v>
      </c>
      <c r="F330" s="78">
        <f>IFERROR(IF(OR(B330=0, C330&gt;=Refi_Origination_Date),0, PPMT(SED_I_Adj,'Loan Amort Table'!B330,SED_Amort_Periods,SED_Orig_Loan_Amount)),0)</f>
        <v>0</v>
      </c>
      <c r="G330" s="78" cm="1">
        <f t="array" ref="G330">IFERROR(_xlfn.IFS(C330&gt;=Refi_Origination_Date, 0, SED_Amort = 0, -D330 * SED_I_Adj, 1, IPMT(SED_I_Adj,IF(B330 = 0, 1, B330),SED_Amort_Periods,SED_Orig_Loan_Amount)),0)</f>
        <v>0</v>
      </c>
      <c r="H330" s="78">
        <f t="shared" si="122"/>
        <v>0</v>
      </c>
      <c r="J330">
        <f t="shared" si="125"/>
        <v>28</v>
      </c>
      <c r="K330">
        <f t="shared" si="131"/>
        <v>325</v>
      </c>
      <c r="L330" s="49">
        <f t="shared" si="138"/>
        <v>9863</v>
      </c>
      <c r="M330" s="78">
        <f>IF(L330&gt;EDATE(DATE(YEAR(NEW_Origination_Date)+ NEW_Amort, MONTH(NEW_Origination_Date), DAY(NEW_Origination_Date)),NEW_Interest_Only),0,Q329)</f>
        <v>0</v>
      </c>
      <c r="N330" s="78">
        <f t="shared" si="132"/>
        <v>0</v>
      </c>
      <c r="O330" s="78">
        <f>IFERROR(IF(K330=0,0, PPMT(NEW_I_Adj,'Loan Amort Table'!K330,NEW_Amort_Periods,NEW_Orig_Loan_Amount)),0)</f>
        <v>0</v>
      </c>
      <c r="P330" s="78">
        <f>IFERROR(IF(NEW_Amort = 0, -M330* NEW_I_Adj,IPMT(NEW_I_Adj,IF(K330 = 0, 1, K330),NEW_Amort_Periods,NEW_Orig_Loan_Amount)),0)</f>
        <v>0</v>
      </c>
      <c r="Q330" s="78">
        <f t="shared" si="133"/>
        <v>0</v>
      </c>
      <c r="S330">
        <f t="shared" si="126"/>
        <v>28</v>
      </c>
      <c r="T330">
        <f t="shared" si="134"/>
        <v>325</v>
      </c>
      <c r="U330" s="49">
        <f t="shared" si="139"/>
        <v>9863</v>
      </c>
      <c r="V330" s="78">
        <f t="shared" si="135"/>
        <v>0</v>
      </c>
      <c r="W330" s="78">
        <f t="shared" ca="1" si="140"/>
        <v>0</v>
      </c>
      <c r="X330" s="78">
        <f>IFERROR(IF(OR(T330=0, U330&gt;=Refi_Origination_Date),0, PPMT(Mezz_I_Adj,'Loan Amort Table'!T330,Mezz_Amort_Periods,Mezz_Orig_Loan_Amount)),0)</f>
        <v>0</v>
      </c>
      <c r="Y330" s="78" cm="1">
        <f t="array" aca="1" ref="Y330" ca="1">IFERROR(_xlfn.IFS(U330&gt;=Refi_Origination_Date,0, Mezz_Amort = 0, -V330 * Mezz_I_Adj, 1, IPMT(Mezz_I_Adj,IF(T330 = 0, 1, T330),Mezz_Amort_Periods,Mezz_Orig_Loan_Amount)),0)</f>
        <v>0</v>
      </c>
      <c r="Z330" s="78">
        <f t="shared" si="141"/>
        <v>0</v>
      </c>
      <c r="AB330">
        <f t="shared" si="127"/>
        <v>28</v>
      </c>
      <c r="AC330">
        <f t="shared" si="136"/>
        <v>325</v>
      </c>
      <c r="AD330" s="49">
        <f t="shared" si="142"/>
        <v>9863</v>
      </c>
      <c r="AE330" s="78">
        <f t="shared" si="137"/>
        <v>0</v>
      </c>
      <c r="AF330" s="78">
        <f t="shared" ca="1" si="143"/>
        <v>0</v>
      </c>
      <c r="AG330" s="78">
        <f ca="1">IFERROR(IF(AC330=0,0, PPMT(Refi_I_Adj,'Loan Amort Table'!AC330,Refi_Amort_Periods,Refi_Orig_Loan_Amount)),0)</f>
        <v>0</v>
      </c>
      <c r="AH330" s="78">
        <f t="shared" ca="1" si="128"/>
        <v>0</v>
      </c>
      <c r="AI330" s="78">
        <f t="shared" ca="1" si="144"/>
        <v>0</v>
      </c>
    </row>
    <row r="331" spans="1:35" x14ac:dyDescent="0.25">
      <c r="A331">
        <f t="shared" si="124"/>
        <v>28</v>
      </c>
      <c r="B331">
        <f t="shared" si="129"/>
        <v>326</v>
      </c>
      <c r="C331" s="49">
        <f t="shared" si="123"/>
        <v>9894</v>
      </c>
      <c r="D331" s="78">
        <f>IF(C331&gt;EDATE(DATE(YEAR(SED_Origination_Date)+ SED_Amort, MONTH(SED_Origination_Date), DAY(SED_Origination_Date)),SED_Interest_Only),0,H330)</f>
        <v>0</v>
      </c>
      <c r="E331" s="78">
        <f t="shared" si="130"/>
        <v>0</v>
      </c>
      <c r="F331" s="78">
        <f>IFERROR(IF(OR(B331=0, C331&gt;=Refi_Origination_Date),0, PPMT(SED_I_Adj,'Loan Amort Table'!B331,SED_Amort_Periods,SED_Orig_Loan_Amount)),0)</f>
        <v>0</v>
      </c>
      <c r="G331" s="78" cm="1">
        <f t="array" ref="G331">IFERROR(_xlfn.IFS(C331&gt;=Refi_Origination_Date, 0, SED_Amort = 0, -D331 * SED_I_Adj, 1, IPMT(SED_I_Adj,IF(B331 = 0, 1, B331),SED_Amort_Periods,SED_Orig_Loan_Amount)),0)</f>
        <v>0</v>
      </c>
      <c r="H331" s="78">
        <f t="shared" ref="H331:H394" si="145">D331+F331</f>
        <v>0</v>
      </c>
      <c r="J331">
        <f t="shared" si="125"/>
        <v>28</v>
      </c>
      <c r="K331">
        <f t="shared" si="131"/>
        <v>326</v>
      </c>
      <c r="L331" s="49">
        <f t="shared" si="138"/>
        <v>9894</v>
      </c>
      <c r="M331" s="78">
        <f>IF(L331&gt;EDATE(DATE(YEAR(NEW_Origination_Date)+ NEW_Amort, MONTH(NEW_Origination_Date), DAY(NEW_Origination_Date)),NEW_Interest_Only),0,Q330)</f>
        <v>0</v>
      </c>
      <c r="N331" s="78">
        <f t="shared" si="132"/>
        <v>0</v>
      </c>
      <c r="O331" s="78">
        <f>IFERROR(IF(K331=0,0, PPMT(NEW_I_Adj,'Loan Amort Table'!K331,NEW_Amort_Periods,NEW_Orig_Loan_Amount)),0)</f>
        <v>0</v>
      </c>
      <c r="P331" s="78">
        <f>IFERROR(IF(NEW_Amort = 0, -M331* NEW_I_Adj,IPMT(NEW_I_Adj,IF(K331 = 0, 1, K331),NEW_Amort_Periods,NEW_Orig_Loan_Amount)),0)</f>
        <v>0</v>
      </c>
      <c r="Q331" s="78">
        <f t="shared" si="133"/>
        <v>0</v>
      </c>
      <c r="S331">
        <f t="shared" si="126"/>
        <v>28</v>
      </c>
      <c r="T331">
        <f t="shared" si="134"/>
        <v>326</v>
      </c>
      <c r="U331" s="49">
        <f t="shared" si="139"/>
        <v>9894</v>
      </c>
      <c r="V331" s="78">
        <f t="shared" si="135"/>
        <v>0</v>
      </c>
      <c r="W331" s="78">
        <f t="shared" ca="1" si="140"/>
        <v>0</v>
      </c>
      <c r="X331" s="78">
        <f>IFERROR(IF(OR(T331=0, U331&gt;=Refi_Origination_Date),0, PPMT(Mezz_I_Adj,'Loan Amort Table'!T331,Mezz_Amort_Periods,Mezz_Orig_Loan_Amount)),0)</f>
        <v>0</v>
      </c>
      <c r="Y331" s="78" cm="1">
        <f t="array" aca="1" ref="Y331" ca="1">IFERROR(_xlfn.IFS(U331&gt;=Refi_Origination_Date,0, Mezz_Amort = 0, -V331 * Mezz_I_Adj, 1, IPMT(Mezz_I_Adj,IF(T331 = 0, 1, T331),Mezz_Amort_Periods,Mezz_Orig_Loan_Amount)),0)</f>
        <v>0</v>
      </c>
      <c r="Z331" s="78">
        <f t="shared" si="141"/>
        <v>0</v>
      </c>
      <c r="AB331">
        <f t="shared" si="127"/>
        <v>28</v>
      </c>
      <c r="AC331">
        <f t="shared" si="136"/>
        <v>326</v>
      </c>
      <c r="AD331" s="49">
        <f t="shared" si="142"/>
        <v>9894</v>
      </c>
      <c r="AE331" s="78">
        <f t="shared" si="137"/>
        <v>0</v>
      </c>
      <c r="AF331" s="78">
        <f t="shared" ca="1" si="143"/>
        <v>0</v>
      </c>
      <c r="AG331" s="78">
        <f ca="1">IFERROR(IF(AC331=0,0, PPMT(Refi_I_Adj,'Loan Amort Table'!AC331,Refi_Amort_Periods,Refi_Orig_Loan_Amount)),0)</f>
        <v>0</v>
      </c>
      <c r="AH331" s="78">
        <f t="shared" ca="1" si="128"/>
        <v>0</v>
      </c>
      <c r="AI331" s="78">
        <f t="shared" ca="1" si="144"/>
        <v>0</v>
      </c>
    </row>
    <row r="332" spans="1:35" x14ac:dyDescent="0.25">
      <c r="A332">
        <f t="shared" si="124"/>
        <v>28</v>
      </c>
      <c r="B332">
        <f t="shared" si="129"/>
        <v>327</v>
      </c>
      <c r="C332" s="49">
        <f t="shared" si="123"/>
        <v>9922</v>
      </c>
      <c r="D332" s="78">
        <f>IF(C332&gt;EDATE(DATE(YEAR(SED_Origination_Date)+ SED_Amort, MONTH(SED_Origination_Date), DAY(SED_Origination_Date)),SED_Interest_Only),0,H331)</f>
        <v>0</v>
      </c>
      <c r="E332" s="78">
        <f t="shared" si="130"/>
        <v>0</v>
      </c>
      <c r="F332" s="78">
        <f>IFERROR(IF(OR(B332=0, C332&gt;=Refi_Origination_Date),0, PPMT(SED_I_Adj,'Loan Amort Table'!B332,SED_Amort_Periods,SED_Orig_Loan_Amount)),0)</f>
        <v>0</v>
      </c>
      <c r="G332" s="78" cm="1">
        <f t="array" ref="G332">IFERROR(_xlfn.IFS(C332&gt;=Refi_Origination_Date, 0, SED_Amort = 0, -D332 * SED_I_Adj, 1, IPMT(SED_I_Adj,IF(B332 = 0, 1, B332),SED_Amort_Periods,SED_Orig_Loan_Amount)),0)</f>
        <v>0</v>
      </c>
      <c r="H332" s="78">
        <f t="shared" si="145"/>
        <v>0</v>
      </c>
      <c r="J332">
        <f t="shared" si="125"/>
        <v>28</v>
      </c>
      <c r="K332">
        <f t="shared" si="131"/>
        <v>327</v>
      </c>
      <c r="L332" s="49">
        <f t="shared" si="138"/>
        <v>9922</v>
      </c>
      <c r="M332" s="78">
        <f>IF(L332&gt;EDATE(DATE(YEAR(NEW_Origination_Date)+ NEW_Amort, MONTH(NEW_Origination_Date), DAY(NEW_Origination_Date)),NEW_Interest_Only),0,Q331)</f>
        <v>0</v>
      </c>
      <c r="N332" s="78">
        <f t="shared" si="132"/>
        <v>0</v>
      </c>
      <c r="O332" s="78">
        <f>IFERROR(IF(K332=0,0, PPMT(NEW_I_Adj,'Loan Amort Table'!K332,NEW_Amort_Periods,NEW_Orig_Loan_Amount)),0)</f>
        <v>0</v>
      </c>
      <c r="P332" s="78">
        <f>IFERROR(IF(NEW_Amort = 0, -M332* NEW_I_Adj,IPMT(NEW_I_Adj,IF(K332 = 0, 1, K332),NEW_Amort_Periods,NEW_Orig_Loan_Amount)),0)</f>
        <v>0</v>
      </c>
      <c r="Q332" s="78">
        <f t="shared" si="133"/>
        <v>0</v>
      </c>
      <c r="S332">
        <f t="shared" si="126"/>
        <v>28</v>
      </c>
      <c r="T332">
        <f t="shared" si="134"/>
        <v>327</v>
      </c>
      <c r="U332" s="49">
        <f t="shared" si="139"/>
        <v>9922</v>
      </c>
      <c r="V332" s="78">
        <f t="shared" si="135"/>
        <v>0</v>
      </c>
      <c r="W332" s="78">
        <f t="shared" ca="1" si="140"/>
        <v>0</v>
      </c>
      <c r="X332" s="78">
        <f>IFERROR(IF(OR(T332=0, U332&gt;=Refi_Origination_Date),0, PPMT(Mezz_I_Adj,'Loan Amort Table'!T332,Mezz_Amort_Periods,Mezz_Orig_Loan_Amount)),0)</f>
        <v>0</v>
      </c>
      <c r="Y332" s="78" cm="1">
        <f t="array" aca="1" ref="Y332" ca="1">IFERROR(_xlfn.IFS(U332&gt;=Refi_Origination_Date,0, Mezz_Amort = 0, -V332 * Mezz_I_Adj, 1, IPMT(Mezz_I_Adj,IF(T332 = 0, 1, T332),Mezz_Amort_Periods,Mezz_Orig_Loan_Amount)),0)</f>
        <v>0</v>
      </c>
      <c r="Z332" s="78">
        <f t="shared" si="141"/>
        <v>0</v>
      </c>
      <c r="AB332">
        <f t="shared" si="127"/>
        <v>28</v>
      </c>
      <c r="AC332">
        <f t="shared" si="136"/>
        <v>327</v>
      </c>
      <c r="AD332" s="49">
        <f t="shared" si="142"/>
        <v>9922</v>
      </c>
      <c r="AE332" s="78">
        <f t="shared" si="137"/>
        <v>0</v>
      </c>
      <c r="AF332" s="78">
        <f t="shared" ca="1" si="143"/>
        <v>0</v>
      </c>
      <c r="AG332" s="78">
        <f ca="1">IFERROR(IF(AC332=0,0, PPMT(Refi_I_Adj,'Loan Amort Table'!AC332,Refi_Amort_Periods,Refi_Orig_Loan_Amount)),0)</f>
        <v>0</v>
      </c>
      <c r="AH332" s="78">
        <f t="shared" ca="1" si="128"/>
        <v>0</v>
      </c>
      <c r="AI332" s="78">
        <f t="shared" ca="1" si="144"/>
        <v>0</v>
      </c>
    </row>
    <row r="333" spans="1:35" x14ac:dyDescent="0.25">
      <c r="A333">
        <f t="shared" si="124"/>
        <v>28</v>
      </c>
      <c r="B333">
        <f t="shared" si="129"/>
        <v>328</v>
      </c>
      <c r="C333" s="49">
        <f t="shared" si="123"/>
        <v>9953</v>
      </c>
      <c r="D333" s="78">
        <f>IF(C333&gt;EDATE(DATE(YEAR(SED_Origination_Date)+ SED_Amort, MONTH(SED_Origination_Date), DAY(SED_Origination_Date)),SED_Interest_Only),0,H332)</f>
        <v>0</v>
      </c>
      <c r="E333" s="78">
        <f t="shared" si="130"/>
        <v>0</v>
      </c>
      <c r="F333" s="78">
        <f>IFERROR(IF(OR(B333=0, C333&gt;=Refi_Origination_Date),0, PPMT(SED_I_Adj,'Loan Amort Table'!B333,SED_Amort_Periods,SED_Orig_Loan_Amount)),0)</f>
        <v>0</v>
      </c>
      <c r="G333" s="78" cm="1">
        <f t="array" ref="G333">IFERROR(_xlfn.IFS(C333&gt;=Refi_Origination_Date, 0, SED_Amort = 0, -D333 * SED_I_Adj, 1, IPMT(SED_I_Adj,IF(B333 = 0, 1, B333),SED_Amort_Periods,SED_Orig_Loan_Amount)),0)</f>
        <v>0</v>
      </c>
      <c r="H333" s="78">
        <f t="shared" si="145"/>
        <v>0</v>
      </c>
      <c r="J333">
        <f t="shared" si="125"/>
        <v>28</v>
      </c>
      <c r="K333">
        <f t="shared" si="131"/>
        <v>328</v>
      </c>
      <c r="L333" s="49">
        <f t="shared" si="138"/>
        <v>9953</v>
      </c>
      <c r="M333" s="78">
        <f>IF(L333&gt;EDATE(DATE(YEAR(NEW_Origination_Date)+ NEW_Amort, MONTH(NEW_Origination_Date), DAY(NEW_Origination_Date)),NEW_Interest_Only),0,Q332)</f>
        <v>0</v>
      </c>
      <c r="N333" s="78">
        <f t="shared" si="132"/>
        <v>0</v>
      </c>
      <c r="O333" s="78">
        <f>IFERROR(IF(K333=0,0, PPMT(NEW_I_Adj,'Loan Amort Table'!K333,NEW_Amort_Periods,NEW_Orig_Loan_Amount)),0)</f>
        <v>0</v>
      </c>
      <c r="P333" s="78">
        <f>IFERROR(IF(NEW_Amort = 0, -M333* NEW_I_Adj,IPMT(NEW_I_Adj,IF(K333 = 0, 1, K333),NEW_Amort_Periods,NEW_Orig_Loan_Amount)),0)</f>
        <v>0</v>
      </c>
      <c r="Q333" s="78">
        <f t="shared" si="133"/>
        <v>0</v>
      </c>
      <c r="S333">
        <f t="shared" si="126"/>
        <v>28</v>
      </c>
      <c r="T333">
        <f t="shared" si="134"/>
        <v>328</v>
      </c>
      <c r="U333" s="49">
        <f t="shared" si="139"/>
        <v>9953</v>
      </c>
      <c r="V333" s="78">
        <f t="shared" si="135"/>
        <v>0</v>
      </c>
      <c r="W333" s="78">
        <f t="shared" ca="1" si="140"/>
        <v>0</v>
      </c>
      <c r="X333" s="78">
        <f>IFERROR(IF(OR(T333=0, U333&gt;=Refi_Origination_Date),0, PPMT(Mezz_I_Adj,'Loan Amort Table'!T333,Mezz_Amort_Periods,Mezz_Orig_Loan_Amount)),0)</f>
        <v>0</v>
      </c>
      <c r="Y333" s="78" cm="1">
        <f t="array" aca="1" ref="Y333" ca="1">IFERROR(_xlfn.IFS(U333&gt;=Refi_Origination_Date,0, Mezz_Amort = 0, -V333 * Mezz_I_Adj, 1, IPMT(Mezz_I_Adj,IF(T333 = 0, 1, T333),Mezz_Amort_Periods,Mezz_Orig_Loan_Amount)),0)</f>
        <v>0</v>
      </c>
      <c r="Z333" s="78">
        <f t="shared" si="141"/>
        <v>0</v>
      </c>
      <c r="AB333">
        <f t="shared" si="127"/>
        <v>28</v>
      </c>
      <c r="AC333">
        <f t="shared" si="136"/>
        <v>328</v>
      </c>
      <c r="AD333" s="49">
        <f t="shared" si="142"/>
        <v>9953</v>
      </c>
      <c r="AE333" s="78">
        <f t="shared" si="137"/>
        <v>0</v>
      </c>
      <c r="AF333" s="78">
        <f t="shared" ca="1" si="143"/>
        <v>0</v>
      </c>
      <c r="AG333" s="78">
        <f ca="1">IFERROR(IF(AC333=0,0, PPMT(Refi_I_Adj,'Loan Amort Table'!AC333,Refi_Amort_Periods,Refi_Orig_Loan_Amount)),0)</f>
        <v>0</v>
      </c>
      <c r="AH333" s="78">
        <f t="shared" ca="1" si="128"/>
        <v>0</v>
      </c>
      <c r="AI333" s="78">
        <f t="shared" ca="1" si="144"/>
        <v>0</v>
      </c>
    </row>
    <row r="334" spans="1:35" x14ac:dyDescent="0.25">
      <c r="A334">
        <f t="shared" si="124"/>
        <v>28</v>
      </c>
      <c r="B334">
        <f t="shared" si="129"/>
        <v>329</v>
      </c>
      <c r="C334" s="49">
        <f t="shared" si="123"/>
        <v>9983</v>
      </c>
      <c r="D334" s="78">
        <f>IF(C334&gt;EDATE(DATE(YEAR(SED_Origination_Date)+ SED_Amort, MONTH(SED_Origination_Date), DAY(SED_Origination_Date)),SED_Interest_Only),0,H333)</f>
        <v>0</v>
      </c>
      <c r="E334" s="78">
        <f t="shared" si="130"/>
        <v>0</v>
      </c>
      <c r="F334" s="78">
        <f>IFERROR(IF(OR(B334=0, C334&gt;=Refi_Origination_Date),0, PPMT(SED_I_Adj,'Loan Amort Table'!B334,SED_Amort_Periods,SED_Orig_Loan_Amount)),0)</f>
        <v>0</v>
      </c>
      <c r="G334" s="78" cm="1">
        <f t="array" ref="G334">IFERROR(_xlfn.IFS(C334&gt;=Refi_Origination_Date, 0, SED_Amort = 0, -D334 * SED_I_Adj, 1, IPMT(SED_I_Adj,IF(B334 = 0, 1, B334),SED_Amort_Periods,SED_Orig_Loan_Amount)),0)</f>
        <v>0</v>
      </c>
      <c r="H334" s="78">
        <f t="shared" si="145"/>
        <v>0</v>
      </c>
      <c r="J334">
        <f t="shared" si="125"/>
        <v>28</v>
      </c>
      <c r="K334">
        <f t="shared" si="131"/>
        <v>329</v>
      </c>
      <c r="L334" s="49">
        <f t="shared" si="138"/>
        <v>9983</v>
      </c>
      <c r="M334" s="78">
        <f>IF(L334&gt;EDATE(DATE(YEAR(NEW_Origination_Date)+ NEW_Amort, MONTH(NEW_Origination_Date), DAY(NEW_Origination_Date)),NEW_Interest_Only),0,Q333)</f>
        <v>0</v>
      </c>
      <c r="N334" s="78">
        <f t="shared" si="132"/>
        <v>0</v>
      </c>
      <c r="O334" s="78">
        <f>IFERROR(IF(K334=0,0, PPMT(NEW_I_Adj,'Loan Amort Table'!K334,NEW_Amort_Periods,NEW_Orig_Loan_Amount)),0)</f>
        <v>0</v>
      </c>
      <c r="P334" s="78">
        <f>IFERROR(IF(NEW_Amort = 0, -M334* NEW_I_Adj,IPMT(NEW_I_Adj,IF(K334 = 0, 1, K334),NEW_Amort_Periods,NEW_Orig_Loan_Amount)),0)</f>
        <v>0</v>
      </c>
      <c r="Q334" s="78">
        <f t="shared" si="133"/>
        <v>0</v>
      </c>
      <c r="S334">
        <f t="shared" si="126"/>
        <v>28</v>
      </c>
      <c r="T334">
        <f t="shared" si="134"/>
        <v>329</v>
      </c>
      <c r="U334" s="49">
        <f t="shared" si="139"/>
        <v>9983</v>
      </c>
      <c r="V334" s="78">
        <f t="shared" si="135"/>
        <v>0</v>
      </c>
      <c r="W334" s="78">
        <f t="shared" ca="1" si="140"/>
        <v>0</v>
      </c>
      <c r="X334" s="78">
        <f>IFERROR(IF(OR(T334=0, U334&gt;=Refi_Origination_Date),0, PPMT(Mezz_I_Adj,'Loan Amort Table'!T334,Mezz_Amort_Periods,Mezz_Orig_Loan_Amount)),0)</f>
        <v>0</v>
      </c>
      <c r="Y334" s="78" cm="1">
        <f t="array" aca="1" ref="Y334" ca="1">IFERROR(_xlfn.IFS(U334&gt;=Refi_Origination_Date,0, Mezz_Amort = 0, -V334 * Mezz_I_Adj, 1, IPMT(Mezz_I_Adj,IF(T334 = 0, 1, T334),Mezz_Amort_Periods,Mezz_Orig_Loan_Amount)),0)</f>
        <v>0</v>
      </c>
      <c r="Z334" s="78">
        <f t="shared" si="141"/>
        <v>0</v>
      </c>
      <c r="AB334">
        <f t="shared" si="127"/>
        <v>28</v>
      </c>
      <c r="AC334">
        <f t="shared" si="136"/>
        <v>329</v>
      </c>
      <c r="AD334" s="49">
        <f t="shared" si="142"/>
        <v>9983</v>
      </c>
      <c r="AE334" s="78">
        <f t="shared" si="137"/>
        <v>0</v>
      </c>
      <c r="AF334" s="78">
        <f t="shared" ca="1" si="143"/>
        <v>0</v>
      </c>
      <c r="AG334" s="78">
        <f ca="1">IFERROR(IF(AC334=0,0, PPMT(Refi_I_Adj,'Loan Amort Table'!AC334,Refi_Amort_Periods,Refi_Orig_Loan_Amount)),0)</f>
        <v>0</v>
      </c>
      <c r="AH334" s="78">
        <f t="shared" ca="1" si="128"/>
        <v>0</v>
      </c>
      <c r="AI334" s="78">
        <f t="shared" ca="1" si="144"/>
        <v>0</v>
      </c>
    </row>
    <row r="335" spans="1:35" x14ac:dyDescent="0.25">
      <c r="A335">
        <f t="shared" si="124"/>
        <v>28</v>
      </c>
      <c r="B335">
        <f t="shared" si="129"/>
        <v>330</v>
      </c>
      <c r="C335" s="49">
        <f t="shared" si="123"/>
        <v>10014</v>
      </c>
      <c r="D335" s="78">
        <f>IF(C335&gt;EDATE(DATE(YEAR(SED_Origination_Date)+ SED_Amort, MONTH(SED_Origination_Date), DAY(SED_Origination_Date)),SED_Interest_Only),0,H334)</f>
        <v>0</v>
      </c>
      <c r="E335" s="78">
        <f t="shared" si="130"/>
        <v>0</v>
      </c>
      <c r="F335" s="78">
        <f>IFERROR(IF(OR(B335=0, C335&gt;=Refi_Origination_Date),0, PPMT(SED_I_Adj,'Loan Amort Table'!B335,SED_Amort_Periods,SED_Orig_Loan_Amount)),0)</f>
        <v>0</v>
      </c>
      <c r="G335" s="78" cm="1">
        <f t="array" ref="G335">IFERROR(_xlfn.IFS(C335&gt;=Refi_Origination_Date, 0, SED_Amort = 0, -D335 * SED_I_Adj, 1, IPMT(SED_I_Adj,IF(B335 = 0, 1, B335),SED_Amort_Periods,SED_Orig_Loan_Amount)),0)</f>
        <v>0</v>
      </c>
      <c r="H335" s="78">
        <f t="shared" si="145"/>
        <v>0</v>
      </c>
      <c r="J335">
        <f t="shared" si="125"/>
        <v>28</v>
      </c>
      <c r="K335">
        <f t="shared" si="131"/>
        <v>330</v>
      </c>
      <c r="L335" s="49">
        <f t="shared" si="138"/>
        <v>10014</v>
      </c>
      <c r="M335" s="78">
        <f>IF(L335&gt;EDATE(DATE(YEAR(NEW_Origination_Date)+ NEW_Amort, MONTH(NEW_Origination_Date), DAY(NEW_Origination_Date)),NEW_Interest_Only),0,Q334)</f>
        <v>0</v>
      </c>
      <c r="N335" s="78">
        <f t="shared" si="132"/>
        <v>0</v>
      </c>
      <c r="O335" s="78">
        <f>IFERROR(IF(K335=0,0, PPMT(NEW_I_Adj,'Loan Amort Table'!K335,NEW_Amort_Periods,NEW_Orig_Loan_Amount)),0)</f>
        <v>0</v>
      </c>
      <c r="P335" s="78">
        <f>IFERROR(IF(NEW_Amort = 0, -M335* NEW_I_Adj,IPMT(NEW_I_Adj,IF(K335 = 0, 1, K335),NEW_Amort_Periods,NEW_Orig_Loan_Amount)),0)</f>
        <v>0</v>
      </c>
      <c r="Q335" s="78">
        <f t="shared" si="133"/>
        <v>0</v>
      </c>
      <c r="S335">
        <f t="shared" si="126"/>
        <v>28</v>
      </c>
      <c r="T335">
        <f t="shared" si="134"/>
        <v>330</v>
      </c>
      <c r="U335" s="49">
        <f t="shared" si="139"/>
        <v>10014</v>
      </c>
      <c r="V335" s="78">
        <f t="shared" si="135"/>
        <v>0</v>
      </c>
      <c r="W335" s="78">
        <f t="shared" ca="1" si="140"/>
        <v>0</v>
      </c>
      <c r="X335" s="78">
        <f>IFERROR(IF(OR(T335=0, U335&gt;=Refi_Origination_Date),0, PPMT(Mezz_I_Adj,'Loan Amort Table'!T335,Mezz_Amort_Periods,Mezz_Orig_Loan_Amount)),0)</f>
        <v>0</v>
      </c>
      <c r="Y335" s="78" cm="1">
        <f t="array" aca="1" ref="Y335" ca="1">IFERROR(_xlfn.IFS(U335&gt;=Refi_Origination_Date,0, Mezz_Amort = 0, -V335 * Mezz_I_Adj, 1, IPMT(Mezz_I_Adj,IF(T335 = 0, 1, T335),Mezz_Amort_Periods,Mezz_Orig_Loan_Amount)),0)</f>
        <v>0</v>
      </c>
      <c r="Z335" s="78">
        <f t="shared" si="141"/>
        <v>0</v>
      </c>
      <c r="AB335">
        <f t="shared" si="127"/>
        <v>28</v>
      </c>
      <c r="AC335">
        <f t="shared" si="136"/>
        <v>330</v>
      </c>
      <c r="AD335" s="49">
        <f t="shared" si="142"/>
        <v>10014</v>
      </c>
      <c r="AE335" s="78">
        <f t="shared" si="137"/>
        <v>0</v>
      </c>
      <c r="AF335" s="78">
        <f t="shared" ca="1" si="143"/>
        <v>0</v>
      </c>
      <c r="AG335" s="78">
        <f ca="1">IFERROR(IF(AC335=0,0, PPMT(Refi_I_Adj,'Loan Amort Table'!AC335,Refi_Amort_Periods,Refi_Orig_Loan_Amount)),0)</f>
        <v>0</v>
      </c>
      <c r="AH335" s="78">
        <f t="shared" ca="1" si="128"/>
        <v>0</v>
      </c>
      <c r="AI335" s="78">
        <f t="shared" ca="1" si="144"/>
        <v>0</v>
      </c>
    </row>
    <row r="336" spans="1:35" x14ac:dyDescent="0.25">
      <c r="A336">
        <f t="shared" si="124"/>
        <v>28</v>
      </c>
      <c r="B336">
        <f t="shared" si="129"/>
        <v>331</v>
      </c>
      <c r="C336" s="49">
        <f t="shared" si="123"/>
        <v>10044</v>
      </c>
      <c r="D336" s="78">
        <f>IF(C336&gt;EDATE(DATE(YEAR(SED_Origination_Date)+ SED_Amort, MONTH(SED_Origination_Date), DAY(SED_Origination_Date)),SED_Interest_Only),0,H335)</f>
        <v>0</v>
      </c>
      <c r="E336" s="78">
        <f t="shared" si="130"/>
        <v>0</v>
      </c>
      <c r="F336" s="78">
        <f>IFERROR(IF(OR(B336=0, C336&gt;=Refi_Origination_Date),0, PPMT(SED_I_Adj,'Loan Amort Table'!B336,SED_Amort_Periods,SED_Orig_Loan_Amount)),0)</f>
        <v>0</v>
      </c>
      <c r="G336" s="78" cm="1">
        <f t="array" ref="G336">IFERROR(_xlfn.IFS(C336&gt;=Refi_Origination_Date, 0, SED_Amort = 0, -D336 * SED_I_Adj, 1, IPMT(SED_I_Adj,IF(B336 = 0, 1, B336),SED_Amort_Periods,SED_Orig_Loan_Amount)),0)</f>
        <v>0</v>
      </c>
      <c r="H336" s="78">
        <f t="shared" si="145"/>
        <v>0</v>
      </c>
      <c r="J336">
        <f t="shared" si="125"/>
        <v>28</v>
      </c>
      <c r="K336">
        <f t="shared" si="131"/>
        <v>331</v>
      </c>
      <c r="L336" s="49">
        <f t="shared" si="138"/>
        <v>10044</v>
      </c>
      <c r="M336" s="78">
        <f>IF(L336&gt;EDATE(DATE(YEAR(NEW_Origination_Date)+ NEW_Amort, MONTH(NEW_Origination_Date), DAY(NEW_Origination_Date)),NEW_Interest_Only),0,Q335)</f>
        <v>0</v>
      </c>
      <c r="N336" s="78">
        <f t="shared" si="132"/>
        <v>0</v>
      </c>
      <c r="O336" s="78">
        <f>IFERROR(IF(K336=0,0, PPMT(NEW_I_Adj,'Loan Amort Table'!K336,NEW_Amort_Periods,NEW_Orig_Loan_Amount)),0)</f>
        <v>0</v>
      </c>
      <c r="P336" s="78">
        <f>IFERROR(IF(NEW_Amort = 0, -M336* NEW_I_Adj,IPMT(NEW_I_Adj,IF(K336 = 0, 1, K336),NEW_Amort_Periods,NEW_Orig_Loan_Amount)),0)</f>
        <v>0</v>
      </c>
      <c r="Q336" s="78">
        <f t="shared" si="133"/>
        <v>0</v>
      </c>
      <c r="S336">
        <f t="shared" si="126"/>
        <v>28</v>
      </c>
      <c r="T336">
        <f t="shared" si="134"/>
        <v>331</v>
      </c>
      <c r="U336" s="49">
        <f t="shared" si="139"/>
        <v>10044</v>
      </c>
      <c r="V336" s="78">
        <f t="shared" si="135"/>
        <v>0</v>
      </c>
      <c r="W336" s="78">
        <f t="shared" ca="1" si="140"/>
        <v>0</v>
      </c>
      <c r="X336" s="78">
        <f>IFERROR(IF(OR(T336=0, U336&gt;=Refi_Origination_Date),0, PPMT(Mezz_I_Adj,'Loan Amort Table'!T336,Mezz_Amort_Periods,Mezz_Orig_Loan_Amount)),0)</f>
        <v>0</v>
      </c>
      <c r="Y336" s="78" cm="1">
        <f t="array" aca="1" ref="Y336" ca="1">IFERROR(_xlfn.IFS(U336&gt;=Refi_Origination_Date,0, Mezz_Amort = 0, -V336 * Mezz_I_Adj, 1, IPMT(Mezz_I_Adj,IF(T336 = 0, 1, T336),Mezz_Amort_Periods,Mezz_Orig_Loan_Amount)),0)</f>
        <v>0</v>
      </c>
      <c r="Z336" s="78">
        <f t="shared" si="141"/>
        <v>0</v>
      </c>
      <c r="AB336">
        <f t="shared" si="127"/>
        <v>28</v>
      </c>
      <c r="AC336">
        <f t="shared" si="136"/>
        <v>331</v>
      </c>
      <c r="AD336" s="49">
        <f t="shared" si="142"/>
        <v>10044</v>
      </c>
      <c r="AE336" s="78">
        <f t="shared" si="137"/>
        <v>0</v>
      </c>
      <c r="AF336" s="78">
        <f t="shared" ca="1" si="143"/>
        <v>0</v>
      </c>
      <c r="AG336" s="78">
        <f ca="1">IFERROR(IF(AC336=0,0, PPMT(Refi_I_Adj,'Loan Amort Table'!AC336,Refi_Amort_Periods,Refi_Orig_Loan_Amount)),0)</f>
        <v>0</v>
      </c>
      <c r="AH336" s="78">
        <f t="shared" ca="1" si="128"/>
        <v>0</v>
      </c>
      <c r="AI336" s="78">
        <f t="shared" ca="1" si="144"/>
        <v>0</v>
      </c>
    </row>
    <row r="337" spans="1:35" x14ac:dyDescent="0.25">
      <c r="A337">
        <f t="shared" si="124"/>
        <v>28</v>
      </c>
      <c r="B337">
        <f t="shared" si="129"/>
        <v>332</v>
      </c>
      <c r="C337" s="49">
        <f t="shared" si="123"/>
        <v>10075</v>
      </c>
      <c r="D337" s="78">
        <f>IF(C337&gt;EDATE(DATE(YEAR(SED_Origination_Date)+ SED_Amort, MONTH(SED_Origination_Date), DAY(SED_Origination_Date)),SED_Interest_Only),0,H336)</f>
        <v>0</v>
      </c>
      <c r="E337" s="78">
        <f t="shared" si="130"/>
        <v>0</v>
      </c>
      <c r="F337" s="78">
        <f>IFERROR(IF(OR(B337=0, C337&gt;=Refi_Origination_Date),0, PPMT(SED_I_Adj,'Loan Amort Table'!B337,SED_Amort_Periods,SED_Orig_Loan_Amount)),0)</f>
        <v>0</v>
      </c>
      <c r="G337" s="78" cm="1">
        <f t="array" ref="G337">IFERROR(_xlfn.IFS(C337&gt;=Refi_Origination_Date, 0, SED_Amort = 0, -D337 * SED_I_Adj, 1, IPMT(SED_I_Adj,IF(B337 = 0, 1, B337),SED_Amort_Periods,SED_Orig_Loan_Amount)),0)</f>
        <v>0</v>
      </c>
      <c r="H337" s="78">
        <f t="shared" si="145"/>
        <v>0</v>
      </c>
      <c r="J337">
        <f t="shared" si="125"/>
        <v>28</v>
      </c>
      <c r="K337">
        <f t="shared" si="131"/>
        <v>332</v>
      </c>
      <c r="L337" s="49">
        <f t="shared" si="138"/>
        <v>10075</v>
      </c>
      <c r="M337" s="78">
        <f>IF(L337&gt;EDATE(DATE(YEAR(NEW_Origination_Date)+ NEW_Amort, MONTH(NEW_Origination_Date), DAY(NEW_Origination_Date)),NEW_Interest_Only),0,Q336)</f>
        <v>0</v>
      </c>
      <c r="N337" s="78">
        <f t="shared" si="132"/>
        <v>0</v>
      </c>
      <c r="O337" s="78">
        <f>IFERROR(IF(K337=0,0, PPMT(NEW_I_Adj,'Loan Amort Table'!K337,NEW_Amort_Periods,NEW_Orig_Loan_Amount)),0)</f>
        <v>0</v>
      </c>
      <c r="P337" s="78">
        <f>IFERROR(IF(NEW_Amort = 0, -M337* NEW_I_Adj,IPMT(NEW_I_Adj,IF(K337 = 0, 1, K337),NEW_Amort_Periods,NEW_Orig_Loan_Amount)),0)</f>
        <v>0</v>
      </c>
      <c r="Q337" s="78">
        <f t="shared" si="133"/>
        <v>0</v>
      </c>
      <c r="S337">
        <f t="shared" si="126"/>
        <v>28</v>
      </c>
      <c r="T337">
        <f t="shared" si="134"/>
        <v>332</v>
      </c>
      <c r="U337" s="49">
        <f t="shared" si="139"/>
        <v>10075</v>
      </c>
      <c r="V337" s="78">
        <f t="shared" si="135"/>
        <v>0</v>
      </c>
      <c r="W337" s="78">
        <f t="shared" ca="1" si="140"/>
        <v>0</v>
      </c>
      <c r="X337" s="78">
        <f>IFERROR(IF(OR(T337=0, U337&gt;=Refi_Origination_Date),0, PPMT(Mezz_I_Adj,'Loan Amort Table'!T337,Mezz_Amort_Periods,Mezz_Orig_Loan_Amount)),0)</f>
        <v>0</v>
      </c>
      <c r="Y337" s="78" cm="1">
        <f t="array" aca="1" ref="Y337" ca="1">IFERROR(_xlfn.IFS(U337&gt;=Refi_Origination_Date,0, Mezz_Amort = 0, -V337 * Mezz_I_Adj, 1, IPMT(Mezz_I_Adj,IF(T337 = 0, 1, T337),Mezz_Amort_Periods,Mezz_Orig_Loan_Amount)),0)</f>
        <v>0</v>
      </c>
      <c r="Z337" s="78">
        <f t="shared" si="141"/>
        <v>0</v>
      </c>
      <c r="AB337">
        <f t="shared" si="127"/>
        <v>28</v>
      </c>
      <c r="AC337">
        <f t="shared" si="136"/>
        <v>332</v>
      </c>
      <c r="AD337" s="49">
        <f t="shared" si="142"/>
        <v>10075</v>
      </c>
      <c r="AE337" s="78">
        <f t="shared" si="137"/>
        <v>0</v>
      </c>
      <c r="AF337" s="78">
        <f t="shared" ca="1" si="143"/>
        <v>0</v>
      </c>
      <c r="AG337" s="78">
        <f ca="1">IFERROR(IF(AC337=0,0, PPMT(Refi_I_Adj,'Loan Amort Table'!AC337,Refi_Amort_Periods,Refi_Orig_Loan_Amount)),0)</f>
        <v>0</v>
      </c>
      <c r="AH337" s="78">
        <f t="shared" ca="1" si="128"/>
        <v>0</v>
      </c>
      <c r="AI337" s="78">
        <f t="shared" ca="1" si="144"/>
        <v>0</v>
      </c>
    </row>
    <row r="338" spans="1:35" x14ac:dyDescent="0.25">
      <c r="A338">
        <f t="shared" si="124"/>
        <v>28</v>
      </c>
      <c r="B338">
        <f t="shared" si="129"/>
        <v>333</v>
      </c>
      <c r="C338" s="49">
        <f t="shared" si="123"/>
        <v>10106</v>
      </c>
      <c r="D338" s="78">
        <f>IF(C338&gt;EDATE(DATE(YEAR(SED_Origination_Date)+ SED_Amort, MONTH(SED_Origination_Date), DAY(SED_Origination_Date)),SED_Interest_Only),0,H337)</f>
        <v>0</v>
      </c>
      <c r="E338" s="78">
        <f t="shared" si="130"/>
        <v>0</v>
      </c>
      <c r="F338" s="78">
        <f>IFERROR(IF(OR(B338=0, C338&gt;=Refi_Origination_Date),0, PPMT(SED_I_Adj,'Loan Amort Table'!B338,SED_Amort_Periods,SED_Orig_Loan_Amount)),0)</f>
        <v>0</v>
      </c>
      <c r="G338" s="78" cm="1">
        <f t="array" ref="G338">IFERROR(_xlfn.IFS(C338&gt;=Refi_Origination_Date, 0, SED_Amort = 0, -D338 * SED_I_Adj, 1, IPMT(SED_I_Adj,IF(B338 = 0, 1, B338),SED_Amort_Periods,SED_Orig_Loan_Amount)),0)</f>
        <v>0</v>
      </c>
      <c r="H338" s="78">
        <f t="shared" si="145"/>
        <v>0</v>
      </c>
      <c r="J338">
        <f t="shared" si="125"/>
        <v>28</v>
      </c>
      <c r="K338">
        <f t="shared" si="131"/>
        <v>333</v>
      </c>
      <c r="L338" s="49">
        <f t="shared" si="138"/>
        <v>10106</v>
      </c>
      <c r="M338" s="78">
        <f>IF(L338&gt;EDATE(DATE(YEAR(NEW_Origination_Date)+ NEW_Amort, MONTH(NEW_Origination_Date), DAY(NEW_Origination_Date)),NEW_Interest_Only),0,Q337)</f>
        <v>0</v>
      </c>
      <c r="N338" s="78">
        <f t="shared" si="132"/>
        <v>0</v>
      </c>
      <c r="O338" s="78">
        <f>IFERROR(IF(K338=0,0, PPMT(NEW_I_Adj,'Loan Amort Table'!K338,NEW_Amort_Periods,NEW_Orig_Loan_Amount)),0)</f>
        <v>0</v>
      </c>
      <c r="P338" s="78">
        <f>IFERROR(IF(NEW_Amort = 0, -M338* NEW_I_Adj,IPMT(NEW_I_Adj,IF(K338 = 0, 1, K338),NEW_Amort_Periods,NEW_Orig_Loan_Amount)),0)</f>
        <v>0</v>
      </c>
      <c r="Q338" s="78">
        <f t="shared" si="133"/>
        <v>0</v>
      </c>
      <c r="S338">
        <f t="shared" si="126"/>
        <v>28</v>
      </c>
      <c r="T338">
        <f t="shared" si="134"/>
        <v>333</v>
      </c>
      <c r="U338" s="49">
        <f t="shared" si="139"/>
        <v>10106</v>
      </c>
      <c r="V338" s="78">
        <f t="shared" si="135"/>
        <v>0</v>
      </c>
      <c r="W338" s="78">
        <f t="shared" ca="1" si="140"/>
        <v>0</v>
      </c>
      <c r="X338" s="78">
        <f>IFERROR(IF(OR(T338=0, U338&gt;=Refi_Origination_Date),0, PPMT(Mezz_I_Adj,'Loan Amort Table'!T338,Mezz_Amort_Periods,Mezz_Orig_Loan_Amount)),0)</f>
        <v>0</v>
      </c>
      <c r="Y338" s="78" cm="1">
        <f t="array" aca="1" ref="Y338" ca="1">IFERROR(_xlfn.IFS(U338&gt;=Refi_Origination_Date,0, Mezz_Amort = 0, -V338 * Mezz_I_Adj, 1, IPMT(Mezz_I_Adj,IF(T338 = 0, 1, T338),Mezz_Amort_Periods,Mezz_Orig_Loan_Amount)),0)</f>
        <v>0</v>
      </c>
      <c r="Z338" s="78">
        <f t="shared" si="141"/>
        <v>0</v>
      </c>
      <c r="AB338">
        <f t="shared" si="127"/>
        <v>28</v>
      </c>
      <c r="AC338">
        <f t="shared" si="136"/>
        <v>333</v>
      </c>
      <c r="AD338" s="49">
        <f t="shared" si="142"/>
        <v>10106</v>
      </c>
      <c r="AE338" s="78">
        <f t="shared" si="137"/>
        <v>0</v>
      </c>
      <c r="AF338" s="78">
        <f t="shared" ca="1" si="143"/>
        <v>0</v>
      </c>
      <c r="AG338" s="78">
        <f ca="1">IFERROR(IF(AC338=0,0, PPMT(Refi_I_Adj,'Loan Amort Table'!AC338,Refi_Amort_Periods,Refi_Orig_Loan_Amount)),0)</f>
        <v>0</v>
      </c>
      <c r="AH338" s="78">
        <f t="shared" ca="1" si="128"/>
        <v>0</v>
      </c>
      <c r="AI338" s="78">
        <f t="shared" ca="1" si="144"/>
        <v>0</v>
      </c>
    </row>
    <row r="339" spans="1:35" x14ac:dyDescent="0.25">
      <c r="A339">
        <f t="shared" si="124"/>
        <v>28</v>
      </c>
      <c r="B339">
        <f t="shared" si="129"/>
        <v>334</v>
      </c>
      <c r="C339" s="49">
        <f t="shared" si="123"/>
        <v>10136</v>
      </c>
      <c r="D339" s="78">
        <f>IF(C339&gt;EDATE(DATE(YEAR(SED_Origination_Date)+ SED_Amort, MONTH(SED_Origination_Date), DAY(SED_Origination_Date)),SED_Interest_Only),0,H338)</f>
        <v>0</v>
      </c>
      <c r="E339" s="78">
        <f t="shared" si="130"/>
        <v>0</v>
      </c>
      <c r="F339" s="78">
        <f>IFERROR(IF(OR(B339=0, C339&gt;=Refi_Origination_Date),0, PPMT(SED_I_Adj,'Loan Amort Table'!B339,SED_Amort_Periods,SED_Orig_Loan_Amount)),0)</f>
        <v>0</v>
      </c>
      <c r="G339" s="78" cm="1">
        <f t="array" ref="G339">IFERROR(_xlfn.IFS(C339&gt;=Refi_Origination_Date, 0, SED_Amort = 0, -D339 * SED_I_Adj, 1, IPMT(SED_I_Adj,IF(B339 = 0, 1, B339),SED_Amort_Periods,SED_Orig_Loan_Amount)),0)</f>
        <v>0</v>
      </c>
      <c r="H339" s="78">
        <f t="shared" si="145"/>
        <v>0</v>
      </c>
      <c r="J339">
        <f t="shared" si="125"/>
        <v>28</v>
      </c>
      <c r="K339">
        <f t="shared" si="131"/>
        <v>334</v>
      </c>
      <c r="L339" s="49">
        <f t="shared" si="138"/>
        <v>10136</v>
      </c>
      <c r="M339" s="78">
        <f>IF(L339&gt;EDATE(DATE(YEAR(NEW_Origination_Date)+ NEW_Amort, MONTH(NEW_Origination_Date), DAY(NEW_Origination_Date)),NEW_Interest_Only),0,Q338)</f>
        <v>0</v>
      </c>
      <c r="N339" s="78">
        <f t="shared" si="132"/>
        <v>0</v>
      </c>
      <c r="O339" s="78">
        <f>IFERROR(IF(K339=0,0, PPMT(NEW_I_Adj,'Loan Amort Table'!K339,NEW_Amort_Periods,NEW_Orig_Loan_Amount)),0)</f>
        <v>0</v>
      </c>
      <c r="P339" s="78">
        <f>IFERROR(IF(NEW_Amort = 0, -M339* NEW_I_Adj,IPMT(NEW_I_Adj,IF(K339 = 0, 1, K339),NEW_Amort_Periods,NEW_Orig_Loan_Amount)),0)</f>
        <v>0</v>
      </c>
      <c r="Q339" s="78">
        <f t="shared" si="133"/>
        <v>0</v>
      </c>
      <c r="S339">
        <f t="shared" si="126"/>
        <v>28</v>
      </c>
      <c r="T339">
        <f t="shared" si="134"/>
        <v>334</v>
      </c>
      <c r="U339" s="49">
        <f t="shared" si="139"/>
        <v>10136</v>
      </c>
      <c r="V339" s="78">
        <f t="shared" si="135"/>
        <v>0</v>
      </c>
      <c r="W339" s="78">
        <f t="shared" ca="1" si="140"/>
        <v>0</v>
      </c>
      <c r="X339" s="78">
        <f>IFERROR(IF(OR(T339=0, U339&gt;=Refi_Origination_Date),0, PPMT(Mezz_I_Adj,'Loan Amort Table'!T339,Mezz_Amort_Periods,Mezz_Orig_Loan_Amount)),0)</f>
        <v>0</v>
      </c>
      <c r="Y339" s="78" cm="1">
        <f t="array" aca="1" ref="Y339" ca="1">IFERROR(_xlfn.IFS(U339&gt;=Refi_Origination_Date,0, Mezz_Amort = 0, -V339 * Mezz_I_Adj, 1, IPMT(Mezz_I_Adj,IF(T339 = 0, 1, T339),Mezz_Amort_Periods,Mezz_Orig_Loan_Amount)),0)</f>
        <v>0</v>
      </c>
      <c r="Z339" s="78">
        <f t="shared" si="141"/>
        <v>0</v>
      </c>
      <c r="AB339">
        <f t="shared" si="127"/>
        <v>28</v>
      </c>
      <c r="AC339">
        <f t="shared" si="136"/>
        <v>334</v>
      </c>
      <c r="AD339" s="49">
        <f t="shared" si="142"/>
        <v>10136</v>
      </c>
      <c r="AE339" s="78">
        <f t="shared" si="137"/>
        <v>0</v>
      </c>
      <c r="AF339" s="78">
        <f t="shared" ca="1" si="143"/>
        <v>0</v>
      </c>
      <c r="AG339" s="78">
        <f ca="1">IFERROR(IF(AC339=0,0, PPMT(Refi_I_Adj,'Loan Amort Table'!AC339,Refi_Amort_Periods,Refi_Orig_Loan_Amount)),0)</f>
        <v>0</v>
      </c>
      <c r="AH339" s="78">
        <f t="shared" ca="1" si="128"/>
        <v>0</v>
      </c>
      <c r="AI339" s="78">
        <f t="shared" ca="1" si="144"/>
        <v>0</v>
      </c>
    </row>
    <row r="340" spans="1:35" x14ac:dyDescent="0.25">
      <c r="A340">
        <f t="shared" si="124"/>
        <v>28</v>
      </c>
      <c r="B340">
        <f t="shared" si="129"/>
        <v>335</v>
      </c>
      <c r="C340" s="49">
        <f t="shared" si="123"/>
        <v>10167</v>
      </c>
      <c r="D340" s="78">
        <f>IF(C340&gt;EDATE(DATE(YEAR(SED_Origination_Date)+ SED_Amort, MONTH(SED_Origination_Date), DAY(SED_Origination_Date)),SED_Interest_Only),0,H339)</f>
        <v>0</v>
      </c>
      <c r="E340" s="78">
        <f t="shared" si="130"/>
        <v>0</v>
      </c>
      <c r="F340" s="78">
        <f>IFERROR(IF(OR(B340=0, C340&gt;=Refi_Origination_Date),0, PPMT(SED_I_Adj,'Loan Amort Table'!B340,SED_Amort_Periods,SED_Orig_Loan_Amount)),0)</f>
        <v>0</v>
      </c>
      <c r="G340" s="78" cm="1">
        <f t="array" ref="G340">IFERROR(_xlfn.IFS(C340&gt;=Refi_Origination_Date, 0, SED_Amort = 0, -D340 * SED_I_Adj, 1, IPMT(SED_I_Adj,IF(B340 = 0, 1, B340),SED_Amort_Periods,SED_Orig_Loan_Amount)),0)</f>
        <v>0</v>
      </c>
      <c r="H340" s="78">
        <f t="shared" si="145"/>
        <v>0</v>
      </c>
      <c r="J340">
        <f t="shared" si="125"/>
        <v>28</v>
      </c>
      <c r="K340">
        <f t="shared" si="131"/>
        <v>335</v>
      </c>
      <c r="L340" s="49">
        <f t="shared" si="138"/>
        <v>10167</v>
      </c>
      <c r="M340" s="78">
        <f>IF(L340&gt;EDATE(DATE(YEAR(NEW_Origination_Date)+ NEW_Amort, MONTH(NEW_Origination_Date), DAY(NEW_Origination_Date)),NEW_Interest_Only),0,Q339)</f>
        <v>0</v>
      </c>
      <c r="N340" s="78">
        <f t="shared" si="132"/>
        <v>0</v>
      </c>
      <c r="O340" s="78">
        <f>IFERROR(IF(K340=0,0, PPMT(NEW_I_Adj,'Loan Amort Table'!K340,NEW_Amort_Periods,NEW_Orig_Loan_Amount)),0)</f>
        <v>0</v>
      </c>
      <c r="P340" s="78">
        <f>IFERROR(IF(NEW_Amort = 0, -M340* NEW_I_Adj,IPMT(NEW_I_Adj,IF(K340 = 0, 1, K340),NEW_Amort_Periods,NEW_Orig_Loan_Amount)),0)</f>
        <v>0</v>
      </c>
      <c r="Q340" s="78">
        <f t="shared" si="133"/>
        <v>0</v>
      </c>
      <c r="S340">
        <f t="shared" si="126"/>
        <v>28</v>
      </c>
      <c r="T340">
        <f t="shared" si="134"/>
        <v>335</v>
      </c>
      <c r="U340" s="49">
        <f t="shared" si="139"/>
        <v>10167</v>
      </c>
      <c r="V340" s="78">
        <f t="shared" si="135"/>
        <v>0</v>
      </c>
      <c r="W340" s="78">
        <f t="shared" ca="1" si="140"/>
        <v>0</v>
      </c>
      <c r="X340" s="78">
        <f>IFERROR(IF(OR(T340=0, U340&gt;=Refi_Origination_Date),0, PPMT(Mezz_I_Adj,'Loan Amort Table'!T340,Mezz_Amort_Periods,Mezz_Orig_Loan_Amount)),0)</f>
        <v>0</v>
      </c>
      <c r="Y340" s="78" cm="1">
        <f t="array" aca="1" ref="Y340" ca="1">IFERROR(_xlfn.IFS(U340&gt;=Refi_Origination_Date,0, Mezz_Amort = 0, -V340 * Mezz_I_Adj, 1, IPMT(Mezz_I_Adj,IF(T340 = 0, 1, T340),Mezz_Amort_Periods,Mezz_Orig_Loan_Amount)),0)</f>
        <v>0</v>
      </c>
      <c r="Z340" s="78">
        <f t="shared" si="141"/>
        <v>0</v>
      </c>
      <c r="AB340">
        <f t="shared" si="127"/>
        <v>28</v>
      </c>
      <c r="AC340">
        <f t="shared" si="136"/>
        <v>335</v>
      </c>
      <c r="AD340" s="49">
        <f t="shared" si="142"/>
        <v>10167</v>
      </c>
      <c r="AE340" s="78">
        <f t="shared" si="137"/>
        <v>0</v>
      </c>
      <c r="AF340" s="78">
        <f t="shared" ca="1" si="143"/>
        <v>0</v>
      </c>
      <c r="AG340" s="78">
        <f ca="1">IFERROR(IF(AC340=0,0, PPMT(Refi_I_Adj,'Loan Amort Table'!AC340,Refi_Amort_Periods,Refi_Orig_Loan_Amount)),0)</f>
        <v>0</v>
      </c>
      <c r="AH340" s="78">
        <f t="shared" ca="1" si="128"/>
        <v>0</v>
      </c>
      <c r="AI340" s="78">
        <f t="shared" ca="1" si="144"/>
        <v>0</v>
      </c>
    </row>
    <row r="341" spans="1:35" x14ac:dyDescent="0.25">
      <c r="A341">
        <f t="shared" si="124"/>
        <v>28</v>
      </c>
      <c r="B341">
        <f t="shared" si="129"/>
        <v>336</v>
      </c>
      <c r="C341" s="49">
        <f t="shared" si="123"/>
        <v>10197</v>
      </c>
      <c r="D341" s="78">
        <f>IF(C341&gt;EDATE(DATE(YEAR(SED_Origination_Date)+ SED_Amort, MONTH(SED_Origination_Date), DAY(SED_Origination_Date)),SED_Interest_Only),0,H340)</f>
        <v>0</v>
      </c>
      <c r="E341" s="78">
        <f t="shared" si="130"/>
        <v>0</v>
      </c>
      <c r="F341" s="78">
        <f>IFERROR(IF(OR(B341=0, C341&gt;=Refi_Origination_Date),0, PPMT(SED_I_Adj,'Loan Amort Table'!B341,SED_Amort_Periods,SED_Orig_Loan_Amount)),0)</f>
        <v>0</v>
      </c>
      <c r="G341" s="78" cm="1">
        <f t="array" ref="G341">IFERROR(_xlfn.IFS(C341&gt;=Refi_Origination_Date, 0, SED_Amort = 0, -D341 * SED_I_Adj, 1, IPMT(SED_I_Adj,IF(B341 = 0, 1, B341),SED_Amort_Periods,SED_Orig_Loan_Amount)),0)</f>
        <v>0</v>
      </c>
      <c r="H341" s="78">
        <f t="shared" si="145"/>
        <v>0</v>
      </c>
      <c r="J341">
        <f t="shared" si="125"/>
        <v>28</v>
      </c>
      <c r="K341">
        <f t="shared" si="131"/>
        <v>336</v>
      </c>
      <c r="L341" s="49">
        <f t="shared" si="138"/>
        <v>10197</v>
      </c>
      <c r="M341" s="78">
        <f>IF(L341&gt;EDATE(DATE(YEAR(NEW_Origination_Date)+ NEW_Amort, MONTH(NEW_Origination_Date), DAY(NEW_Origination_Date)),NEW_Interest_Only),0,Q340)</f>
        <v>0</v>
      </c>
      <c r="N341" s="78">
        <f t="shared" si="132"/>
        <v>0</v>
      </c>
      <c r="O341" s="78">
        <f>IFERROR(IF(K341=0,0, PPMT(NEW_I_Adj,'Loan Amort Table'!K341,NEW_Amort_Periods,NEW_Orig_Loan_Amount)),0)</f>
        <v>0</v>
      </c>
      <c r="P341" s="78">
        <f>IFERROR(IF(NEW_Amort = 0, -M341* NEW_I_Adj,IPMT(NEW_I_Adj,IF(K341 = 0, 1, K341),NEW_Amort_Periods,NEW_Orig_Loan_Amount)),0)</f>
        <v>0</v>
      </c>
      <c r="Q341" s="78">
        <f t="shared" si="133"/>
        <v>0</v>
      </c>
      <c r="S341">
        <f t="shared" si="126"/>
        <v>28</v>
      </c>
      <c r="T341">
        <f t="shared" si="134"/>
        <v>336</v>
      </c>
      <c r="U341" s="49">
        <f t="shared" si="139"/>
        <v>10197</v>
      </c>
      <c r="V341" s="78">
        <f t="shared" si="135"/>
        <v>0</v>
      </c>
      <c r="W341" s="78">
        <f t="shared" ca="1" si="140"/>
        <v>0</v>
      </c>
      <c r="X341" s="78">
        <f>IFERROR(IF(OR(T341=0, U341&gt;=Refi_Origination_Date),0, PPMT(Mezz_I_Adj,'Loan Amort Table'!T341,Mezz_Amort_Periods,Mezz_Orig_Loan_Amount)),0)</f>
        <v>0</v>
      </c>
      <c r="Y341" s="78" cm="1">
        <f t="array" aca="1" ref="Y341" ca="1">IFERROR(_xlfn.IFS(U341&gt;=Refi_Origination_Date,0, Mezz_Amort = 0, -V341 * Mezz_I_Adj, 1, IPMT(Mezz_I_Adj,IF(T341 = 0, 1, T341),Mezz_Amort_Periods,Mezz_Orig_Loan_Amount)),0)</f>
        <v>0</v>
      </c>
      <c r="Z341" s="78">
        <f t="shared" si="141"/>
        <v>0</v>
      </c>
      <c r="AB341">
        <f t="shared" si="127"/>
        <v>28</v>
      </c>
      <c r="AC341">
        <f t="shared" si="136"/>
        <v>336</v>
      </c>
      <c r="AD341" s="49">
        <f t="shared" si="142"/>
        <v>10197</v>
      </c>
      <c r="AE341" s="78">
        <f t="shared" si="137"/>
        <v>0</v>
      </c>
      <c r="AF341" s="78">
        <f t="shared" ca="1" si="143"/>
        <v>0</v>
      </c>
      <c r="AG341" s="78">
        <f ca="1">IFERROR(IF(AC341=0,0, PPMT(Refi_I_Adj,'Loan Amort Table'!AC341,Refi_Amort_Periods,Refi_Orig_Loan_Amount)),0)</f>
        <v>0</v>
      </c>
      <c r="AH341" s="78">
        <f t="shared" ca="1" si="128"/>
        <v>0</v>
      </c>
      <c r="AI341" s="78">
        <f t="shared" ca="1" si="144"/>
        <v>0</v>
      </c>
    </row>
    <row r="342" spans="1:35" x14ac:dyDescent="0.25">
      <c r="A342">
        <f t="shared" si="124"/>
        <v>29</v>
      </c>
      <c r="B342">
        <f t="shared" si="129"/>
        <v>337</v>
      </c>
      <c r="C342" s="49">
        <f t="shared" si="123"/>
        <v>10228</v>
      </c>
      <c r="D342" s="78">
        <f>IF(C342&gt;EDATE(DATE(YEAR(SED_Origination_Date)+ SED_Amort, MONTH(SED_Origination_Date), DAY(SED_Origination_Date)),SED_Interest_Only),0,H341)</f>
        <v>0</v>
      </c>
      <c r="E342" s="78">
        <f t="shared" si="130"/>
        <v>0</v>
      </c>
      <c r="F342" s="78">
        <f>IFERROR(IF(OR(B342=0, C342&gt;=Refi_Origination_Date),0, PPMT(SED_I_Adj,'Loan Amort Table'!B342,SED_Amort_Periods,SED_Orig_Loan_Amount)),0)</f>
        <v>0</v>
      </c>
      <c r="G342" s="78" cm="1">
        <f t="array" ref="G342">IFERROR(_xlfn.IFS(C342&gt;=Refi_Origination_Date, 0, SED_Amort = 0, -D342 * SED_I_Adj, 1, IPMT(SED_I_Adj,IF(B342 = 0, 1, B342),SED_Amort_Periods,SED_Orig_Loan_Amount)),0)</f>
        <v>0</v>
      </c>
      <c r="H342" s="78">
        <f t="shared" si="145"/>
        <v>0</v>
      </c>
      <c r="J342">
        <f t="shared" si="125"/>
        <v>29</v>
      </c>
      <c r="K342">
        <f t="shared" si="131"/>
        <v>337</v>
      </c>
      <c r="L342" s="49">
        <f t="shared" si="138"/>
        <v>10228</v>
      </c>
      <c r="M342" s="78">
        <f>IF(L342&gt;EDATE(DATE(YEAR(NEW_Origination_Date)+ NEW_Amort, MONTH(NEW_Origination_Date), DAY(NEW_Origination_Date)),NEW_Interest_Only),0,Q341)</f>
        <v>0</v>
      </c>
      <c r="N342" s="78">
        <f t="shared" si="132"/>
        <v>0</v>
      </c>
      <c r="O342" s="78">
        <f>IFERROR(IF(K342=0,0, PPMT(NEW_I_Adj,'Loan Amort Table'!K342,NEW_Amort_Periods,NEW_Orig_Loan_Amount)),0)</f>
        <v>0</v>
      </c>
      <c r="P342" s="78">
        <f>IFERROR(IF(NEW_Amort = 0, -M342* NEW_I_Adj,IPMT(NEW_I_Adj,IF(K342 = 0, 1, K342),NEW_Amort_Periods,NEW_Orig_Loan_Amount)),0)</f>
        <v>0</v>
      </c>
      <c r="Q342" s="78">
        <f t="shared" si="133"/>
        <v>0</v>
      </c>
      <c r="S342">
        <f t="shared" si="126"/>
        <v>29</v>
      </c>
      <c r="T342">
        <f t="shared" si="134"/>
        <v>337</v>
      </c>
      <c r="U342" s="49">
        <f t="shared" si="139"/>
        <v>10228</v>
      </c>
      <c r="V342" s="78">
        <f t="shared" si="135"/>
        <v>0</v>
      </c>
      <c r="W342" s="78">
        <f t="shared" ca="1" si="140"/>
        <v>0</v>
      </c>
      <c r="X342" s="78">
        <f>IFERROR(IF(OR(T342=0, U342&gt;=Refi_Origination_Date),0, PPMT(Mezz_I_Adj,'Loan Amort Table'!T342,Mezz_Amort_Periods,Mezz_Orig_Loan_Amount)),0)</f>
        <v>0</v>
      </c>
      <c r="Y342" s="78" cm="1">
        <f t="array" aca="1" ref="Y342" ca="1">IFERROR(_xlfn.IFS(U342&gt;=Refi_Origination_Date,0, Mezz_Amort = 0, -V342 * Mezz_I_Adj, 1, IPMT(Mezz_I_Adj,IF(T342 = 0, 1, T342),Mezz_Amort_Periods,Mezz_Orig_Loan_Amount)),0)</f>
        <v>0</v>
      </c>
      <c r="Z342" s="78">
        <f t="shared" si="141"/>
        <v>0</v>
      </c>
      <c r="AB342">
        <f t="shared" si="127"/>
        <v>29</v>
      </c>
      <c r="AC342">
        <f t="shared" si="136"/>
        <v>337</v>
      </c>
      <c r="AD342" s="49">
        <f t="shared" si="142"/>
        <v>10228</v>
      </c>
      <c r="AE342" s="78">
        <f t="shared" si="137"/>
        <v>0</v>
      </c>
      <c r="AF342" s="78">
        <f t="shared" ca="1" si="143"/>
        <v>0</v>
      </c>
      <c r="AG342" s="78">
        <f ca="1">IFERROR(IF(AC342=0,0, PPMT(Refi_I_Adj,'Loan Amort Table'!AC342,Refi_Amort_Periods,Refi_Orig_Loan_Amount)),0)</f>
        <v>0</v>
      </c>
      <c r="AH342" s="78">
        <f t="shared" ca="1" si="128"/>
        <v>0</v>
      </c>
      <c r="AI342" s="78">
        <f t="shared" ca="1" si="144"/>
        <v>0</v>
      </c>
    </row>
    <row r="343" spans="1:35" x14ac:dyDescent="0.25">
      <c r="A343">
        <f t="shared" si="124"/>
        <v>29</v>
      </c>
      <c r="B343">
        <f t="shared" si="129"/>
        <v>338</v>
      </c>
      <c r="C343" s="49">
        <f t="shared" si="123"/>
        <v>10259</v>
      </c>
      <c r="D343" s="78">
        <f>IF(C343&gt;EDATE(DATE(YEAR(SED_Origination_Date)+ SED_Amort, MONTH(SED_Origination_Date), DAY(SED_Origination_Date)),SED_Interest_Only),0,H342)</f>
        <v>0</v>
      </c>
      <c r="E343" s="78">
        <f t="shared" si="130"/>
        <v>0</v>
      </c>
      <c r="F343" s="78">
        <f>IFERROR(IF(OR(B343=0, C343&gt;=Refi_Origination_Date),0, PPMT(SED_I_Adj,'Loan Amort Table'!B343,SED_Amort_Periods,SED_Orig_Loan_Amount)),0)</f>
        <v>0</v>
      </c>
      <c r="G343" s="78" cm="1">
        <f t="array" ref="G343">IFERROR(_xlfn.IFS(C343&gt;=Refi_Origination_Date, 0, SED_Amort = 0, -D343 * SED_I_Adj, 1, IPMT(SED_I_Adj,IF(B343 = 0, 1, B343),SED_Amort_Periods,SED_Orig_Loan_Amount)),0)</f>
        <v>0</v>
      </c>
      <c r="H343" s="78">
        <f t="shared" si="145"/>
        <v>0</v>
      </c>
      <c r="J343">
        <f t="shared" si="125"/>
        <v>29</v>
      </c>
      <c r="K343">
        <f t="shared" si="131"/>
        <v>338</v>
      </c>
      <c r="L343" s="49">
        <f t="shared" si="138"/>
        <v>10259</v>
      </c>
      <c r="M343" s="78">
        <f>IF(L343&gt;EDATE(DATE(YEAR(NEW_Origination_Date)+ NEW_Amort, MONTH(NEW_Origination_Date), DAY(NEW_Origination_Date)),NEW_Interest_Only),0,Q342)</f>
        <v>0</v>
      </c>
      <c r="N343" s="78">
        <f t="shared" si="132"/>
        <v>0</v>
      </c>
      <c r="O343" s="78">
        <f>IFERROR(IF(K343=0,0, PPMT(NEW_I_Adj,'Loan Amort Table'!K343,NEW_Amort_Periods,NEW_Orig_Loan_Amount)),0)</f>
        <v>0</v>
      </c>
      <c r="P343" s="78">
        <f>IFERROR(IF(NEW_Amort = 0, -M343* NEW_I_Adj,IPMT(NEW_I_Adj,IF(K343 = 0, 1, K343),NEW_Amort_Periods,NEW_Orig_Loan_Amount)),0)</f>
        <v>0</v>
      </c>
      <c r="Q343" s="78">
        <f t="shared" si="133"/>
        <v>0</v>
      </c>
      <c r="S343">
        <f t="shared" si="126"/>
        <v>29</v>
      </c>
      <c r="T343">
        <f t="shared" si="134"/>
        <v>338</v>
      </c>
      <c r="U343" s="49">
        <f t="shared" si="139"/>
        <v>10259</v>
      </c>
      <c r="V343" s="78">
        <f t="shared" si="135"/>
        <v>0</v>
      </c>
      <c r="W343" s="78">
        <f t="shared" ca="1" si="140"/>
        <v>0</v>
      </c>
      <c r="X343" s="78">
        <f>IFERROR(IF(OR(T343=0, U343&gt;=Refi_Origination_Date),0, PPMT(Mezz_I_Adj,'Loan Amort Table'!T343,Mezz_Amort_Periods,Mezz_Orig_Loan_Amount)),0)</f>
        <v>0</v>
      </c>
      <c r="Y343" s="78" cm="1">
        <f t="array" aca="1" ref="Y343" ca="1">IFERROR(_xlfn.IFS(U343&gt;=Refi_Origination_Date,0, Mezz_Amort = 0, -V343 * Mezz_I_Adj, 1, IPMT(Mezz_I_Adj,IF(T343 = 0, 1, T343),Mezz_Amort_Periods,Mezz_Orig_Loan_Amount)),0)</f>
        <v>0</v>
      </c>
      <c r="Z343" s="78">
        <f t="shared" si="141"/>
        <v>0</v>
      </c>
      <c r="AB343">
        <f t="shared" si="127"/>
        <v>29</v>
      </c>
      <c r="AC343">
        <f t="shared" si="136"/>
        <v>338</v>
      </c>
      <c r="AD343" s="49">
        <f t="shared" si="142"/>
        <v>10259</v>
      </c>
      <c r="AE343" s="78">
        <f t="shared" si="137"/>
        <v>0</v>
      </c>
      <c r="AF343" s="78">
        <f t="shared" ca="1" si="143"/>
        <v>0</v>
      </c>
      <c r="AG343" s="78">
        <f ca="1">IFERROR(IF(AC343=0,0, PPMT(Refi_I_Adj,'Loan Amort Table'!AC343,Refi_Amort_Periods,Refi_Orig_Loan_Amount)),0)</f>
        <v>0</v>
      </c>
      <c r="AH343" s="78">
        <f t="shared" ca="1" si="128"/>
        <v>0</v>
      </c>
      <c r="AI343" s="78">
        <f t="shared" ca="1" si="144"/>
        <v>0</v>
      </c>
    </row>
    <row r="344" spans="1:35" x14ac:dyDescent="0.25">
      <c r="A344">
        <f t="shared" si="124"/>
        <v>29</v>
      </c>
      <c r="B344">
        <f t="shared" si="129"/>
        <v>339</v>
      </c>
      <c r="C344" s="49">
        <f t="shared" si="123"/>
        <v>10288</v>
      </c>
      <c r="D344" s="78">
        <f>IF(C344&gt;EDATE(DATE(YEAR(SED_Origination_Date)+ SED_Amort, MONTH(SED_Origination_Date), DAY(SED_Origination_Date)),SED_Interest_Only),0,H343)</f>
        <v>0</v>
      </c>
      <c r="E344" s="78">
        <f t="shared" si="130"/>
        <v>0</v>
      </c>
      <c r="F344" s="78">
        <f>IFERROR(IF(OR(B344=0, C344&gt;=Refi_Origination_Date),0, PPMT(SED_I_Adj,'Loan Amort Table'!B344,SED_Amort_Periods,SED_Orig_Loan_Amount)),0)</f>
        <v>0</v>
      </c>
      <c r="G344" s="78" cm="1">
        <f t="array" ref="G344">IFERROR(_xlfn.IFS(C344&gt;=Refi_Origination_Date, 0, SED_Amort = 0, -D344 * SED_I_Adj, 1, IPMT(SED_I_Adj,IF(B344 = 0, 1, B344),SED_Amort_Periods,SED_Orig_Loan_Amount)),0)</f>
        <v>0</v>
      </c>
      <c r="H344" s="78">
        <f t="shared" si="145"/>
        <v>0</v>
      </c>
      <c r="J344">
        <f t="shared" si="125"/>
        <v>29</v>
      </c>
      <c r="K344">
        <f t="shared" si="131"/>
        <v>339</v>
      </c>
      <c r="L344" s="49">
        <f t="shared" si="138"/>
        <v>10288</v>
      </c>
      <c r="M344" s="78">
        <f>IF(L344&gt;EDATE(DATE(YEAR(NEW_Origination_Date)+ NEW_Amort, MONTH(NEW_Origination_Date), DAY(NEW_Origination_Date)),NEW_Interest_Only),0,Q343)</f>
        <v>0</v>
      </c>
      <c r="N344" s="78">
        <f t="shared" si="132"/>
        <v>0</v>
      </c>
      <c r="O344" s="78">
        <f>IFERROR(IF(K344=0,0, PPMT(NEW_I_Adj,'Loan Amort Table'!K344,NEW_Amort_Periods,NEW_Orig_Loan_Amount)),0)</f>
        <v>0</v>
      </c>
      <c r="P344" s="78">
        <f>IFERROR(IF(NEW_Amort = 0, -M344* NEW_I_Adj,IPMT(NEW_I_Adj,IF(K344 = 0, 1, K344),NEW_Amort_Periods,NEW_Orig_Loan_Amount)),0)</f>
        <v>0</v>
      </c>
      <c r="Q344" s="78">
        <f t="shared" si="133"/>
        <v>0</v>
      </c>
      <c r="S344">
        <f t="shared" si="126"/>
        <v>29</v>
      </c>
      <c r="T344">
        <f t="shared" si="134"/>
        <v>339</v>
      </c>
      <c r="U344" s="49">
        <f t="shared" si="139"/>
        <v>10288</v>
      </c>
      <c r="V344" s="78">
        <f t="shared" si="135"/>
        <v>0</v>
      </c>
      <c r="W344" s="78">
        <f t="shared" ca="1" si="140"/>
        <v>0</v>
      </c>
      <c r="X344" s="78">
        <f>IFERROR(IF(OR(T344=0, U344&gt;=Refi_Origination_Date),0, PPMT(Mezz_I_Adj,'Loan Amort Table'!T344,Mezz_Amort_Periods,Mezz_Orig_Loan_Amount)),0)</f>
        <v>0</v>
      </c>
      <c r="Y344" s="78" cm="1">
        <f t="array" aca="1" ref="Y344" ca="1">IFERROR(_xlfn.IFS(U344&gt;=Refi_Origination_Date,0, Mezz_Amort = 0, -V344 * Mezz_I_Adj, 1, IPMT(Mezz_I_Adj,IF(T344 = 0, 1, T344),Mezz_Amort_Periods,Mezz_Orig_Loan_Amount)),0)</f>
        <v>0</v>
      </c>
      <c r="Z344" s="78">
        <f t="shared" si="141"/>
        <v>0</v>
      </c>
      <c r="AB344">
        <f t="shared" si="127"/>
        <v>29</v>
      </c>
      <c r="AC344">
        <f t="shared" si="136"/>
        <v>339</v>
      </c>
      <c r="AD344" s="49">
        <f t="shared" si="142"/>
        <v>10288</v>
      </c>
      <c r="AE344" s="78">
        <f t="shared" si="137"/>
        <v>0</v>
      </c>
      <c r="AF344" s="78">
        <f t="shared" ca="1" si="143"/>
        <v>0</v>
      </c>
      <c r="AG344" s="78">
        <f ca="1">IFERROR(IF(AC344=0,0, PPMT(Refi_I_Adj,'Loan Amort Table'!AC344,Refi_Amort_Periods,Refi_Orig_Loan_Amount)),0)</f>
        <v>0</v>
      </c>
      <c r="AH344" s="78">
        <f t="shared" ca="1" si="128"/>
        <v>0</v>
      </c>
      <c r="AI344" s="78">
        <f t="shared" ca="1" si="144"/>
        <v>0</v>
      </c>
    </row>
    <row r="345" spans="1:35" x14ac:dyDescent="0.25">
      <c r="A345">
        <f t="shared" si="124"/>
        <v>29</v>
      </c>
      <c r="B345">
        <f t="shared" si="129"/>
        <v>340</v>
      </c>
      <c r="C345" s="49">
        <f t="shared" si="123"/>
        <v>10319</v>
      </c>
      <c r="D345" s="78">
        <f>IF(C345&gt;EDATE(DATE(YEAR(SED_Origination_Date)+ SED_Amort, MONTH(SED_Origination_Date), DAY(SED_Origination_Date)),SED_Interest_Only),0,H344)</f>
        <v>0</v>
      </c>
      <c r="E345" s="78">
        <f t="shared" si="130"/>
        <v>0</v>
      </c>
      <c r="F345" s="78">
        <f>IFERROR(IF(OR(B345=0, C345&gt;=Refi_Origination_Date),0, PPMT(SED_I_Adj,'Loan Amort Table'!B345,SED_Amort_Periods,SED_Orig_Loan_Amount)),0)</f>
        <v>0</v>
      </c>
      <c r="G345" s="78" cm="1">
        <f t="array" ref="G345">IFERROR(_xlfn.IFS(C345&gt;=Refi_Origination_Date, 0, SED_Amort = 0, -D345 * SED_I_Adj, 1, IPMT(SED_I_Adj,IF(B345 = 0, 1, B345),SED_Amort_Periods,SED_Orig_Loan_Amount)),0)</f>
        <v>0</v>
      </c>
      <c r="H345" s="78">
        <f t="shared" si="145"/>
        <v>0</v>
      </c>
      <c r="J345">
        <f t="shared" si="125"/>
        <v>29</v>
      </c>
      <c r="K345">
        <f t="shared" si="131"/>
        <v>340</v>
      </c>
      <c r="L345" s="49">
        <f t="shared" si="138"/>
        <v>10319</v>
      </c>
      <c r="M345" s="78">
        <f>IF(L345&gt;EDATE(DATE(YEAR(NEW_Origination_Date)+ NEW_Amort, MONTH(NEW_Origination_Date), DAY(NEW_Origination_Date)),NEW_Interest_Only),0,Q344)</f>
        <v>0</v>
      </c>
      <c r="N345" s="78">
        <f t="shared" si="132"/>
        <v>0</v>
      </c>
      <c r="O345" s="78">
        <f>IFERROR(IF(K345=0,0, PPMT(NEW_I_Adj,'Loan Amort Table'!K345,NEW_Amort_Periods,NEW_Orig_Loan_Amount)),0)</f>
        <v>0</v>
      </c>
      <c r="P345" s="78">
        <f>IFERROR(IF(NEW_Amort = 0, -M345* NEW_I_Adj,IPMT(NEW_I_Adj,IF(K345 = 0, 1, K345),NEW_Amort_Periods,NEW_Orig_Loan_Amount)),0)</f>
        <v>0</v>
      </c>
      <c r="Q345" s="78">
        <f t="shared" si="133"/>
        <v>0</v>
      </c>
      <c r="S345">
        <f t="shared" si="126"/>
        <v>29</v>
      </c>
      <c r="T345">
        <f t="shared" si="134"/>
        <v>340</v>
      </c>
      <c r="U345" s="49">
        <f t="shared" si="139"/>
        <v>10319</v>
      </c>
      <c r="V345" s="78">
        <f t="shared" si="135"/>
        <v>0</v>
      </c>
      <c r="W345" s="78">
        <f t="shared" ca="1" si="140"/>
        <v>0</v>
      </c>
      <c r="X345" s="78">
        <f>IFERROR(IF(OR(T345=0, U345&gt;=Refi_Origination_Date),0, PPMT(Mezz_I_Adj,'Loan Amort Table'!T345,Mezz_Amort_Periods,Mezz_Orig_Loan_Amount)),0)</f>
        <v>0</v>
      </c>
      <c r="Y345" s="78" cm="1">
        <f t="array" aca="1" ref="Y345" ca="1">IFERROR(_xlfn.IFS(U345&gt;=Refi_Origination_Date,0, Mezz_Amort = 0, -V345 * Mezz_I_Adj, 1, IPMT(Mezz_I_Adj,IF(T345 = 0, 1, T345),Mezz_Amort_Periods,Mezz_Orig_Loan_Amount)),0)</f>
        <v>0</v>
      </c>
      <c r="Z345" s="78">
        <f t="shared" si="141"/>
        <v>0</v>
      </c>
      <c r="AB345">
        <f t="shared" si="127"/>
        <v>29</v>
      </c>
      <c r="AC345">
        <f t="shared" si="136"/>
        <v>340</v>
      </c>
      <c r="AD345" s="49">
        <f t="shared" si="142"/>
        <v>10319</v>
      </c>
      <c r="AE345" s="78">
        <f t="shared" si="137"/>
        <v>0</v>
      </c>
      <c r="AF345" s="78">
        <f t="shared" ca="1" si="143"/>
        <v>0</v>
      </c>
      <c r="AG345" s="78">
        <f ca="1">IFERROR(IF(AC345=0,0, PPMT(Refi_I_Adj,'Loan Amort Table'!AC345,Refi_Amort_Periods,Refi_Orig_Loan_Amount)),0)</f>
        <v>0</v>
      </c>
      <c r="AH345" s="78">
        <f t="shared" ca="1" si="128"/>
        <v>0</v>
      </c>
      <c r="AI345" s="78">
        <f t="shared" ca="1" si="144"/>
        <v>0</v>
      </c>
    </row>
    <row r="346" spans="1:35" x14ac:dyDescent="0.25">
      <c r="A346">
        <f t="shared" si="124"/>
        <v>29</v>
      </c>
      <c r="B346">
        <f t="shared" si="129"/>
        <v>341</v>
      </c>
      <c r="C346" s="49">
        <f t="shared" si="123"/>
        <v>10349</v>
      </c>
      <c r="D346" s="78">
        <f>IF(C346&gt;EDATE(DATE(YEAR(SED_Origination_Date)+ SED_Amort, MONTH(SED_Origination_Date), DAY(SED_Origination_Date)),SED_Interest_Only),0,H345)</f>
        <v>0</v>
      </c>
      <c r="E346" s="78">
        <f t="shared" si="130"/>
        <v>0</v>
      </c>
      <c r="F346" s="78">
        <f>IFERROR(IF(OR(B346=0, C346&gt;=Refi_Origination_Date),0, PPMT(SED_I_Adj,'Loan Amort Table'!B346,SED_Amort_Periods,SED_Orig_Loan_Amount)),0)</f>
        <v>0</v>
      </c>
      <c r="G346" s="78" cm="1">
        <f t="array" ref="G346">IFERROR(_xlfn.IFS(C346&gt;=Refi_Origination_Date, 0, SED_Amort = 0, -D346 * SED_I_Adj, 1, IPMT(SED_I_Adj,IF(B346 = 0, 1, B346),SED_Amort_Periods,SED_Orig_Loan_Amount)),0)</f>
        <v>0</v>
      </c>
      <c r="H346" s="78">
        <f t="shared" si="145"/>
        <v>0</v>
      </c>
      <c r="J346">
        <f t="shared" si="125"/>
        <v>29</v>
      </c>
      <c r="K346">
        <f t="shared" si="131"/>
        <v>341</v>
      </c>
      <c r="L346" s="49">
        <f t="shared" si="138"/>
        <v>10349</v>
      </c>
      <c r="M346" s="78">
        <f>IF(L346&gt;EDATE(DATE(YEAR(NEW_Origination_Date)+ NEW_Amort, MONTH(NEW_Origination_Date), DAY(NEW_Origination_Date)),NEW_Interest_Only),0,Q345)</f>
        <v>0</v>
      </c>
      <c r="N346" s="78">
        <f t="shared" si="132"/>
        <v>0</v>
      </c>
      <c r="O346" s="78">
        <f>IFERROR(IF(K346=0,0, PPMT(NEW_I_Adj,'Loan Amort Table'!K346,NEW_Amort_Periods,NEW_Orig_Loan_Amount)),0)</f>
        <v>0</v>
      </c>
      <c r="P346" s="78">
        <f>IFERROR(IF(NEW_Amort = 0, -M346* NEW_I_Adj,IPMT(NEW_I_Adj,IF(K346 = 0, 1, K346),NEW_Amort_Periods,NEW_Orig_Loan_Amount)),0)</f>
        <v>0</v>
      </c>
      <c r="Q346" s="78">
        <f t="shared" si="133"/>
        <v>0</v>
      </c>
      <c r="S346">
        <f t="shared" si="126"/>
        <v>29</v>
      </c>
      <c r="T346">
        <f t="shared" si="134"/>
        <v>341</v>
      </c>
      <c r="U346" s="49">
        <f t="shared" si="139"/>
        <v>10349</v>
      </c>
      <c r="V346" s="78">
        <f t="shared" si="135"/>
        <v>0</v>
      </c>
      <c r="W346" s="78">
        <f t="shared" ca="1" si="140"/>
        <v>0</v>
      </c>
      <c r="X346" s="78">
        <f>IFERROR(IF(OR(T346=0, U346&gt;=Refi_Origination_Date),0, PPMT(Mezz_I_Adj,'Loan Amort Table'!T346,Mezz_Amort_Periods,Mezz_Orig_Loan_Amount)),0)</f>
        <v>0</v>
      </c>
      <c r="Y346" s="78" cm="1">
        <f t="array" aca="1" ref="Y346" ca="1">IFERROR(_xlfn.IFS(U346&gt;=Refi_Origination_Date,0, Mezz_Amort = 0, -V346 * Mezz_I_Adj, 1, IPMT(Mezz_I_Adj,IF(T346 = 0, 1, T346),Mezz_Amort_Periods,Mezz_Orig_Loan_Amount)),0)</f>
        <v>0</v>
      </c>
      <c r="Z346" s="78">
        <f t="shared" si="141"/>
        <v>0</v>
      </c>
      <c r="AB346">
        <f t="shared" si="127"/>
        <v>29</v>
      </c>
      <c r="AC346">
        <f t="shared" si="136"/>
        <v>341</v>
      </c>
      <c r="AD346" s="49">
        <f t="shared" si="142"/>
        <v>10349</v>
      </c>
      <c r="AE346" s="78">
        <f t="shared" si="137"/>
        <v>0</v>
      </c>
      <c r="AF346" s="78">
        <f t="shared" ca="1" si="143"/>
        <v>0</v>
      </c>
      <c r="AG346" s="78">
        <f ca="1">IFERROR(IF(AC346=0,0, PPMT(Refi_I_Adj,'Loan Amort Table'!AC346,Refi_Amort_Periods,Refi_Orig_Loan_Amount)),0)</f>
        <v>0</v>
      </c>
      <c r="AH346" s="78">
        <f t="shared" ca="1" si="128"/>
        <v>0</v>
      </c>
      <c r="AI346" s="78">
        <f t="shared" ca="1" si="144"/>
        <v>0</v>
      </c>
    </row>
    <row r="347" spans="1:35" x14ac:dyDescent="0.25">
      <c r="A347">
        <f t="shared" si="124"/>
        <v>29</v>
      </c>
      <c r="B347">
        <f t="shared" si="129"/>
        <v>342</v>
      </c>
      <c r="C347" s="49">
        <f t="shared" si="123"/>
        <v>10380</v>
      </c>
      <c r="D347" s="78">
        <f>IF(C347&gt;EDATE(DATE(YEAR(SED_Origination_Date)+ SED_Amort, MONTH(SED_Origination_Date), DAY(SED_Origination_Date)),SED_Interest_Only),0,H346)</f>
        <v>0</v>
      </c>
      <c r="E347" s="78">
        <f t="shared" si="130"/>
        <v>0</v>
      </c>
      <c r="F347" s="78">
        <f>IFERROR(IF(OR(B347=0, C347&gt;=Refi_Origination_Date),0, PPMT(SED_I_Adj,'Loan Amort Table'!B347,SED_Amort_Periods,SED_Orig_Loan_Amount)),0)</f>
        <v>0</v>
      </c>
      <c r="G347" s="78" cm="1">
        <f t="array" ref="G347">IFERROR(_xlfn.IFS(C347&gt;=Refi_Origination_Date, 0, SED_Amort = 0, -D347 * SED_I_Adj, 1, IPMT(SED_I_Adj,IF(B347 = 0, 1, B347),SED_Amort_Periods,SED_Orig_Loan_Amount)),0)</f>
        <v>0</v>
      </c>
      <c r="H347" s="78">
        <f t="shared" si="145"/>
        <v>0</v>
      </c>
      <c r="J347">
        <f t="shared" si="125"/>
        <v>29</v>
      </c>
      <c r="K347">
        <f t="shared" si="131"/>
        <v>342</v>
      </c>
      <c r="L347" s="49">
        <f t="shared" si="138"/>
        <v>10380</v>
      </c>
      <c r="M347" s="78">
        <f>IF(L347&gt;EDATE(DATE(YEAR(NEW_Origination_Date)+ NEW_Amort, MONTH(NEW_Origination_Date), DAY(NEW_Origination_Date)),NEW_Interest_Only),0,Q346)</f>
        <v>0</v>
      </c>
      <c r="N347" s="78">
        <f t="shared" si="132"/>
        <v>0</v>
      </c>
      <c r="O347" s="78">
        <f>IFERROR(IF(K347=0,0, PPMT(NEW_I_Adj,'Loan Amort Table'!K347,NEW_Amort_Periods,NEW_Orig_Loan_Amount)),0)</f>
        <v>0</v>
      </c>
      <c r="P347" s="78">
        <f>IFERROR(IF(NEW_Amort = 0, -M347* NEW_I_Adj,IPMT(NEW_I_Adj,IF(K347 = 0, 1, K347),NEW_Amort_Periods,NEW_Orig_Loan_Amount)),0)</f>
        <v>0</v>
      </c>
      <c r="Q347" s="78">
        <f t="shared" si="133"/>
        <v>0</v>
      </c>
      <c r="S347">
        <f t="shared" si="126"/>
        <v>29</v>
      </c>
      <c r="T347">
        <f t="shared" si="134"/>
        <v>342</v>
      </c>
      <c r="U347" s="49">
        <f t="shared" si="139"/>
        <v>10380</v>
      </c>
      <c r="V347" s="78">
        <f t="shared" si="135"/>
        <v>0</v>
      </c>
      <c r="W347" s="78">
        <f t="shared" ca="1" si="140"/>
        <v>0</v>
      </c>
      <c r="X347" s="78">
        <f>IFERROR(IF(OR(T347=0, U347&gt;=Refi_Origination_Date),0, PPMT(Mezz_I_Adj,'Loan Amort Table'!T347,Mezz_Amort_Periods,Mezz_Orig_Loan_Amount)),0)</f>
        <v>0</v>
      </c>
      <c r="Y347" s="78" cm="1">
        <f t="array" aca="1" ref="Y347" ca="1">IFERROR(_xlfn.IFS(U347&gt;=Refi_Origination_Date,0, Mezz_Amort = 0, -V347 * Mezz_I_Adj, 1, IPMT(Mezz_I_Adj,IF(T347 = 0, 1, T347),Mezz_Amort_Periods,Mezz_Orig_Loan_Amount)),0)</f>
        <v>0</v>
      </c>
      <c r="Z347" s="78">
        <f t="shared" si="141"/>
        <v>0</v>
      </c>
      <c r="AB347">
        <f t="shared" si="127"/>
        <v>29</v>
      </c>
      <c r="AC347">
        <f t="shared" si="136"/>
        <v>342</v>
      </c>
      <c r="AD347" s="49">
        <f t="shared" si="142"/>
        <v>10380</v>
      </c>
      <c r="AE347" s="78">
        <f t="shared" si="137"/>
        <v>0</v>
      </c>
      <c r="AF347" s="78">
        <f t="shared" ca="1" si="143"/>
        <v>0</v>
      </c>
      <c r="AG347" s="78">
        <f ca="1">IFERROR(IF(AC347=0,0, PPMT(Refi_I_Adj,'Loan Amort Table'!AC347,Refi_Amort_Periods,Refi_Orig_Loan_Amount)),0)</f>
        <v>0</v>
      </c>
      <c r="AH347" s="78">
        <f t="shared" ca="1" si="128"/>
        <v>0</v>
      </c>
      <c r="AI347" s="78">
        <f t="shared" ca="1" si="144"/>
        <v>0</v>
      </c>
    </row>
    <row r="348" spans="1:35" x14ac:dyDescent="0.25">
      <c r="A348">
        <f t="shared" si="124"/>
        <v>29</v>
      </c>
      <c r="B348">
        <f t="shared" si="129"/>
        <v>343</v>
      </c>
      <c r="C348" s="49">
        <f t="shared" si="123"/>
        <v>10410</v>
      </c>
      <c r="D348" s="78">
        <f>IF(C348&gt;EDATE(DATE(YEAR(SED_Origination_Date)+ SED_Amort, MONTH(SED_Origination_Date), DAY(SED_Origination_Date)),SED_Interest_Only),0,H347)</f>
        <v>0</v>
      </c>
      <c r="E348" s="78">
        <f t="shared" si="130"/>
        <v>0</v>
      </c>
      <c r="F348" s="78">
        <f>IFERROR(IF(OR(B348=0, C348&gt;=Refi_Origination_Date),0, PPMT(SED_I_Adj,'Loan Amort Table'!B348,SED_Amort_Periods,SED_Orig_Loan_Amount)),0)</f>
        <v>0</v>
      </c>
      <c r="G348" s="78" cm="1">
        <f t="array" ref="G348">IFERROR(_xlfn.IFS(C348&gt;=Refi_Origination_Date, 0, SED_Amort = 0, -D348 * SED_I_Adj, 1, IPMT(SED_I_Adj,IF(B348 = 0, 1, B348),SED_Amort_Periods,SED_Orig_Loan_Amount)),0)</f>
        <v>0</v>
      </c>
      <c r="H348" s="78">
        <f t="shared" si="145"/>
        <v>0</v>
      </c>
      <c r="J348">
        <f t="shared" si="125"/>
        <v>29</v>
      </c>
      <c r="K348">
        <f t="shared" si="131"/>
        <v>343</v>
      </c>
      <c r="L348" s="49">
        <f t="shared" si="138"/>
        <v>10410</v>
      </c>
      <c r="M348" s="78">
        <f>IF(L348&gt;EDATE(DATE(YEAR(NEW_Origination_Date)+ NEW_Amort, MONTH(NEW_Origination_Date), DAY(NEW_Origination_Date)),NEW_Interest_Only),0,Q347)</f>
        <v>0</v>
      </c>
      <c r="N348" s="78">
        <f t="shared" si="132"/>
        <v>0</v>
      </c>
      <c r="O348" s="78">
        <f>IFERROR(IF(K348=0,0, PPMT(NEW_I_Adj,'Loan Amort Table'!K348,NEW_Amort_Periods,NEW_Orig_Loan_Amount)),0)</f>
        <v>0</v>
      </c>
      <c r="P348" s="78">
        <f>IFERROR(IF(NEW_Amort = 0, -M348* NEW_I_Adj,IPMT(NEW_I_Adj,IF(K348 = 0, 1, K348),NEW_Amort_Periods,NEW_Orig_Loan_Amount)),0)</f>
        <v>0</v>
      </c>
      <c r="Q348" s="78">
        <f t="shared" si="133"/>
        <v>0</v>
      </c>
      <c r="S348">
        <f t="shared" si="126"/>
        <v>29</v>
      </c>
      <c r="T348">
        <f t="shared" si="134"/>
        <v>343</v>
      </c>
      <c r="U348" s="49">
        <f t="shared" si="139"/>
        <v>10410</v>
      </c>
      <c r="V348" s="78">
        <f t="shared" si="135"/>
        <v>0</v>
      </c>
      <c r="W348" s="78">
        <f t="shared" ca="1" si="140"/>
        <v>0</v>
      </c>
      <c r="X348" s="78">
        <f>IFERROR(IF(OR(T348=0, U348&gt;=Refi_Origination_Date),0, PPMT(Mezz_I_Adj,'Loan Amort Table'!T348,Mezz_Amort_Periods,Mezz_Orig_Loan_Amount)),0)</f>
        <v>0</v>
      </c>
      <c r="Y348" s="78" cm="1">
        <f t="array" aca="1" ref="Y348" ca="1">IFERROR(_xlfn.IFS(U348&gt;=Refi_Origination_Date,0, Mezz_Amort = 0, -V348 * Mezz_I_Adj, 1, IPMT(Mezz_I_Adj,IF(T348 = 0, 1, T348),Mezz_Amort_Periods,Mezz_Orig_Loan_Amount)),0)</f>
        <v>0</v>
      </c>
      <c r="Z348" s="78">
        <f t="shared" si="141"/>
        <v>0</v>
      </c>
      <c r="AB348">
        <f t="shared" si="127"/>
        <v>29</v>
      </c>
      <c r="AC348">
        <f t="shared" si="136"/>
        <v>343</v>
      </c>
      <c r="AD348" s="49">
        <f t="shared" si="142"/>
        <v>10410</v>
      </c>
      <c r="AE348" s="78">
        <f t="shared" si="137"/>
        <v>0</v>
      </c>
      <c r="AF348" s="78">
        <f t="shared" ca="1" si="143"/>
        <v>0</v>
      </c>
      <c r="AG348" s="78">
        <f ca="1">IFERROR(IF(AC348=0,0, PPMT(Refi_I_Adj,'Loan Amort Table'!AC348,Refi_Amort_Periods,Refi_Orig_Loan_Amount)),0)</f>
        <v>0</v>
      </c>
      <c r="AH348" s="78">
        <f t="shared" ca="1" si="128"/>
        <v>0</v>
      </c>
      <c r="AI348" s="78">
        <f t="shared" ca="1" si="144"/>
        <v>0</v>
      </c>
    </row>
    <row r="349" spans="1:35" x14ac:dyDescent="0.25">
      <c r="A349">
        <f t="shared" si="124"/>
        <v>29</v>
      </c>
      <c r="B349">
        <f t="shared" si="129"/>
        <v>344</v>
      </c>
      <c r="C349" s="49">
        <f t="shared" si="123"/>
        <v>10441</v>
      </c>
      <c r="D349" s="78">
        <f>IF(C349&gt;EDATE(DATE(YEAR(SED_Origination_Date)+ SED_Amort, MONTH(SED_Origination_Date), DAY(SED_Origination_Date)),SED_Interest_Only),0,H348)</f>
        <v>0</v>
      </c>
      <c r="E349" s="78">
        <f t="shared" si="130"/>
        <v>0</v>
      </c>
      <c r="F349" s="78">
        <f>IFERROR(IF(OR(B349=0, C349&gt;=Refi_Origination_Date),0, PPMT(SED_I_Adj,'Loan Amort Table'!B349,SED_Amort_Periods,SED_Orig_Loan_Amount)),0)</f>
        <v>0</v>
      </c>
      <c r="G349" s="78" cm="1">
        <f t="array" ref="G349">IFERROR(_xlfn.IFS(C349&gt;=Refi_Origination_Date, 0, SED_Amort = 0, -D349 * SED_I_Adj, 1, IPMT(SED_I_Adj,IF(B349 = 0, 1, B349),SED_Amort_Periods,SED_Orig_Loan_Amount)),0)</f>
        <v>0</v>
      </c>
      <c r="H349" s="78">
        <f t="shared" si="145"/>
        <v>0</v>
      </c>
      <c r="J349">
        <f t="shared" si="125"/>
        <v>29</v>
      </c>
      <c r="K349">
        <f t="shared" si="131"/>
        <v>344</v>
      </c>
      <c r="L349" s="49">
        <f t="shared" si="138"/>
        <v>10441</v>
      </c>
      <c r="M349" s="78">
        <f>IF(L349&gt;EDATE(DATE(YEAR(NEW_Origination_Date)+ NEW_Amort, MONTH(NEW_Origination_Date), DAY(NEW_Origination_Date)),NEW_Interest_Only),0,Q348)</f>
        <v>0</v>
      </c>
      <c r="N349" s="78">
        <f t="shared" si="132"/>
        <v>0</v>
      </c>
      <c r="O349" s="78">
        <f>IFERROR(IF(K349=0,0, PPMT(NEW_I_Adj,'Loan Amort Table'!K349,NEW_Amort_Periods,NEW_Orig_Loan_Amount)),0)</f>
        <v>0</v>
      </c>
      <c r="P349" s="78">
        <f>IFERROR(IF(NEW_Amort = 0, -M349* NEW_I_Adj,IPMT(NEW_I_Adj,IF(K349 = 0, 1, K349),NEW_Amort_Periods,NEW_Orig_Loan_Amount)),0)</f>
        <v>0</v>
      </c>
      <c r="Q349" s="78">
        <f t="shared" si="133"/>
        <v>0</v>
      </c>
      <c r="S349">
        <f t="shared" si="126"/>
        <v>29</v>
      </c>
      <c r="T349">
        <f t="shared" si="134"/>
        <v>344</v>
      </c>
      <c r="U349" s="49">
        <f t="shared" si="139"/>
        <v>10441</v>
      </c>
      <c r="V349" s="78">
        <f t="shared" si="135"/>
        <v>0</v>
      </c>
      <c r="W349" s="78">
        <f t="shared" ca="1" si="140"/>
        <v>0</v>
      </c>
      <c r="X349" s="78">
        <f>IFERROR(IF(OR(T349=0, U349&gt;=Refi_Origination_Date),0, PPMT(Mezz_I_Adj,'Loan Amort Table'!T349,Mezz_Amort_Periods,Mezz_Orig_Loan_Amount)),0)</f>
        <v>0</v>
      </c>
      <c r="Y349" s="78" cm="1">
        <f t="array" aca="1" ref="Y349" ca="1">IFERROR(_xlfn.IFS(U349&gt;=Refi_Origination_Date,0, Mezz_Amort = 0, -V349 * Mezz_I_Adj, 1, IPMT(Mezz_I_Adj,IF(T349 = 0, 1, T349),Mezz_Amort_Periods,Mezz_Orig_Loan_Amount)),0)</f>
        <v>0</v>
      </c>
      <c r="Z349" s="78">
        <f t="shared" si="141"/>
        <v>0</v>
      </c>
      <c r="AB349">
        <f t="shared" si="127"/>
        <v>29</v>
      </c>
      <c r="AC349">
        <f t="shared" si="136"/>
        <v>344</v>
      </c>
      <c r="AD349" s="49">
        <f t="shared" si="142"/>
        <v>10441</v>
      </c>
      <c r="AE349" s="78">
        <f t="shared" si="137"/>
        <v>0</v>
      </c>
      <c r="AF349" s="78">
        <f t="shared" ca="1" si="143"/>
        <v>0</v>
      </c>
      <c r="AG349" s="78">
        <f ca="1">IFERROR(IF(AC349=0,0, PPMT(Refi_I_Adj,'Loan Amort Table'!AC349,Refi_Amort_Periods,Refi_Orig_Loan_Amount)),0)</f>
        <v>0</v>
      </c>
      <c r="AH349" s="78">
        <f t="shared" ca="1" si="128"/>
        <v>0</v>
      </c>
      <c r="AI349" s="78">
        <f t="shared" ca="1" si="144"/>
        <v>0</v>
      </c>
    </row>
    <row r="350" spans="1:35" x14ac:dyDescent="0.25">
      <c r="A350">
        <f t="shared" si="124"/>
        <v>29</v>
      </c>
      <c r="B350">
        <f t="shared" si="129"/>
        <v>345</v>
      </c>
      <c r="C350" s="49">
        <f t="shared" si="123"/>
        <v>10472</v>
      </c>
      <c r="D350" s="78">
        <f>IF(C350&gt;EDATE(DATE(YEAR(SED_Origination_Date)+ SED_Amort, MONTH(SED_Origination_Date), DAY(SED_Origination_Date)),SED_Interest_Only),0,H349)</f>
        <v>0</v>
      </c>
      <c r="E350" s="78">
        <f t="shared" si="130"/>
        <v>0</v>
      </c>
      <c r="F350" s="78">
        <f>IFERROR(IF(OR(B350=0, C350&gt;=Refi_Origination_Date),0, PPMT(SED_I_Adj,'Loan Amort Table'!B350,SED_Amort_Periods,SED_Orig_Loan_Amount)),0)</f>
        <v>0</v>
      </c>
      <c r="G350" s="78" cm="1">
        <f t="array" ref="G350">IFERROR(_xlfn.IFS(C350&gt;=Refi_Origination_Date, 0, SED_Amort = 0, -D350 * SED_I_Adj, 1, IPMT(SED_I_Adj,IF(B350 = 0, 1, B350),SED_Amort_Periods,SED_Orig_Loan_Amount)),0)</f>
        <v>0</v>
      </c>
      <c r="H350" s="78">
        <f t="shared" si="145"/>
        <v>0</v>
      </c>
      <c r="J350">
        <f t="shared" si="125"/>
        <v>29</v>
      </c>
      <c r="K350">
        <f t="shared" si="131"/>
        <v>345</v>
      </c>
      <c r="L350" s="49">
        <f t="shared" si="138"/>
        <v>10472</v>
      </c>
      <c r="M350" s="78">
        <f>IF(L350&gt;EDATE(DATE(YEAR(NEW_Origination_Date)+ NEW_Amort, MONTH(NEW_Origination_Date), DAY(NEW_Origination_Date)),NEW_Interest_Only),0,Q349)</f>
        <v>0</v>
      </c>
      <c r="N350" s="78">
        <f t="shared" si="132"/>
        <v>0</v>
      </c>
      <c r="O350" s="78">
        <f>IFERROR(IF(K350=0,0, PPMT(NEW_I_Adj,'Loan Amort Table'!K350,NEW_Amort_Periods,NEW_Orig_Loan_Amount)),0)</f>
        <v>0</v>
      </c>
      <c r="P350" s="78">
        <f>IFERROR(IF(NEW_Amort = 0, -M350* NEW_I_Adj,IPMT(NEW_I_Adj,IF(K350 = 0, 1, K350),NEW_Amort_Periods,NEW_Orig_Loan_Amount)),0)</f>
        <v>0</v>
      </c>
      <c r="Q350" s="78">
        <f t="shared" si="133"/>
        <v>0</v>
      </c>
      <c r="S350">
        <f t="shared" si="126"/>
        <v>29</v>
      </c>
      <c r="T350">
        <f t="shared" si="134"/>
        <v>345</v>
      </c>
      <c r="U350" s="49">
        <f t="shared" si="139"/>
        <v>10472</v>
      </c>
      <c r="V350" s="78">
        <f t="shared" si="135"/>
        <v>0</v>
      </c>
      <c r="W350" s="78">
        <f t="shared" ca="1" si="140"/>
        <v>0</v>
      </c>
      <c r="X350" s="78">
        <f>IFERROR(IF(OR(T350=0, U350&gt;=Refi_Origination_Date),0, PPMT(Mezz_I_Adj,'Loan Amort Table'!T350,Mezz_Amort_Periods,Mezz_Orig_Loan_Amount)),0)</f>
        <v>0</v>
      </c>
      <c r="Y350" s="78" cm="1">
        <f t="array" aca="1" ref="Y350" ca="1">IFERROR(_xlfn.IFS(U350&gt;=Refi_Origination_Date,0, Mezz_Amort = 0, -V350 * Mezz_I_Adj, 1, IPMT(Mezz_I_Adj,IF(T350 = 0, 1, T350),Mezz_Amort_Periods,Mezz_Orig_Loan_Amount)),0)</f>
        <v>0</v>
      </c>
      <c r="Z350" s="78">
        <f t="shared" si="141"/>
        <v>0</v>
      </c>
      <c r="AB350">
        <f t="shared" si="127"/>
        <v>29</v>
      </c>
      <c r="AC350">
        <f t="shared" si="136"/>
        <v>345</v>
      </c>
      <c r="AD350" s="49">
        <f t="shared" si="142"/>
        <v>10472</v>
      </c>
      <c r="AE350" s="78">
        <f t="shared" si="137"/>
        <v>0</v>
      </c>
      <c r="AF350" s="78">
        <f t="shared" ca="1" si="143"/>
        <v>0</v>
      </c>
      <c r="AG350" s="78">
        <f ca="1">IFERROR(IF(AC350=0,0, PPMT(Refi_I_Adj,'Loan Amort Table'!AC350,Refi_Amort_Periods,Refi_Orig_Loan_Amount)),0)</f>
        <v>0</v>
      </c>
      <c r="AH350" s="78">
        <f t="shared" ca="1" si="128"/>
        <v>0</v>
      </c>
      <c r="AI350" s="78">
        <f t="shared" ca="1" si="144"/>
        <v>0</v>
      </c>
    </row>
    <row r="351" spans="1:35" x14ac:dyDescent="0.25">
      <c r="A351">
        <f t="shared" si="124"/>
        <v>29</v>
      </c>
      <c r="B351">
        <f t="shared" si="129"/>
        <v>346</v>
      </c>
      <c r="C351" s="49">
        <f t="shared" si="123"/>
        <v>10502</v>
      </c>
      <c r="D351" s="78">
        <f>IF(C351&gt;EDATE(DATE(YEAR(SED_Origination_Date)+ SED_Amort, MONTH(SED_Origination_Date), DAY(SED_Origination_Date)),SED_Interest_Only),0,H350)</f>
        <v>0</v>
      </c>
      <c r="E351" s="78">
        <f t="shared" si="130"/>
        <v>0</v>
      </c>
      <c r="F351" s="78">
        <f>IFERROR(IF(OR(B351=0, C351&gt;=Refi_Origination_Date),0, PPMT(SED_I_Adj,'Loan Amort Table'!B351,SED_Amort_Periods,SED_Orig_Loan_Amount)),0)</f>
        <v>0</v>
      </c>
      <c r="G351" s="78" cm="1">
        <f t="array" ref="G351">IFERROR(_xlfn.IFS(C351&gt;=Refi_Origination_Date, 0, SED_Amort = 0, -D351 * SED_I_Adj, 1, IPMT(SED_I_Adj,IF(B351 = 0, 1, B351),SED_Amort_Periods,SED_Orig_Loan_Amount)),0)</f>
        <v>0</v>
      </c>
      <c r="H351" s="78">
        <f t="shared" si="145"/>
        <v>0</v>
      </c>
      <c r="J351">
        <f t="shared" si="125"/>
        <v>29</v>
      </c>
      <c r="K351">
        <f t="shared" si="131"/>
        <v>346</v>
      </c>
      <c r="L351" s="49">
        <f t="shared" si="138"/>
        <v>10502</v>
      </c>
      <c r="M351" s="78">
        <f>IF(L351&gt;EDATE(DATE(YEAR(NEW_Origination_Date)+ NEW_Amort, MONTH(NEW_Origination_Date), DAY(NEW_Origination_Date)),NEW_Interest_Only),0,Q350)</f>
        <v>0</v>
      </c>
      <c r="N351" s="78">
        <f t="shared" si="132"/>
        <v>0</v>
      </c>
      <c r="O351" s="78">
        <f>IFERROR(IF(K351=0,0, PPMT(NEW_I_Adj,'Loan Amort Table'!K351,NEW_Amort_Periods,NEW_Orig_Loan_Amount)),0)</f>
        <v>0</v>
      </c>
      <c r="P351" s="78">
        <f>IFERROR(IF(NEW_Amort = 0, -M351* NEW_I_Adj,IPMT(NEW_I_Adj,IF(K351 = 0, 1, K351),NEW_Amort_Periods,NEW_Orig_Loan_Amount)),0)</f>
        <v>0</v>
      </c>
      <c r="Q351" s="78">
        <f t="shared" si="133"/>
        <v>0</v>
      </c>
      <c r="S351">
        <f t="shared" si="126"/>
        <v>29</v>
      </c>
      <c r="T351">
        <f t="shared" si="134"/>
        <v>346</v>
      </c>
      <c r="U351" s="49">
        <f t="shared" si="139"/>
        <v>10502</v>
      </c>
      <c r="V351" s="78">
        <f t="shared" si="135"/>
        <v>0</v>
      </c>
      <c r="W351" s="78">
        <f t="shared" ca="1" si="140"/>
        <v>0</v>
      </c>
      <c r="X351" s="78">
        <f>IFERROR(IF(OR(T351=0, U351&gt;=Refi_Origination_Date),0, PPMT(Mezz_I_Adj,'Loan Amort Table'!T351,Mezz_Amort_Periods,Mezz_Orig_Loan_Amount)),0)</f>
        <v>0</v>
      </c>
      <c r="Y351" s="78" cm="1">
        <f t="array" aca="1" ref="Y351" ca="1">IFERROR(_xlfn.IFS(U351&gt;=Refi_Origination_Date,0, Mezz_Amort = 0, -V351 * Mezz_I_Adj, 1, IPMT(Mezz_I_Adj,IF(T351 = 0, 1, T351),Mezz_Amort_Periods,Mezz_Orig_Loan_Amount)),0)</f>
        <v>0</v>
      </c>
      <c r="Z351" s="78">
        <f t="shared" si="141"/>
        <v>0</v>
      </c>
      <c r="AB351">
        <f t="shared" si="127"/>
        <v>29</v>
      </c>
      <c r="AC351">
        <f t="shared" si="136"/>
        <v>346</v>
      </c>
      <c r="AD351" s="49">
        <f t="shared" si="142"/>
        <v>10502</v>
      </c>
      <c r="AE351" s="78">
        <f t="shared" si="137"/>
        <v>0</v>
      </c>
      <c r="AF351" s="78">
        <f t="shared" ca="1" si="143"/>
        <v>0</v>
      </c>
      <c r="AG351" s="78">
        <f ca="1">IFERROR(IF(AC351=0,0, PPMT(Refi_I_Adj,'Loan Amort Table'!AC351,Refi_Amort_Periods,Refi_Orig_Loan_Amount)),0)</f>
        <v>0</v>
      </c>
      <c r="AH351" s="78">
        <f t="shared" ca="1" si="128"/>
        <v>0</v>
      </c>
      <c r="AI351" s="78">
        <f t="shared" ca="1" si="144"/>
        <v>0</v>
      </c>
    </row>
    <row r="352" spans="1:35" x14ac:dyDescent="0.25">
      <c r="A352">
        <f t="shared" si="124"/>
        <v>29</v>
      </c>
      <c r="B352">
        <f t="shared" si="129"/>
        <v>347</v>
      </c>
      <c r="C352" s="49">
        <f t="shared" si="123"/>
        <v>10533</v>
      </c>
      <c r="D352" s="78">
        <f>IF(C352&gt;EDATE(DATE(YEAR(SED_Origination_Date)+ SED_Amort, MONTH(SED_Origination_Date), DAY(SED_Origination_Date)),SED_Interest_Only),0,H351)</f>
        <v>0</v>
      </c>
      <c r="E352" s="78">
        <f t="shared" si="130"/>
        <v>0</v>
      </c>
      <c r="F352" s="78">
        <f>IFERROR(IF(OR(B352=0, C352&gt;=Refi_Origination_Date),0, PPMT(SED_I_Adj,'Loan Amort Table'!B352,SED_Amort_Periods,SED_Orig_Loan_Amount)),0)</f>
        <v>0</v>
      </c>
      <c r="G352" s="78" cm="1">
        <f t="array" ref="G352">IFERROR(_xlfn.IFS(C352&gt;=Refi_Origination_Date, 0, SED_Amort = 0, -D352 * SED_I_Adj, 1, IPMT(SED_I_Adj,IF(B352 = 0, 1, B352),SED_Amort_Periods,SED_Orig_Loan_Amount)),0)</f>
        <v>0</v>
      </c>
      <c r="H352" s="78">
        <f t="shared" si="145"/>
        <v>0</v>
      </c>
      <c r="J352">
        <f t="shared" si="125"/>
        <v>29</v>
      </c>
      <c r="K352">
        <f t="shared" si="131"/>
        <v>347</v>
      </c>
      <c r="L352" s="49">
        <f t="shared" si="138"/>
        <v>10533</v>
      </c>
      <c r="M352" s="78">
        <f>IF(L352&gt;EDATE(DATE(YEAR(NEW_Origination_Date)+ NEW_Amort, MONTH(NEW_Origination_Date), DAY(NEW_Origination_Date)),NEW_Interest_Only),0,Q351)</f>
        <v>0</v>
      </c>
      <c r="N352" s="78">
        <f t="shared" si="132"/>
        <v>0</v>
      </c>
      <c r="O352" s="78">
        <f>IFERROR(IF(K352=0,0, PPMT(NEW_I_Adj,'Loan Amort Table'!K352,NEW_Amort_Periods,NEW_Orig_Loan_Amount)),0)</f>
        <v>0</v>
      </c>
      <c r="P352" s="78">
        <f>IFERROR(IF(NEW_Amort = 0, -M352* NEW_I_Adj,IPMT(NEW_I_Adj,IF(K352 = 0, 1, K352),NEW_Amort_Periods,NEW_Orig_Loan_Amount)),0)</f>
        <v>0</v>
      </c>
      <c r="Q352" s="78">
        <f t="shared" si="133"/>
        <v>0</v>
      </c>
      <c r="S352">
        <f t="shared" si="126"/>
        <v>29</v>
      </c>
      <c r="T352">
        <f t="shared" si="134"/>
        <v>347</v>
      </c>
      <c r="U352" s="49">
        <f t="shared" si="139"/>
        <v>10533</v>
      </c>
      <c r="V352" s="78">
        <f t="shared" si="135"/>
        <v>0</v>
      </c>
      <c r="W352" s="78">
        <f t="shared" ca="1" si="140"/>
        <v>0</v>
      </c>
      <c r="X352" s="78">
        <f>IFERROR(IF(OR(T352=0, U352&gt;=Refi_Origination_Date),0, PPMT(Mezz_I_Adj,'Loan Amort Table'!T352,Mezz_Amort_Periods,Mezz_Orig_Loan_Amount)),0)</f>
        <v>0</v>
      </c>
      <c r="Y352" s="78" cm="1">
        <f t="array" aca="1" ref="Y352" ca="1">IFERROR(_xlfn.IFS(U352&gt;=Refi_Origination_Date,0, Mezz_Amort = 0, -V352 * Mezz_I_Adj, 1, IPMT(Mezz_I_Adj,IF(T352 = 0, 1, T352),Mezz_Amort_Periods,Mezz_Orig_Loan_Amount)),0)</f>
        <v>0</v>
      </c>
      <c r="Z352" s="78">
        <f t="shared" si="141"/>
        <v>0</v>
      </c>
      <c r="AB352">
        <f t="shared" si="127"/>
        <v>29</v>
      </c>
      <c r="AC352">
        <f t="shared" si="136"/>
        <v>347</v>
      </c>
      <c r="AD352" s="49">
        <f t="shared" si="142"/>
        <v>10533</v>
      </c>
      <c r="AE352" s="78">
        <f t="shared" si="137"/>
        <v>0</v>
      </c>
      <c r="AF352" s="78">
        <f t="shared" ca="1" si="143"/>
        <v>0</v>
      </c>
      <c r="AG352" s="78">
        <f ca="1">IFERROR(IF(AC352=0,0, PPMT(Refi_I_Adj,'Loan Amort Table'!AC352,Refi_Amort_Periods,Refi_Orig_Loan_Amount)),0)</f>
        <v>0</v>
      </c>
      <c r="AH352" s="78">
        <f t="shared" ca="1" si="128"/>
        <v>0</v>
      </c>
      <c r="AI352" s="78">
        <f t="shared" ca="1" si="144"/>
        <v>0</v>
      </c>
    </row>
    <row r="353" spans="1:35" x14ac:dyDescent="0.25">
      <c r="A353">
        <f t="shared" si="124"/>
        <v>29</v>
      </c>
      <c r="B353">
        <f t="shared" si="129"/>
        <v>348</v>
      </c>
      <c r="C353" s="49">
        <f t="shared" si="123"/>
        <v>10563</v>
      </c>
      <c r="D353" s="78">
        <f>IF(C353&gt;EDATE(DATE(YEAR(SED_Origination_Date)+ SED_Amort, MONTH(SED_Origination_Date), DAY(SED_Origination_Date)),SED_Interest_Only),0,H352)</f>
        <v>0</v>
      </c>
      <c r="E353" s="78">
        <f t="shared" si="130"/>
        <v>0</v>
      </c>
      <c r="F353" s="78">
        <f>IFERROR(IF(OR(B353=0, C353&gt;=Refi_Origination_Date),0, PPMT(SED_I_Adj,'Loan Amort Table'!B353,SED_Amort_Periods,SED_Orig_Loan_Amount)),0)</f>
        <v>0</v>
      </c>
      <c r="G353" s="78" cm="1">
        <f t="array" ref="G353">IFERROR(_xlfn.IFS(C353&gt;=Refi_Origination_Date, 0, SED_Amort = 0, -D353 * SED_I_Adj, 1, IPMT(SED_I_Adj,IF(B353 = 0, 1, B353),SED_Amort_Periods,SED_Orig_Loan_Amount)),0)</f>
        <v>0</v>
      </c>
      <c r="H353" s="78">
        <f t="shared" si="145"/>
        <v>0</v>
      </c>
      <c r="J353">
        <f t="shared" si="125"/>
        <v>29</v>
      </c>
      <c r="K353">
        <f t="shared" si="131"/>
        <v>348</v>
      </c>
      <c r="L353" s="49">
        <f t="shared" si="138"/>
        <v>10563</v>
      </c>
      <c r="M353" s="78">
        <f>IF(L353&gt;EDATE(DATE(YEAR(NEW_Origination_Date)+ NEW_Amort, MONTH(NEW_Origination_Date), DAY(NEW_Origination_Date)),NEW_Interest_Only),0,Q352)</f>
        <v>0</v>
      </c>
      <c r="N353" s="78">
        <f t="shared" si="132"/>
        <v>0</v>
      </c>
      <c r="O353" s="78">
        <f>IFERROR(IF(K353=0,0, PPMT(NEW_I_Adj,'Loan Amort Table'!K353,NEW_Amort_Periods,NEW_Orig_Loan_Amount)),0)</f>
        <v>0</v>
      </c>
      <c r="P353" s="78">
        <f>IFERROR(IF(NEW_Amort = 0, -M353* NEW_I_Adj,IPMT(NEW_I_Adj,IF(K353 = 0, 1, K353),NEW_Amort_Periods,NEW_Orig_Loan_Amount)),0)</f>
        <v>0</v>
      </c>
      <c r="Q353" s="78">
        <f t="shared" si="133"/>
        <v>0</v>
      </c>
      <c r="S353">
        <f t="shared" si="126"/>
        <v>29</v>
      </c>
      <c r="T353">
        <f t="shared" si="134"/>
        <v>348</v>
      </c>
      <c r="U353" s="49">
        <f t="shared" si="139"/>
        <v>10563</v>
      </c>
      <c r="V353" s="78">
        <f t="shared" si="135"/>
        <v>0</v>
      </c>
      <c r="W353" s="78">
        <f t="shared" ca="1" si="140"/>
        <v>0</v>
      </c>
      <c r="X353" s="78">
        <f>IFERROR(IF(OR(T353=0, U353&gt;=Refi_Origination_Date),0, PPMT(Mezz_I_Adj,'Loan Amort Table'!T353,Mezz_Amort_Periods,Mezz_Orig_Loan_Amount)),0)</f>
        <v>0</v>
      </c>
      <c r="Y353" s="78" cm="1">
        <f t="array" aca="1" ref="Y353" ca="1">IFERROR(_xlfn.IFS(U353&gt;=Refi_Origination_Date,0, Mezz_Amort = 0, -V353 * Mezz_I_Adj, 1, IPMT(Mezz_I_Adj,IF(T353 = 0, 1, T353),Mezz_Amort_Periods,Mezz_Orig_Loan_Amount)),0)</f>
        <v>0</v>
      </c>
      <c r="Z353" s="78">
        <f t="shared" si="141"/>
        <v>0</v>
      </c>
      <c r="AB353">
        <f t="shared" si="127"/>
        <v>29</v>
      </c>
      <c r="AC353">
        <f t="shared" si="136"/>
        <v>348</v>
      </c>
      <c r="AD353" s="49">
        <f t="shared" si="142"/>
        <v>10563</v>
      </c>
      <c r="AE353" s="78">
        <f t="shared" si="137"/>
        <v>0</v>
      </c>
      <c r="AF353" s="78">
        <f t="shared" ca="1" si="143"/>
        <v>0</v>
      </c>
      <c r="AG353" s="78">
        <f ca="1">IFERROR(IF(AC353=0,0, PPMT(Refi_I_Adj,'Loan Amort Table'!AC353,Refi_Amort_Periods,Refi_Orig_Loan_Amount)),0)</f>
        <v>0</v>
      </c>
      <c r="AH353" s="78">
        <f t="shared" ca="1" si="128"/>
        <v>0</v>
      </c>
      <c r="AI353" s="78">
        <f t="shared" ca="1" si="144"/>
        <v>0</v>
      </c>
    </row>
    <row r="354" spans="1:35" x14ac:dyDescent="0.25">
      <c r="A354">
        <f t="shared" si="124"/>
        <v>30</v>
      </c>
      <c r="B354">
        <f t="shared" si="129"/>
        <v>349</v>
      </c>
      <c r="C354" s="49">
        <f t="shared" si="123"/>
        <v>10594</v>
      </c>
      <c r="D354" s="78">
        <f>IF(C354&gt;EDATE(DATE(YEAR(SED_Origination_Date)+ SED_Amort, MONTH(SED_Origination_Date), DAY(SED_Origination_Date)),SED_Interest_Only),0,H353)</f>
        <v>0</v>
      </c>
      <c r="E354" s="78">
        <f t="shared" si="130"/>
        <v>0</v>
      </c>
      <c r="F354" s="78">
        <f>IFERROR(IF(OR(B354=0, C354&gt;=Refi_Origination_Date),0, PPMT(SED_I_Adj,'Loan Amort Table'!B354,SED_Amort_Periods,SED_Orig_Loan_Amount)),0)</f>
        <v>0</v>
      </c>
      <c r="G354" s="78" cm="1">
        <f t="array" ref="G354">IFERROR(_xlfn.IFS(C354&gt;=Refi_Origination_Date, 0, SED_Amort = 0, -D354 * SED_I_Adj, 1, IPMT(SED_I_Adj,IF(B354 = 0, 1, B354),SED_Amort_Periods,SED_Orig_Loan_Amount)),0)</f>
        <v>0</v>
      </c>
      <c r="H354" s="78">
        <f t="shared" si="145"/>
        <v>0</v>
      </c>
      <c r="J354">
        <f t="shared" si="125"/>
        <v>30</v>
      </c>
      <c r="K354">
        <f t="shared" si="131"/>
        <v>349</v>
      </c>
      <c r="L354" s="49">
        <f t="shared" si="138"/>
        <v>10594</v>
      </c>
      <c r="M354" s="78">
        <f>IF(L354&gt;EDATE(DATE(YEAR(NEW_Origination_Date)+ NEW_Amort, MONTH(NEW_Origination_Date), DAY(NEW_Origination_Date)),NEW_Interest_Only),0,Q353)</f>
        <v>0</v>
      </c>
      <c r="N354" s="78">
        <f t="shared" si="132"/>
        <v>0</v>
      </c>
      <c r="O354" s="78">
        <f>IFERROR(IF(K354=0,0, PPMT(NEW_I_Adj,'Loan Amort Table'!K354,NEW_Amort_Periods,NEW_Orig_Loan_Amount)),0)</f>
        <v>0</v>
      </c>
      <c r="P354" s="78">
        <f>IFERROR(IF(NEW_Amort = 0, -M354* NEW_I_Adj,IPMT(NEW_I_Adj,IF(K354 = 0, 1, K354),NEW_Amort_Periods,NEW_Orig_Loan_Amount)),0)</f>
        <v>0</v>
      </c>
      <c r="Q354" s="78">
        <f t="shared" si="133"/>
        <v>0</v>
      </c>
      <c r="S354">
        <f t="shared" si="126"/>
        <v>30</v>
      </c>
      <c r="T354">
        <f t="shared" si="134"/>
        <v>349</v>
      </c>
      <c r="U354" s="49">
        <f t="shared" si="139"/>
        <v>10594</v>
      </c>
      <c r="V354" s="78">
        <f t="shared" si="135"/>
        <v>0</v>
      </c>
      <c r="W354" s="78">
        <f t="shared" ca="1" si="140"/>
        <v>0</v>
      </c>
      <c r="X354" s="78">
        <f>IFERROR(IF(OR(T354=0, U354&gt;=Refi_Origination_Date),0, PPMT(Mezz_I_Adj,'Loan Amort Table'!T354,Mezz_Amort_Periods,Mezz_Orig_Loan_Amount)),0)</f>
        <v>0</v>
      </c>
      <c r="Y354" s="78" cm="1">
        <f t="array" aca="1" ref="Y354" ca="1">IFERROR(_xlfn.IFS(U354&gt;=Refi_Origination_Date,0, Mezz_Amort = 0, -V354 * Mezz_I_Adj, 1, IPMT(Mezz_I_Adj,IF(T354 = 0, 1, T354),Mezz_Amort_Periods,Mezz_Orig_Loan_Amount)),0)</f>
        <v>0</v>
      </c>
      <c r="Z354" s="78">
        <f t="shared" si="141"/>
        <v>0</v>
      </c>
      <c r="AB354">
        <f t="shared" si="127"/>
        <v>30</v>
      </c>
      <c r="AC354">
        <f t="shared" si="136"/>
        <v>349</v>
      </c>
      <c r="AD354" s="49">
        <f t="shared" si="142"/>
        <v>10594</v>
      </c>
      <c r="AE354" s="78">
        <f t="shared" si="137"/>
        <v>0</v>
      </c>
      <c r="AF354" s="78">
        <f t="shared" ca="1" si="143"/>
        <v>0</v>
      </c>
      <c r="AG354" s="78">
        <f ca="1">IFERROR(IF(AC354=0,0, PPMT(Refi_I_Adj,'Loan Amort Table'!AC354,Refi_Amort_Periods,Refi_Orig_Loan_Amount)),0)</f>
        <v>0</v>
      </c>
      <c r="AH354" s="78">
        <f t="shared" ca="1" si="128"/>
        <v>0</v>
      </c>
      <c r="AI354" s="78">
        <f t="shared" ca="1" si="144"/>
        <v>0</v>
      </c>
    </row>
    <row r="355" spans="1:35" x14ac:dyDescent="0.25">
      <c r="A355">
        <f t="shared" si="124"/>
        <v>30</v>
      </c>
      <c r="B355">
        <f t="shared" si="129"/>
        <v>350</v>
      </c>
      <c r="C355" s="49">
        <f t="shared" si="123"/>
        <v>10625</v>
      </c>
      <c r="D355" s="78">
        <f>IF(C355&gt;EDATE(DATE(YEAR(SED_Origination_Date)+ SED_Amort, MONTH(SED_Origination_Date), DAY(SED_Origination_Date)),SED_Interest_Only),0,H354)</f>
        <v>0</v>
      </c>
      <c r="E355" s="78">
        <f t="shared" si="130"/>
        <v>0</v>
      </c>
      <c r="F355" s="78">
        <f>IFERROR(IF(OR(B355=0, C355&gt;=Refi_Origination_Date),0, PPMT(SED_I_Adj,'Loan Amort Table'!B355,SED_Amort_Periods,SED_Orig_Loan_Amount)),0)</f>
        <v>0</v>
      </c>
      <c r="G355" s="78" cm="1">
        <f t="array" ref="G355">IFERROR(_xlfn.IFS(C355&gt;=Refi_Origination_Date, 0, SED_Amort = 0, -D355 * SED_I_Adj, 1, IPMT(SED_I_Adj,IF(B355 = 0, 1, B355),SED_Amort_Periods,SED_Orig_Loan_Amount)),0)</f>
        <v>0</v>
      </c>
      <c r="H355" s="78">
        <f t="shared" si="145"/>
        <v>0</v>
      </c>
      <c r="J355">
        <f t="shared" si="125"/>
        <v>30</v>
      </c>
      <c r="K355">
        <f t="shared" si="131"/>
        <v>350</v>
      </c>
      <c r="L355" s="49">
        <f t="shared" si="138"/>
        <v>10625</v>
      </c>
      <c r="M355" s="78">
        <f>IF(L355&gt;EDATE(DATE(YEAR(NEW_Origination_Date)+ NEW_Amort, MONTH(NEW_Origination_Date), DAY(NEW_Origination_Date)),NEW_Interest_Only),0,Q354)</f>
        <v>0</v>
      </c>
      <c r="N355" s="78">
        <f t="shared" si="132"/>
        <v>0</v>
      </c>
      <c r="O355" s="78">
        <f>IFERROR(IF(K355=0,0, PPMT(NEW_I_Adj,'Loan Amort Table'!K355,NEW_Amort_Periods,NEW_Orig_Loan_Amount)),0)</f>
        <v>0</v>
      </c>
      <c r="P355" s="78">
        <f>IFERROR(IF(NEW_Amort = 0, -M355* NEW_I_Adj,IPMT(NEW_I_Adj,IF(K355 = 0, 1, K355),NEW_Amort_Periods,NEW_Orig_Loan_Amount)),0)</f>
        <v>0</v>
      </c>
      <c r="Q355" s="78">
        <f t="shared" si="133"/>
        <v>0</v>
      </c>
      <c r="S355">
        <f t="shared" si="126"/>
        <v>30</v>
      </c>
      <c r="T355">
        <f t="shared" si="134"/>
        <v>350</v>
      </c>
      <c r="U355" s="49">
        <f t="shared" si="139"/>
        <v>10625</v>
      </c>
      <c r="V355" s="78">
        <f t="shared" si="135"/>
        <v>0</v>
      </c>
      <c r="W355" s="78">
        <f t="shared" ca="1" si="140"/>
        <v>0</v>
      </c>
      <c r="X355" s="78">
        <f>IFERROR(IF(OR(T355=0, U355&gt;=Refi_Origination_Date),0, PPMT(Mezz_I_Adj,'Loan Amort Table'!T355,Mezz_Amort_Periods,Mezz_Orig_Loan_Amount)),0)</f>
        <v>0</v>
      </c>
      <c r="Y355" s="78" cm="1">
        <f t="array" aca="1" ref="Y355" ca="1">IFERROR(_xlfn.IFS(U355&gt;=Refi_Origination_Date,0, Mezz_Amort = 0, -V355 * Mezz_I_Adj, 1, IPMT(Mezz_I_Adj,IF(T355 = 0, 1, T355),Mezz_Amort_Periods,Mezz_Orig_Loan_Amount)),0)</f>
        <v>0</v>
      </c>
      <c r="Z355" s="78">
        <f t="shared" si="141"/>
        <v>0</v>
      </c>
      <c r="AB355">
        <f t="shared" si="127"/>
        <v>30</v>
      </c>
      <c r="AC355">
        <f t="shared" si="136"/>
        <v>350</v>
      </c>
      <c r="AD355" s="49">
        <f t="shared" si="142"/>
        <v>10625</v>
      </c>
      <c r="AE355" s="78">
        <f t="shared" si="137"/>
        <v>0</v>
      </c>
      <c r="AF355" s="78">
        <f t="shared" ca="1" si="143"/>
        <v>0</v>
      </c>
      <c r="AG355" s="78">
        <f ca="1">IFERROR(IF(AC355=0,0, PPMT(Refi_I_Adj,'Loan Amort Table'!AC355,Refi_Amort_Periods,Refi_Orig_Loan_Amount)),0)</f>
        <v>0</v>
      </c>
      <c r="AH355" s="78">
        <f t="shared" ca="1" si="128"/>
        <v>0</v>
      </c>
      <c r="AI355" s="78">
        <f t="shared" ca="1" si="144"/>
        <v>0</v>
      </c>
    </row>
    <row r="356" spans="1:35" x14ac:dyDescent="0.25">
      <c r="A356">
        <f t="shared" si="124"/>
        <v>30</v>
      </c>
      <c r="B356">
        <f t="shared" si="129"/>
        <v>351</v>
      </c>
      <c r="C356" s="49">
        <f t="shared" si="123"/>
        <v>10653</v>
      </c>
      <c r="D356" s="78">
        <f>IF(C356&gt;EDATE(DATE(YEAR(SED_Origination_Date)+ SED_Amort, MONTH(SED_Origination_Date), DAY(SED_Origination_Date)),SED_Interest_Only),0,H355)</f>
        <v>0</v>
      </c>
      <c r="E356" s="78">
        <f t="shared" si="130"/>
        <v>0</v>
      </c>
      <c r="F356" s="78">
        <f>IFERROR(IF(OR(B356=0, C356&gt;=Refi_Origination_Date),0, PPMT(SED_I_Adj,'Loan Amort Table'!B356,SED_Amort_Periods,SED_Orig_Loan_Amount)),0)</f>
        <v>0</v>
      </c>
      <c r="G356" s="78" cm="1">
        <f t="array" ref="G356">IFERROR(_xlfn.IFS(C356&gt;=Refi_Origination_Date, 0, SED_Amort = 0, -D356 * SED_I_Adj, 1, IPMT(SED_I_Adj,IF(B356 = 0, 1, B356),SED_Amort_Periods,SED_Orig_Loan_Amount)),0)</f>
        <v>0</v>
      </c>
      <c r="H356" s="78">
        <f t="shared" si="145"/>
        <v>0</v>
      </c>
      <c r="J356">
        <f t="shared" si="125"/>
        <v>30</v>
      </c>
      <c r="K356">
        <f t="shared" si="131"/>
        <v>351</v>
      </c>
      <c r="L356" s="49">
        <f t="shared" si="138"/>
        <v>10653</v>
      </c>
      <c r="M356" s="78">
        <f>IF(L356&gt;EDATE(DATE(YEAR(NEW_Origination_Date)+ NEW_Amort, MONTH(NEW_Origination_Date), DAY(NEW_Origination_Date)),NEW_Interest_Only),0,Q355)</f>
        <v>0</v>
      </c>
      <c r="N356" s="78">
        <f t="shared" si="132"/>
        <v>0</v>
      </c>
      <c r="O356" s="78">
        <f>IFERROR(IF(K356=0,0, PPMT(NEW_I_Adj,'Loan Amort Table'!K356,NEW_Amort_Periods,NEW_Orig_Loan_Amount)),0)</f>
        <v>0</v>
      </c>
      <c r="P356" s="78">
        <f>IFERROR(IF(NEW_Amort = 0, -M356* NEW_I_Adj,IPMT(NEW_I_Adj,IF(K356 = 0, 1, K356),NEW_Amort_Periods,NEW_Orig_Loan_Amount)),0)</f>
        <v>0</v>
      </c>
      <c r="Q356" s="78">
        <f t="shared" si="133"/>
        <v>0</v>
      </c>
      <c r="S356">
        <f t="shared" si="126"/>
        <v>30</v>
      </c>
      <c r="T356">
        <f t="shared" si="134"/>
        <v>351</v>
      </c>
      <c r="U356" s="49">
        <f t="shared" si="139"/>
        <v>10653</v>
      </c>
      <c r="V356" s="78">
        <f t="shared" si="135"/>
        <v>0</v>
      </c>
      <c r="W356" s="78">
        <f t="shared" ca="1" si="140"/>
        <v>0</v>
      </c>
      <c r="X356" s="78">
        <f>IFERROR(IF(OR(T356=0, U356&gt;=Refi_Origination_Date),0, PPMT(Mezz_I_Adj,'Loan Amort Table'!T356,Mezz_Amort_Periods,Mezz_Orig_Loan_Amount)),0)</f>
        <v>0</v>
      </c>
      <c r="Y356" s="78" cm="1">
        <f t="array" aca="1" ref="Y356" ca="1">IFERROR(_xlfn.IFS(U356&gt;=Refi_Origination_Date,0, Mezz_Amort = 0, -V356 * Mezz_I_Adj, 1, IPMT(Mezz_I_Adj,IF(T356 = 0, 1, T356),Mezz_Amort_Periods,Mezz_Orig_Loan_Amount)),0)</f>
        <v>0</v>
      </c>
      <c r="Z356" s="78">
        <f t="shared" si="141"/>
        <v>0</v>
      </c>
      <c r="AB356">
        <f t="shared" si="127"/>
        <v>30</v>
      </c>
      <c r="AC356">
        <f t="shared" si="136"/>
        <v>351</v>
      </c>
      <c r="AD356" s="49">
        <f t="shared" si="142"/>
        <v>10653</v>
      </c>
      <c r="AE356" s="78">
        <f t="shared" si="137"/>
        <v>0</v>
      </c>
      <c r="AF356" s="78">
        <f t="shared" ca="1" si="143"/>
        <v>0</v>
      </c>
      <c r="AG356" s="78">
        <f ca="1">IFERROR(IF(AC356=0,0, PPMT(Refi_I_Adj,'Loan Amort Table'!AC356,Refi_Amort_Periods,Refi_Orig_Loan_Amount)),0)</f>
        <v>0</v>
      </c>
      <c r="AH356" s="78">
        <f t="shared" ca="1" si="128"/>
        <v>0</v>
      </c>
      <c r="AI356" s="78">
        <f t="shared" ca="1" si="144"/>
        <v>0</v>
      </c>
    </row>
    <row r="357" spans="1:35" x14ac:dyDescent="0.25">
      <c r="A357">
        <f t="shared" si="124"/>
        <v>30</v>
      </c>
      <c r="B357">
        <f t="shared" si="129"/>
        <v>352</v>
      </c>
      <c r="C357" s="49">
        <f t="shared" si="123"/>
        <v>10684</v>
      </c>
      <c r="D357" s="78">
        <f>IF(C357&gt;EDATE(DATE(YEAR(SED_Origination_Date)+ SED_Amort, MONTH(SED_Origination_Date), DAY(SED_Origination_Date)),SED_Interest_Only),0,H356)</f>
        <v>0</v>
      </c>
      <c r="E357" s="78">
        <f t="shared" si="130"/>
        <v>0</v>
      </c>
      <c r="F357" s="78">
        <f>IFERROR(IF(OR(B357=0, C357&gt;=Refi_Origination_Date),0, PPMT(SED_I_Adj,'Loan Amort Table'!B357,SED_Amort_Periods,SED_Orig_Loan_Amount)),0)</f>
        <v>0</v>
      </c>
      <c r="G357" s="78" cm="1">
        <f t="array" ref="G357">IFERROR(_xlfn.IFS(C357&gt;=Refi_Origination_Date, 0, SED_Amort = 0, -D357 * SED_I_Adj, 1, IPMT(SED_I_Adj,IF(B357 = 0, 1, B357),SED_Amort_Periods,SED_Orig_Loan_Amount)),0)</f>
        <v>0</v>
      </c>
      <c r="H357" s="78">
        <f t="shared" si="145"/>
        <v>0</v>
      </c>
      <c r="J357">
        <f t="shared" si="125"/>
        <v>30</v>
      </c>
      <c r="K357">
        <f t="shared" si="131"/>
        <v>352</v>
      </c>
      <c r="L357" s="49">
        <f t="shared" si="138"/>
        <v>10684</v>
      </c>
      <c r="M357" s="78">
        <f>IF(L357&gt;EDATE(DATE(YEAR(NEW_Origination_Date)+ NEW_Amort, MONTH(NEW_Origination_Date), DAY(NEW_Origination_Date)),NEW_Interest_Only),0,Q356)</f>
        <v>0</v>
      </c>
      <c r="N357" s="78">
        <f t="shared" si="132"/>
        <v>0</v>
      </c>
      <c r="O357" s="78">
        <f>IFERROR(IF(K357=0,0, PPMT(NEW_I_Adj,'Loan Amort Table'!K357,NEW_Amort_Periods,NEW_Orig_Loan_Amount)),0)</f>
        <v>0</v>
      </c>
      <c r="P357" s="78">
        <f>IFERROR(IF(NEW_Amort = 0, -M357* NEW_I_Adj,IPMT(NEW_I_Adj,IF(K357 = 0, 1, K357),NEW_Amort_Periods,NEW_Orig_Loan_Amount)),0)</f>
        <v>0</v>
      </c>
      <c r="Q357" s="78">
        <f t="shared" si="133"/>
        <v>0</v>
      </c>
      <c r="S357">
        <f t="shared" si="126"/>
        <v>30</v>
      </c>
      <c r="T357">
        <f t="shared" si="134"/>
        <v>352</v>
      </c>
      <c r="U357" s="49">
        <f t="shared" si="139"/>
        <v>10684</v>
      </c>
      <c r="V357" s="78">
        <f t="shared" si="135"/>
        <v>0</v>
      </c>
      <c r="W357" s="78">
        <f t="shared" ca="1" si="140"/>
        <v>0</v>
      </c>
      <c r="X357" s="78">
        <f>IFERROR(IF(OR(T357=0, U357&gt;=Refi_Origination_Date),0, PPMT(Mezz_I_Adj,'Loan Amort Table'!T357,Mezz_Amort_Periods,Mezz_Orig_Loan_Amount)),0)</f>
        <v>0</v>
      </c>
      <c r="Y357" s="78" cm="1">
        <f t="array" aca="1" ref="Y357" ca="1">IFERROR(_xlfn.IFS(U357&gt;=Refi_Origination_Date,0, Mezz_Amort = 0, -V357 * Mezz_I_Adj, 1, IPMT(Mezz_I_Adj,IF(T357 = 0, 1, T357),Mezz_Amort_Periods,Mezz_Orig_Loan_Amount)),0)</f>
        <v>0</v>
      </c>
      <c r="Z357" s="78">
        <f t="shared" si="141"/>
        <v>0</v>
      </c>
      <c r="AB357">
        <f t="shared" si="127"/>
        <v>30</v>
      </c>
      <c r="AC357">
        <f t="shared" si="136"/>
        <v>352</v>
      </c>
      <c r="AD357" s="49">
        <f t="shared" si="142"/>
        <v>10684</v>
      </c>
      <c r="AE357" s="78">
        <f t="shared" si="137"/>
        <v>0</v>
      </c>
      <c r="AF357" s="78">
        <f t="shared" ca="1" si="143"/>
        <v>0</v>
      </c>
      <c r="AG357" s="78">
        <f ca="1">IFERROR(IF(AC357=0,0, PPMT(Refi_I_Adj,'Loan Amort Table'!AC357,Refi_Amort_Periods,Refi_Orig_Loan_Amount)),0)</f>
        <v>0</v>
      </c>
      <c r="AH357" s="78">
        <f t="shared" ca="1" si="128"/>
        <v>0</v>
      </c>
      <c r="AI357" s="78">
        <f t="shared" ca="1" si="144"/>
        <v>0</v>
      </c>
    </row>
    <row r="358" spans="1:35" x14ac:dyDescent="0.25">
      <c r="A358">
        <f t="shared" si="124"/>
        <v>30</v>
      </c>
      <c r="B358">
        <f t="shared" si="129"/>
        <v>353</v>
      </c>
      <c r="C358" s="49">
        <f t="shared" si="123"/>
        <v>10714</v>
      </c>
      <c r="D358" s="78">
        <f>IF(C358&gt;EDATE(DATE(YEAR(SED_Origination_Date)+ SED_Amort, MONTH(SED_Origination_Date), DAY(SED_Origination_Date)),SED_Interest_Only),0,H357)</f>
        <v>0</v>
      </c>
      <c r="E358" s="78">
        <f t="shared" si="130"/>
        <v>0</v>
      </c>
      <c r="F358" s="78">
        <f>IFERROR(IF(OR(B358=0, C358&gt;=Refi_Origination_Date),0, PPMT(SED_I_Adj,'Loan Amort Table'!B358,SED_Amort_Periods,SED_Orig_Loan_Amount)),0)</f>
        <v>0</v>
      </c>
      <c r="G358" s="78" cm="1">
        <f t="array" ref="G358">IFERROR(_xlfn.IFS(C358&gt;=Refi_Origination_Date, 0, SED_Amort = 0, -D358 * SED_I_Adj, 1, IPMT(SED_I_Adj,IF(B358 = 0, 1, B358),SED_Amort_Periods,SED_Orig_Loan_Amount)),0)</f>
        <v>0</v>
      </c>
      <c r="H358" s="78">
        <f t="shared" si="145"/>
        <v>0</v>
      </c>
      <c r="J358">
        <f t="shared" si="125"/>
        <v>30</v>
      </c>
      <c r="K358">
        <f t="shared" si="131"/>
        <v>353</v>
      </c>
      <c r="L358" s="49">
        <f t="shared" si="138"/>
        <v>10714</v>
      </c>
      <c r="M358" s="78">
        <f>IF(L358&gt;EDATE(DATE(YEAR(NEW_Origination_Date)+ NEW_Amort, MONTH(NEW_Origination_Date), DAY(NEW_Origination_Date)),NEW_Interest_Only),0,Q357)</f>
        <v>0</v>
      </c>
      <c r="N358" s="78">
        <f t="shared" si="132"/>
        <v>0</v>
      </c>
      <c r="O358" s="78">
        <f>IFERROR(IF(K358=0,0, PPMT(NEW_I_Adj,'Loan Amort Table'!K358,NEW_Amort_Periods,NEW_Orig_Loan_Amount)),0)</f>
        <v>0</v>
      </c>
      <c r="P358" s="78">
        <f>IFERROR(IF(NEW_Amort = 0, -M358* NEW_I_Adj,IPMT(NEW_I_Adj,IF(K358 = 0, 1, K358),NEW_Amort_Periods,NEW_Orig_Loan_Amount)),0)</f>
        <v>0</v>
      </c>
      <c r="Q358" s="78">
        <f t="shared" si="133"/>
        <v>0</v>
      </c>
      <c r="S358">
        <f t="shared" si="126"/>
        <v>30</v>
      </c>
      <c r="T358">
        <f t="shared" si="134"/>
        <v>353</v>
      </c>
      <c r="U358" s="49">
        <f t="shared" si="139"/>
        <v>10714</v>
      </c>
      <c r="V358" s="78">
        <f t="shared" si="135"/>
        <v>0</v>
      </c>
      <c r="W358" s="78">
        <f t="shared" ca="1" si="140"/>
        <v>0</v>
      </c>
      <c r="X358" s="78">
        <f>IFERROR(IF(OR(T358=0, U358&gt;=Refi_Origination_Date),0, PPMT(Mezz_I_Adj,'Loan Amort Table'!T358,Mezz_Amort_Periods,Mezz_Orig_Loan_Amount)),0)</f>
        <v>0</v>
      </c>
      <c r="Y358" s="78" cm="1">
        <f t="array" aca="1" ref="Y358" ca="1">IFERROR(_xlfn.IFS(U358&gt;=Refi_Origination_Date,0, Mezz_Amort = 0, -V358 * Mezz_I_Adj, 1, IPMT(Mezz_I_Adj,IF(T358 = 0, 1, T358),Mezz_Amort_Periods,Mezz_Orig_Loan_Amount)),0)</f>
        <v>0</v>
      </c>
      <c r="Z358" s="78">
        <f t="shared" si="141"/>
        <v>0</v>
      </c>
      <c r="AB358">
        <f t="shared" si="127"/>
        <v>30</v>
      </c>
      <c r="AC358">
        <f t="shared" si="136"/>
        <v>353</v>
      </c>
      <c r="AD358" s="49">
        <f t="shared" si="142"/>
        <v>10714</v>
      </c>
      <c r="AE358" s="78">
        <f t="shared" si="137"/>
        <v>0</v>
      </c>
      <c r="AF358" s="78">
        <f t="shared" ca="1" si="143"/>
        <v>0</v>
      </c>
      <c r="AG358" s="78">
        <f ca="1">IFERROR(IF(AC358=0,0, PPMT(Refi_I_Adj,'Loan Amort Table'!AC358,Refi_Amort_Periods,Refi_Orig_Loan_Amount)),0)</f>
        <v>0</v>
      </c>
      <c r="AH358" s="78">
        <f t="shared" ca="1" si="128"/>
        <v>0</v>
      </c>
      <c r="AI358" s="78">
        <f t="shared" ca="1" si="144"/>
        <v>0</v>
      </c>
    </row>
    <row r="359" spans="1:35" x14ac:dyDescent="0.25">
      <c r="A359">
        <f t="shared" si="124"/>
        <v>30</v>
      </c>
      <c r="B359">
        <f t="shared" si="129"/>
        <v>354</v>
      </c>
      <c r="C359" s="49">
        <f t="shared" si="123"/>
        <v>10745</v>
      </c>
      <c r="D359" s="78">
        <f>IF(C359&gt;EDATE(DATE(YEAR(SED_Origination_Date)+ SED_Amort, MONTH(SED_Origination_Date), DAY(SED_Origination_Date)),SED_Interest_Only),0,H358)</f>
        <v>0</v>
      </c>
      <c r="E359" s="78">
        <f t="shared" si="130"/>
        <v>0</v>
      </c>
      <c r="F359" s="78">
        <f>IFERROR(IF(OR(B359=0, C359&gt;=Refi_Origination_Date),0, PPMT(SED_I_Adj,'Loan Amort Table'!B359,SED_Amort_Periods,SED_Orig_Loan_Amount)),0)</f>
        <v>0</v>
      </c>
      <c r="G359" s="78" cm="1">
        <f t="array" ref="G359">IFERROR(_xlfn.IFS(C359&gt;=Refi_Origination_Date, 0, SED_Amort = 0, -D359 * SED_I_Adj, 1, IPMT(SED_I_Adj,IF(B359 = 0, 1, B359),SED_Amort_Periods,SED_Orig_Loan_Amount)),0)</f>
        <v>0</v>
      </c>
      <c r="H359" s="78">
        <f t="shared" si="145"/>
        <v>0</v>
      </c>
      <c r="J359">
        <f t="shared" si="125"/>
        <v>30</v>
      </c>
      <c r="K359">
        <f t="shared" si="131"/>
        <v>354</v>
      </c>
      <c r="L359" s="49">
        <f t="shared" si="138"/>
        <v>10745</v>
      </c>
      <c r="M359" s="78">
        <f>IF(L359&gt;EDATE(DATE(YEAR(NEW_Origination_Date)+ NEW_Amort, MONTH(NEW_Origination_Date), DAY(NEW_Origination_Date)),NEW_Interest_Only),0,Q358)</f>
        <v>0</v>
      </c>
      <c r="N359" s="78">
        <f t="shared" si="132"/>
        <v>0</v>
      </c>
      <c r="O359" s="78">
        <f>IFERROR(IF(K359=0,0, PPMT(NEW_I_Adj,'Loan Amort Table'!K359,NEW_Amort_Periods,NEW_Orig_Loan_Amount)),0)</f>
        <v>0</v>
      </c>
      <c r="P359" s="78">
        <f>IFERROR(IF(NEW_Amort = 0, -M359* NEW_I_Adj,IPMT(NEW_I_Adj,IF(K359 = 0, 1, K359),NEW_Amort_Periods,NEW_Orig_Loan_Amount)),0)</f>
        <v>0</v>
      </c>
      <c r="Q359" s="78">
        <f t="shared" si="133"/>
        <v>0</v>
      </c>
      <c r="S359">
        <f t="shared" si="126"/>
        <v>30</v>
      </c>
      <c r="T359">
        <f t="shared" si="134"/>
        <v>354</v>
      </c>
      <c r="U359" s="49">
        <f t="shared" si="139"/>
        <v>10745</v>
      </c>
      <c r="V359" s="78">
        <f t="shared" si="135"/>
        <v>0</v>
      </c>
      <c r="W359" s="78">
        <f t="shared" ca="1" si="140"/>
        <v>0</v>
      </c>
      <c r="X359" s="78">
        <f>IFERROR(IF(OR(T359=0, U359&gt;=Refi_Origination_Date),0, PPMT(Mezz_I_Adj,'Loan Amort Table'!T359,Mezz_Amort_Periods,Mezz_Orig_Loan_Amount)),0)</f>
        <v>0</v>
      </c>
      <c r="Y359" s="78" cm="1">
        <f t="array" aca="1" ref="Y359" ca="1">IFERROR(_xlfn.IFS(U359&gt;=Refi_Origination_Date,0, Mezz_Amort = 0, -V359 * Mezz_I_Adj, 1, IPMT(Mezz_I_Adj,IF(T359 = 0, 1, T359),Mezz_Amort_Periods,Mezz_Orig_Loan_Amount)),0)</f>
        <v>0</v>
      </c>
      <c r="Z359" s="78">
        <f t="shared" si="141"/>
        <v>0</v>
      </c>
      <c r="AB359">
        <f t="shared" si="127"/>
        <v>30</v>
      </c>
      <c r="AC359">
        <f t="shared" si="136"/>
        <v>354</v>
      </c>
      <c r="AD359" s="49">
        <f t="shared" si="142"/>
        <v>10745</v>
      </c>
      <c r="AE359" s="78">
        <f t="shared" si="137"/>
        <v>0</v>
      </c>
      <c r="AF359" s="78">
        <f t="shared" ca="1" si="143"/>
        <v>0</v>
      </c>
      <c r="AG359" s="78">
        <f ca="1">IFERROR(IF(AC359=0,0, PPMT(Refi_I_Adj,'Loan Amort Table'!AC359,Refi_Amort_Periods,Refi_Orig_Loan_Amount)),0)</f>
        <v>0</v>
      </c>
      <c r="AH359" s="78">
        <f t="shared" ca="1" si="128"/>
        <v>0</v>
      </c>
      <c r="AI359" s="78">
        <f t="shared" ca="1" si="144"/>
        <v>0</v>
      </c>
    </row>
    <row r="360" spans="1:35" x14ac:dyDescent="0.25">
      <c r="A360">
        <f t="shared" si="124"/>
        <v>30</v>
      </c>
      <c r="B360">
        <f t="shared" si="129"/>
        <v>355</v>
      </c>
      <c r="C360" s="49">
        <f t="shared" si="123"/>
        <v>10775</v>
      </c>
      <c r="D360" s="78">
        <f>IF(C360&gt;EDATE(DATE(YEAR(SED_Origination_Date)+ SED_Amort, MONTH(SED_Origination_Date), DAY(SED_Origination_Date)),SED_Interest_Only),0,H359)</f>
        <v>0</v>
      </c>
      <c r="E360" s="78">
        <f t="shared" si="130"/>
        <v>0</v>
      </c>
      <c r="F360" s="78">
        <f>IFERROR(IF(OR(B360=0, C360&gt;=Refi_Origination_Date),0, PPMT(SED_I_Adj,'Loan Amort Table'!B360,SED_Amort_Periods,SED_Orig_Loan_Amount)),0)</f>
        <v>0</v>
      </c>
      <c r="G360" s="78" cm="1">
        <f t="array" ref="G360">IFERROR(_xlfn.IFS(C360&gt;=Refi_Origination_Date, 0, SED_Amort = 0, -D360 * SED_I_Adj, 1, IPMT(SED_I_Adj,IF(B360 = 0, 1, B360),SED_Amort_Periods,SED_Orig_Loan_Amount)),0)</f>
        <v>0</v>
      </c>
      <c r="H360" s="78">
        <f t="shared" si="145"/>
        <v>0</v>
      </c>
      <c r="J360">
        <f t="shared" si="125"/>
        <v>30</v>
      </c>
      <c r="K360">
        <f t="shared" si="131"/>
        <v>355</v>
      </c>
      <c r="L360" s="49">
        <f t="shared" si="138"/>
        <v>10775</v>
      </c>
      <c r="M360" s="78">
        <f>IF(L360&gt;EDATE(DATE(YEAR(NEW_Origination_Date)+ NEW_Amort, MONTH(NEW_Origination_Date), DAY(NEW_Origination_Date)),NEW_Interest_Only),0,Q359)</f>
        <v>0</v>
      </c>
      <c r="N360" s="78">
        <f t="shared" si="132"/>
        <v>0</v>
      </c>
      <c r="O360" s="78">
        <f>IFERROR(IF(K360=0,0, PPMT(NEW_I_Adj,'Loan Amort Table'!K360,NEW_Amort_Periods,NEW_Orig_Loan_Amount)),0)</f>
        <v>0</v>
      </c>
      <c r="P360" s="78">
        <f>IFERROR(IF(NEW_Amort = 0, -M360* NEW_I_Adj,IPMT(NEW_I_Adj,IF(K360 = 0, 1, K360),NEW_Amort_Periods,NEW_Orig_Loan_Amount)),0)</f>
        <v>0</v>
      </c>
      <c r="Q360" s="78">
        <f t="shared" si="133"/>
        <v>0</v>
      </c>
      <c r="S360">
        <f t="shared" si="126"/>
        <v>30</v>
      </c>
      <c r="T360">
        <f t="shared" si="134"/>
        <v>355</v>
      </c>
      <c r="U360" s="49">
        <f t="shared" si="139"/>
        <v>10775</v>
      </c>
      <c r="V360" s="78">
        <f t="shared" si="135"/>
        <v>0</v>
      </c>
      <c r="W360" s="78">
        <f t="shared" ca="1" si="140"/>
        <v>0</v>
      </c>
      <c r="X360" s="78">
        <f>IFERROR(IF(OR(T360=0, U360&gt;=Refi_Origination_Date),0, PPMT(Mezz_I_Adj,'Loan Amort Table'!T360,Mezz_Amort_Periods,Mezz_Orig_Loan_Amount)),0)</f>
        <v>0</v>
      </c>
      <c r="Y360" s="78" cm="1">
        <f t="array" aca="1" ref="Y360" ca="1">IFERROR(_xlfn.IFS(U360&gt;=Refi_Origination_Date,0, Mezz_Amort = 0, -V360 * Mezz_I_Adj, 1, IPMT(Mezz_I_Adj,IF(T360 = 0, 1, T360),Mezz_Amort_Periods,Mezz_Orig_Loan_Amount)),0)</f>
        <v>0</v>
      </c>
      <c r="Z360" s="78">
        <f t="shared" si="141"/>
        <v>0</v>
      </c>
      <c r="AB360">
        <f t="shared" si="127"/>
        <v>30</v>
      </c>
      <c r="AC360">
        <f t="shared" si="136"/>
        <v>355</v>
      </c>
      <c r="AD360" s="49">
        <f t="shared" si="142"/>
        <v>10775</v>
      </c>
      <c r="AE360" s="78">
        <f t="shared" si="137"/>
        <v>0</v>
      </c>
      <c r="AF360" s="78">
        <f t="shared" ca="1" si="143"/>
        <v>0</v>
      </c>
      <c r="AG360" s="78">
        <f ca="1">IFERROR(IF(AC360=0,0, PPMT(Refi_I_Adj,'Loan Amort Table'!AC360,Refi_Amort_Periods,Refi_Orig_Loan_Amount)),0)</f>
        <v>0</v>
      </c>
      <c r="AH360" s="78">
        <f t="shared" ca="1" si="128"/>
        <v>0</v>
      </c>
      <c r="AI360" s="78">
        <f t="shared" ca="1" si="144"/>
        <v>0</v>
      </c>
    </row>
    <row r="361" spans="1:35" x14ac:dyDescent="0.25">
      <c r="A361">
        <f t="shared" si="124"/>
        <v>30</v>
      </c>
      <c r="B361">
        <f t="shared" si="129"/>
        <v>356</v>
      </c>
      <c r="C361" s="49">
        <f t="shared" si="123"/>
        <v>10806</v>
      </c>
      <c r="D361" s="78">
        <f>IF(C361&gt;EDATE(DATE(YEAR(SED_Origination_Date)+ SED_Amort, MONTH(SED_Origination_Date), DAY(SED_Origination_Date)),SED_Interest_Only),0,H360)</f>
        <v>0</v>
      </c>
      <c r="E361" s="78">
        <f t="shared" si="130"/>
        <v>0</v>
      </c>
      <c r="F361" s="78">
        <f>IFERROR(IF(OR(B361=0, C361&gt;=Refi_Origination_Date),0, PPMT(SED_I_Adj,'Loan Amort Table'!B361,SED_Amort_Periods,SED_Orig_Loan_Amount)),0)</f>
        <v>0</v>
      </c>
      <c r="G361" s="78" cm="1">
        <f t="array" ref="G361">IFERROR(_xlfn.IFS(C361&gt;=Refi_Origination_Date, 0, SED_Amort = 0, -D361 * SED_I_Adj, 1, IPMT(SED_I_Adj,IF(B361 = 0, 1, B361),SED_Amort_Periods,SED_Orig_Loan_Amount)),0)</f>
        <v>0</v>
      </c>
      <c r="H361" s="78">
        <f t="shared" si="145"/>
        <v>0</v>
      </c>
      <c r="J361">
        <f t="shared" si="125"/>
        <v>30</v>
      </c>
      <c r="K361">
        <f t="shared" si="131"/>
        <v>356</v>
      </c>
      <c r="L361" s="49">
        <f t="shared" si="138"/>
        <v>10806</v>
      </c>
      <c r="M361" s="78">
        <f>IF(L361&gt;EDATE(DATE(YEAR(NEW_Origination_Date)+ NEW_Amort, MONTH(NEW_Origination_Date), DAY(NEW_Origination_Date)),NEW_Interest_Only),0,Q360)</f>
        <v>0</v>
      </c>
      <c r="N361" s="78">
        <f t="shared" si="132"/>
        <v>0</v>
      </c>
      <c r="O361" s="78">
        <f>IFERROR(IF(K361=0,0, PPMT(NEW_I_Adj,'Loan Amort Table'!K361,NEW_Amort_Periods,NEW_Orig_Loan_Amount)),0)</f>
        <v>0</v>
      </c>
      <c r="P361" s="78">
        <f>IFERROR(IF(NEW_Amort = 0, -M361* NEW_I_Adj,IPMT(NEW_I_Adj,IF(K361 = 0, 1, K361),NEW_Amort_Periods,NEW_Orig_Loan_Amount)),0)</f>
        <v>0</v>
      </c>
      <c r="Q361" s="78">
        <f t="shared" si="133"/>
        <v>0</v>
      </c>
      <c r="S361">
        <f t="shared" si="126"/>
        <v>30</v>
      </c>
      <c r="T361">
        <f t="shared" si="134"/>
        <v>356</v>
      </c>
      <c r="U361" s="49">
        <f t="shared" si="139"/>
        <v>10806</v>
      </c>
      <c r="V361" s="78">
        <f t="shared" si="135"/>
        <v>0</v>
      </c>
      <c r="W361" s="78">
        <f t="shared" ca="1" si="140"/>
        <v>0</v>
      </c>
      <c r="X361" s="78">
        <f>IFERROR(IF(OR(T361=0, U361&gt;=Refi_Origination_Date),0, PPMT(Mezz_I_Adj,'Loan Amort Table'!T361,Mezz_Amort_Periods,Mezz_Orig_Loan_Amount)),0)</f>
        <v>0</v>
      </c>
      <c r="Y361" s="78" cm="1">
        <f t="array" aca="1" ref="Y361" ca="1">IFERROR(_xlfn.IFS(U361&gt;=Refi_Origination_Date,0, Mezz_Amort = 0, -V361 * Mezz_I_Adj, 1, IPMT(Mezz_I_Adj,IF(T361 = 0, 1, T361),Mezz_Amort_Periods,Mezz_Orig_Loan_Amount)),0)</f>
        <v>0</v>
      </c>
      <c r="Z361" s="78">
        <f t="shared" si="141"/>
        <v>0</v>
      </c>
      <c r="AB361">
        <f t="shared" si="127"/>
        <v>30</v>
      </c>
      <c r="AC361">
        <f t="shared" si="136"/>
        <v>356</v>
      </c>
      <c r="AD361" s="49">
        <f t="shared" si="142"/>
        <v>10806</v>
      </c>
      <c r="AE361" s="78">
        <f t="shared" si="137"/>
        <v>0</v>
      </c>
      <c r="AF361" s="78">
        <f t="shared" ca="1" si="143"/>
        <v>0</v>
      </c>
      <c r="AG361" s="78">
        <f ca="1">IFERROR(IF(AC361=0,0, PPMT(Refi_I_Adj,'Loan Amort Table'!AC361,Refi_Amort_Periods,Refi_Orig_Loan_Amount)),0)</f>
        <v>0</v>
      </c>
      <c r="AH361" s="78">
        <f t="shared" ca="1" si="128"/>
        <v>0</v>
      </c>
      <c r="AI361" s="78">
        <f t="shared" ca="1" si="144"/>
        <v>0</v>
      </c>
    </row>
    <row r="362" spans="1:35" x14ac:dyDescent="0.25">
      <c r="A362">
        <f t="shared" si="124"/>
        <v>30</v>
      </c>
      <c r="B362">
        <f t="shared" si="129"/>
        <v>357</v>
      </c>
      <c r="C362" s="49">
        <f t="shared" si="123"/>
        <v>10837</v>
      </c>
      <c r="D362" s="78">
        <f>IF(C362&gt;EDATE(DATE(YEAR(SED_Origination_Date)+ SED_Amort, MONTH(SED_Origination_Date), DAY(SED_Origination_Date)),SED_Interest_Only),0,H361)</f>
        <v>0</v>
      </c>
      <c r="E362" s="78">
        <f t="shared" si="130"/>
        <v>0</v>
      </c>
      <c r="F362" s="78">
        <f>IFERROR(IF(OR(B362=0, C362&gt;=Refi_Origination_Date),0, PPMT(SED_I_Adj,'Loan Amort Table'!B362,SED_Amort_Periods,SED_Orig_Loan_Amount)),0)</f>
        <v>0</v>
      </c>
      <c r="G362" s="78" cm="1">
        <f t="array" ref="G362">IFERROR(_xlfn.IFS(C362&gt;=Refi_Origination_Date, 0, SED_Amort = 0, -D362 * SED_I_Adj, 1, IPMT(SED_I_Adj,IF(B362 = 0, 1, B362),SED_Amort_Periods,SED_Orig_Loan_Amount)),0)</f>
        <v>0</v>
      </c>
      <c r="H362" s="78">
        <f t="shared" si="145"/>
        <v>0</v>
      </c>
      <c r="J362">
        <f t="shared" si="125"/>
        <v>30</v>
      </c>
      <c r="K362">
        <f t="shared" si="131"/>
        <v>357</v>
      </c>
      <c r="L362" s="49">
        <f t="shared" si="138"/>
        <v>10837</v>
      </c>
      <c r="M362" s="78">
        <f>IF(L362&gt;EDATE(DATE(YEAR(NEW_Origination_Date)+ NEW_Amort, MONTH(NEW_Origination_Date), DAY(NEW_Origination_Date)),NEW_Interest_Only),0,Q361)</f>
        <v>0</v>
      </c>
      <c r="N362" s="78">
        <f t="shared" si="132"/>
        <v>0</v>
      </c>
      <c r="O362" s="78">
        <f>IFERROR(IF(K362=0,0, PPMT(NEW_I_Adj,'Loan Amort Table'!K362,NEW_Amort_Periods,NEW_Orig_Loan_Amount)),0)</f>
        <v>0</v>
      </c>
      <c r="P362" s="78">
        <f>IFERROR(IF(NEW_Amort = 0, -M362* NEW_I_Adj,IPMT(NEW_I_Adj,IF(K362 = 0, 1, K362),NEW_Amort_Periods,NEW_Orig_Loan_Amount)),0)</f>
        <v>0</v>
      </c>
      <c r="Q362" s="78">
        <f t="shared" si="133"/>
        <v>0</v>
      </c>
      <c r="S362">
        <f t="shared" si="126"/>
        <v>30</v>
      </c>
      <c r="T362">
        <f t="shared" si="134"/>
        <v>357</v>
      </c>
      <c r="U362" s="49">
        <f t="shared" si="139"/>
        <v>10837</v>
      </c>
      <c r="V362" s="78">
        <f t="shared" si="135"/>
        <v>0</v>
      </c>
      <c r="W362" s="78">
        <f t="shared" ca="1" si="140"/>
        <v>0</v>
      </c>
      <c r="X362" s="78">
        <f>IFERROR(IF(OR(T362=0, U362&gt;=Refi_Origination_Date),0, PPMT(Mezz_I_Adj,'Loan Amort Table'!T362,Mezz_Amort_Periods,Mezz_Orig_Loan_Amount)),0)</f>
        <v>0</v>
      </c>
      <c r="Y362" s="78" cm="1">
        <f t="array" aca="1" ref="Y362" ca="1">IFERROR(_xlfn.IFS(U362&gt;=Refi_Origination_Date,0, Mezz_Amort = 0, -V362 * Mezz_I_Adj, 1, IPMT(Mezz_I_Adj,IF(T362 = 0, 1, T362),Mezz_Amort_Periods,Mezz_Orig_Loan_Amount)),0)</f>
        <v>0</v>
      </c>
      <c r="Z362" s="78">
        <f t="shared" si="141"/>
        <v>0</v>
      </c>
      <c r="AB362">
        <f t="shared" si="127"/>
        <v>30</v>
      </c>
      <c r="AC362">
        <f t="shared" si="136"/>
        <v>357</v>
      </c>
      <c r="AD362" s="49">
        <f t="shared" si="142"/>
        <v>10837</v>
      </c>
      <c r="AE362" s="78">
        <f t="shared" si="137"/>
        <v>0</v>
      </c>
      <c r="AF362" s="78">
        <f t="shared" ca="1" si="143"/>
        <v>0</v>
      </c>
      <c r="AG362" s="78">
        <f ca="1">IFERROR(IF(AC362=0,0, PPMT(Refi_I_Adj,'Loan Amort Table'!AC362,Refi_Amort_Periods,Refi_Orig_Loan_Amount)),0)</f>
        <v>0</v>
      </c>
      <c r="AH362" s="78">
        <f t="shared" ca="1" si="128"/>
        <v>0</v>
      </c>
      <c r="AI362" s="78">
        <f t="shared" ca="1" si="144"/>
        <v>0</v>
      </c>
    </row>
    <row r="363" spans="1:35" x14ac:dyDescent="0.25">
      <c r="A363">
        <f t="shared" si="124"/>
        <v>30</v>
      </c>
      <c r="B363">
        <f t="shared" si="129"/>
        <v>358</v>
      </c>
      <c r="C363" s="49">
        <f t="shared" si="123"/>
        <v>10867</v>
      </c>
      <c r="D363" s="78">
        <f>IF(C363&gt;EDATE(DATE(YEAR(SED_Origination_Date)+ SED_Amort, MONTH(SED_Origination_Date), DAY(SED_Origination_Date)),SED_Interest_Only),0,H362)</f>
        <v>0</v>
      </c>
      <c r="E363" s="78">
        <f t="shared" si="130"/>
        <v>0</v>
      </c>
      <c r="F363" s="78">
        <f>IFERROR(IF(OR(B363=0, C363&gt;=Refi_Origination_Date),0, PPMT(SED_I_Adj,'Loan Amort Table'!B363,SED_Amort_Periods,SED_Orig_Loan_Amount)),0)</f>
        <v>0</v>
      </c>
      <c r="G363" s="78" cm="1">
        <f t="array" ref="G363">IFERROR(_xlfn.IFS(C363&gt;=Refi_Origination_Date, 0, SED_Amort = 0, -D363 * SED_I_Adj, 1, IPMT(SED_I_Adj,IF(B363 = 0, 1, B363),SED_Amort_Periods,SED_Orig_Loan_Amount)),0)</f>
        <v>0</v>
      </c>
      <c r="H363" s="78">
        <f t="shared" si="145"/>
        <v>0</v>
      </c>
      <c r="J363">
        <f t="shared" si="125"/>
        <v>30</v>
      </c>
      <c r="K363">
        <f t="shared" si="131"/>
        <v>358</v>
      </c>
      <c r="L363" s="49">
        <f t="shared" si="138"/>
        <v>10867</v>
      </c>
      <c r="M363" s="78">
        <f>IF(L363&gt;EDATE(DATE(YEAR(NEW_Origination_Date)+ NEW_Amort, MONTH(NEW_Origination_Date), DAY(NEW_Origination_Date)),NEW_Interest_Only),0,Q362)</f>
        <v>0</v>
      </c>
      <c r="N363" s="78">
        <f t="shared" si="132"/>
        <v>0</v>
      </c>
      <c r="O363" s="78">
        <f>IFERROR(IF(K363=0,0, PPMT(NEW_I_Adj,'Loan Amort Table'!K363,NEW_Amort_Periods,NEW_Orig_Loan_Amount)),0)</f>
        <v>0</v>
      </c>
      <c r="P363" s="78">
        <f>IFERROR(IF(NEW_Amort = 0, -M363* NEW_I_Adj,IPMT(NEW_I_Adj,IF(K363 = 0, 1, K363),NEW_Amort_Periods,NEW_Orig_Loan_Amount)),0)</f>
        <v>0</v>
      </c>
      <c r="Q363" s="78">
        <f t="shared" si="133"/>
        <v>0</v>
      </c>
      <c r="S363">
        <f t="shared" si="126"/>
        <v>30</v>
      </c>
      <c r="T363">
        <f t="shared" si="134"/>
        <v>358</v>
      </c>
      <c r="U363" s="49">
        <f t="shared" si="139"/>
        <v>10867</v>
      </c>
      <c r="V363" s="78">
        <f t="shared" si="135"/>
        <v>0</v>
      </c>
      <c r="W363" s="78">
        <f t="shared" ca="1" si="140"/>
        <v>0</v>
      </c>
      <c r="X363" s="78">
        <f>IFERROR(IF(OR(T363=0, U363&gt;=Refi_Origination_Date),0, PPMT(Mezz_I_Adj,'Loan Amort Table'!T363,Mezz_Amort_Periods,Mezz_Orig_Loan_Amount)),0)</f>
        <v>0</v>
      </c>
      <c r="Y363" s="78" cm="1">
        <f t="array" aca="1" ref="Y363" ca="1">IFERROR(_xlfn.IFS(U363&gt;=Refi_Origination_Date,0, Mezz_Amort = 0, -V363 * Mezz_I_Adj, 1, IPMT(Mezz_I_Adj,IF(T363 = 0, 1, T363),Mezz_Amort_Periods,Mezz_Orig_Loan_Amount)),0)</f>
        <v>0</v>
      </c>
      <c r="Z363" s="78">
        <f t="shared" si="141"/>
        <v>0</v>
      </c>
      <c r="AB363">
        <f t="shared" si="127"/>
        <v>30</v>
      </c>
      <c r="AC363">
        <f t="shared" si="136"/>
        <v>358</v>
      </c>
      <c r="AD363" s="49">
        <f t="shared" si="142"/>
        <v>10867</v>
      </c>
      <c r="AE363" s="78">
        <f t="shared" si="137"/>
        <v>0</v>
      </c>
      <c r="AF363" s="78">
        <f t="shared" ca="1" si="143"/>
        <v>0</v>
      </c>
      <c r="AG363" s="78">
        <f ca="1">IFERROR(IF(AC363=0,0, PPMT(Refi_I_Adj,'Loan Amort Table'!AC363,Refi_Amort_Periods,Refi_Orig_Loan_Amount)),0)</f>
        <v>0</v>
      </c>
      <c r="AH363" s="78">
        <f t="shared" ca="1" si="128"/>
        <v>0</v>
      </c>
      <c r="AI363" s="78">
        <f t="shared" ca="1" si="144"/>
        <v>0</v>
      </c>
    </row>
    <row r="364" spans="1:35" x14ac:dyDescent="0.25">
      <c r="A364">
        <f t="shared" si="124"/>
        <v>30</v>
      </c>
      <c r="B364">
        <f t="shared" si="129"/>
        <v>359</v>
      </c>
      <c r="C364" s="49">
        <f t="shared" si="123"/>
        <v>10898</v>
      </c>
      <c r="D364" s="78">
        <f>IF(C364&gt;EDATE(DATE(YEAR(SED_Origination_Date)+ SED_Amort, MONTH(SED_Origination_Date), DAY(SED_Origination_Date)),SED_Interest_Only),0,H363)</f>
        <v>0</v>
      </c>
      <c r="E364" s="78">
        <f t="shared" si="130"/>
        <v>0</v>
      </c>
      <c r="F364" s="78">
        <f>IFERROR(IF(OR(B364=0, C364&gt;=Refi_Origination_Date),0, PPMT(SED_I_Adj,'Loan Amort Table'!B364,SED_Amort_Periods,SED_Orig_Loan_Amount)),0)</f>
        <v>0</v>
      </c>
      <c r="G364" s="78" cm="1">
        <f t="array" ref="G364">IFERROR(_xlfn.IFS(C364&gt;=Refi_Origination_Date, 0, SED_Amort = 0, -D364 * SED_I_Adj, 1, IPMT(SED_I_Adj,IF(B364 = 0, 1, B364),SED_Amort_Periods,SED_Orig_Loan_Amount)),0)</f>
        <v>0</v>
      </c>
      <c r="H364" s="78">
        <f t="shared" si="145"/>
        <v>0</v>
      </c>
      <c r="J364">
        <f t="shared" si="125"/>
        <v>30</v>
      </c>
      <c r="K364">
        <f t="shared" si="131"/>
        <v>359</v>
      </c>
      <c r="L364" s="49">
        <f t="shared" si="138"/>
        <v>10898</v>
      </c>
      <c r="M364" s="78">
        <f>IF(L364&gt;EDATE(DATE(YEAR(NEW_Origination_Date)+ NEW_Amort, MONTH(NEW_Origination_Date), DAY(NEW_Origination_Date)),NEW_Interest_Only),0,Q363)</f>
        <v>0</v>
      </c>
      <c r="N364" s="78">
        <f t="shared" si="132"/>
        <v>0</v>
      </c>
      <c r="O364" s="78">
        <f>IFERROR(IF(K364=0,0, PPMT(NEW_I_Adj,'Loan Amort Table'!K364,NEW_Amort_Periods,NEW_Orig_Loan_Amount)),0)</f>
        <v>0</v>
      </c>
      <c r="P364" s="78">
        <f>IFERROR(IF(NEW_Amort = 0, -M364* NEW_I_Adj,IPMT(NEW_I_Adj,IF(K364 = 0, 1, K364),NEW_Amort_Periods,NEW_Orig_Loan_Amount)),0)</f>
        <v>0</v>
      </c>
      <c r="Q364" s="78">
        <f t="shared" si="133"/>
        <v>0</v>
      </c>
      <c r="S364">
        <f t="shared" si="126"/>
        <v>30</v>
      </c>
      <c r="T364">
        <f t="shared" si="134"/>
        <v>359</v>
      </c>
      <c r="U364" s="49">
        <f t="shared" si="139"/>
        <v>10898</v>
      </c>
      <c r="V364" s="78">
        <f t="shared" si="135"/>
        <v>0</v>
      </c>
      <c r="W364" s="78">
        <f t="shared" ca="1" si="140"/>
        <v>0</v>
      </c>
      <c r="X364" s="78">
        <f>IFERROR(IF(OR(T364=0, U364&gt;=Refi_Origination_Date),0, PPMT(Mezz_I_Adj,'Loan Amort Table'!T364,Mezz_Amort_Periods,Mezz_Orig_Loan_Amount)),0)</f>
        <v>0</v>
      </c>
      <c r="Y364" s="78" cm="1">
        <f t="array" aca="1" ref="Y364" ca="1">IFERROR(_xlfn.IFS(U364&gt;=Refi_Origination_Date,0, Mezz_Amort = 0, -V364 * Mezz_I_Adj, 1, IPMT(Mezz_I_Adj,IF(T364 = 0, 1, T364),Mezz_Amort_Periods,Mezz_Orig_Loan_Amount)),0)</f>
        <v>0</v>
      </c>
      <c r="Z364" s="78">
        <f t="shared" si="141"/>
        <v>0</v>
      </c>
      <c r="AB364">
        <f t="shared" si="127"/>
        <v>30</v>
      </c>
      <c r="AC364">
        <f t="shared" si="136"/>
        <v>359</v>
      </c>
      <c r="AD364" s="49">
        <f t="shared" si="142"/>
        <v>10898</v>
      </c>
      <c r="AE364" s="78">
        <f t="shared" si="137"/>
        <v>0</v>
      </c>
      <c r="AF364" s="78">
        <f t="shared" ca="1" si="143"/>
        <v>0</v>
      </c>
      <c r="AG364" s="78">
        <f ca="1">IFERROR(IF(AC364=0,0, PPMT(Refi_I_Adj,'Loan Amort Table'!AC364,Refi_Amort_Periods,Refi_Orig_Loan_Amount)),0)</f>
        <v>0</v>
      </c>
      <c r="AH364" s="78">
        <f t="shared" ca="1" si="128"/>
        <v>0</v>
      </c>
      <c r="AI364" s="78">
        <f t="shared" ca="1" si="144"/>
        <v>0</v>
      </c>
    </row>
    <row r="365" spans="1:35" x14ac:dyDescent="0.25">
      <c r="A365">
        <f t="shared" si="124"/>
        <v>30</v>
      </c>
      <c r="B365">
        <f t="shared" si="129"/>
        <v>360</v>
      </c>
      <c r="C365" s="49">
        <f t="shared" si="123"/>
        <v>10928</v>
      </c>
      <c r="D365" s="78">
        <f>IF(C365&gt;EDATE(DATE(YEAR(SED_Origination_Date)+ SED_Amort, MONTH(SED_Origination_Date), DAY(SED_Origination_Date)),SED_Interest_Only),0,H364)</f>
        <v>0</v>
      </c>
      <c r="E365" s="78">
        <f t="shared" si="130"/>
        <v>0</v>
      </c>
      <c r="F365" s="78">
        <f>IFERROR(IF(OR(B365=0, C365&gt;=Refi_Origination_Date),0, PPMT(SED_I_Adj,'Loan Amort Table'!B365,SED_Amort_Periods,SED_Orig_Loan_Amount)),0)</f>
        <v>0</v>
      </c>
      <c r="G365" s="78" cm="1">
        <f t="array" ref="G365">IFERROR(_xlfn.IFS(C365&gt;=Refi_Origination_Date, 0, SED_Amort = 0, -D365 * SED_I_Adj, 1, IPMT(SED_I_Adj,IF(B365 = 0, 1, B365),SED_Amort_Periods,SED_Orig_Loan_Amount)),0)</f>
        <v>0</v>
      </c>
      <c r="H365" s="78">
        <f t="shared" si="145"/>
        <v>0</v>
      </c>
      <c r="J365">
        <f t="shared" si="125"/>
        <v>30</v>
      </c>
      <c r="K365">
        <f t="shared" si="131"/>
        <v>360</v>
      </c>
      <c r="L365" s="49">
        <f t="shared" si="138"/>
        <v>10928</v>
      </c>
      <c r="M365" s="78">
        <f>IF(L365&gt;EDATE(DATE(YEAR(NEW_Origination_Date)+ NEW_Amort, MONTH(NEW_Origination_Date), DAY(NEW_Origination_Date)),NEW_Interest_Only),0,Q364)</f>
        <v>0</v>
      </c>
      <c r="N365" s="78">
        <f t="shared" si="132"/>
        <v>0</v>
      </c>
      <c r="O365" s="78">
        <f>IFERROR(IF(K365=0,0, PPMT(NEW_I_Adj,'Loan Amort Table'!K365,NEW_Amort_Periods,NEW_Orig_Loan_Amount)),0)</f>
        <v>0</v>
      </c>
      <c r="P365" s="78">
        <f>IFERROR(IF(NEW_Amort = 0, -M365* NEW_I_Adj,IPMT(NEW_I_Adj,IF(K365 = 0, 1, K365),NEW_Amort_Periods,NEW_Orig_Loan_Amount)),0)</f>
        <v>0</v>
      </c>
      <c r="Q365" s="78">
        <f t="shared" si="133"/>
        <v>0</v>
      </c>
      <c r="S365">
        <f t="shared" si="126"/>
        <v>30</v>
      </c>
      <c r="T365">
        <f t="shared" si="134"/>
        <v>360</v>
      </c>
      <c r="U365" s="49">
        <f t="shared" si="139"/>
        <v>10928</v>
      </c>
      <c r="V365" s="78">
        <f t="shared" si="135"/>
        <v>0</v>
      </c>
      <c r="W365" s="78">
        <f t="shared" ca="1" si="140"/>
        <v>0</v>
      </c>
      <c r="X365" s="78">
        <f>IFERROR(IF(OR(T365=0, U365&gt;=Refi_Origination_Date),0, PPMT(Mezz_I_Adj,'Loan Amort Table'!T365,Mezz_Amort_Periods,Mezz_Orig_Loan_Amount)),0)</f>
        <v>0</v>
      </c>
      <c r="Y365" s="78" cm="1">
        <f t="array" aca="1" ref="Y365" ca="1">IFERROR(_xlfn.IFS(U365&gt;=Refi_Origination_Date,0, Mezz_Amort = 0, -V365 * Mezz_I_Adj, 1, IPMT(Mezz_I_Adj,IF(T365 = 0, 1, T365),Mezz_Amort_Periods,Mezz_Orig_Loan_Amount)),0)</f>
        <v>0</v>
      </c>
      <c r="Z365" s="78">
        <f t="shared" si="141"/>
        <v>0</v>
      </c>
      <c r="AB365">
        <f t="shared" si="127"/>
        <v>30</v>
      </c>
      <c r="AC365">
        <f t="shared" si="136"/>
        <v>360</v>
      </c>
      <c r="AD365" s="49">
        <f t="shared" si="142"/>
        <v>10928</v>
      </c>
      <c r="AE365" s="78">
        <f t="shared" si="137"/>
        <v>0</v>
      </c>
      <c r="AF365" s="78">
        <f t="shared" ca="1" si="143"/>
        <v>0</v>
      </c>
      <c r="AG365" s="78">
        <f ca="1">IFERROR(IF(AC365=0,0, PPMT(Refi_I_Adj,'Loan Amort Table'!AC365,Refi_Amort_Periods,Refi_Orig_Loan_Amount)),0)</f>
        <v>0</v>
      </c>
      <c r="AH365" s="78">
        <f t="shared" ca="1" si="128"/>
        <v>0</v>
      </c>
      <c r="AI365" s="78">
        <f t="shared" ca="1" si="144"/>
        <v>0</v>
      </c>
    </row>
    <row r="366" spans="1:35" x14ac:dyDescent="0.25">
      <c r="A366">
        <f t="shared" si="124"/>
        <v>31</v>
      </c>
      <c r="B366">
        <f t="shared" si="129"/>
        <v>361</v>
      </c>
      <c r="C366" s="49">
        <f t="shared" si="123"/>
        <v>10959</v>
      </c>
      <c r="D366" s="78">
        <f>IF(C366&gt;EDATE(DATE(YEAR(SED_Origination_Date)+ SED_Amort, MONTH(SED_Origination_Date), DAY(SED_Origination_Date)),SED_Interest_Only),0,H365)</f>
        <v>0</v>
      </c>
      <c r="E366" s="78">
        <f t="shared" si="130"/>
        <v>0</v>
      </c>
      <c r="F366" s="78">
        <f>IFERROR(IF(OR(B366=0, C366&gt;=Refi_Origination_Date),0, PPMT(SED_I_Adj,'Loan Amort Table'!B366,SED_Amort_Periods,SED_Orig_Loan_Amount)),0)</f>
        <v>0</v>
      </c>
      <c r="G366" s="78" cm="1">
        <f t="array" ref="G366">IFERROR(_xlfn.IFS(C366&gt;=Refi_Origination_Date, 0, SED_Amort = 0, -D366 * SED_I_Adj, 1, IPMT(SED_I_Adj,IF(B366 = 0, 1, B366),SED_Amort_Periods,SED_Orig_Loan_Amount)),0)</f>
        <v>0</v>
      </c>
      <c r="H366" s="78">
        <f t="shared" si="145"/>
        <v>0</v>
      </c>
      <c r="J366">
        <f t="shared" si="125"/>
        <v>31</v>
      </c>
      <c r="K366">
        <f t="shared" si="131"/>
        <v>361</v>
      </c>
      <c r="L366" s="49">
        <f t="shared" si="138"/>
        <v>10959</v>
      </c>
      <c r="M366" s="78">
        <f>IF(L366&gt;EDATE(DATE(YEAR(NEW_Origination_Date)+ NEW_Amort, MONTH(NEW_Origination_Date), DAY(NEW_Origination_Date)),NEW_Interest_Only),0,Q365)</f>
        <v>0</v>
      </c>
      <c r="N366" s="78">
        <f t="shared" si="132"/>
        <v>0</v>
      </c>
      <c r="O366" s="78">
        <f>IFERROR(IF(K366=0,0, PPMT(NEW_I_Adj,'Loan Amort Table'!K366,NEW_Amort_Periods,NEW_Orig_Loan_Amount)),0)</f>
        <v>0</v>
      </c>
      <c r="P366" s="78">
        <f>IFERROR(IF(NEW_Amort = 0, -M366* NEW_I_Adj,IPMT(NEW_I_Adj,IF(K366 = 0, 1, K366),NEW_Amort_Periods,NEW_Orig_Loan_Amount)),0)</f>
        <v>0</v>
      </c>
      <c r="Q366" s="78">
        <f t="shared" si="133"/>
        <v>0</v>
      </c>
      <c r="S366">
        <f t="shared" si="126"/>
        <v>31</v>
      </c>
      <c r="T366">
        <f t="shared" si="134"/>
        <v>361</v>
      </c>
      <c r="U366" s="49">
        <f t="shared" si="139"/>
        <v>10959</v>
      </c>
      <c r="V366" s="78">
        <f t="shared" si="135"/>
        <v>0</v>
      </c>
      <c r="W366" s="78">
        <f t="shared" ca="1" si="140"/>
        <v>0</v>
      </c>
      <c r="X366" s="78">
        <f>IFERROR(IF(OR(T366=0, U366&gt;=Refi_Origination_Date),0, PPMT(Mezz_I_Adj,'Loan Amort Table'!T366,Mezz_Amort_Periods,Mezz_Orig_Loan_Amount)),0)</f>
        <v>0</v>
      </c>
      <c r="Y366" s="78" cm="1">
        <f t="array" aca="1" ref="Y366" ca="1">IFERROR(_xlfn.IFS(U366&gt;=Refi_Origination_Date,0, Mezz_Amort = 0, -V366 * Mezz_I_Adj, 1, IPMT(Mezz_I_Adj,IF(T366 = 0, 1, T366),Mezz_Amort_Periods,Mezz_Orig_Loan_Amount)),0)</f>
        <v>0</v>
      </c>
      <c r="Z366" s="78">
        <f t="shared" si="141"/>
        <v>0</v>
      </c>
      <c r="AB366">
        <f t="shared" si="127"/>
        <v>31</v>
      </c>
      <c r="AC366">
        <f t="shared" si="136"/>
        <v>361</v>
      </c>
      <c r="AD366" s="49">
        <f t="shared" si="142"/>
        <v>10959</v>
      </c>
      <c r="AE366" s="78">
        <f t="shared" si="137"/>
        <v>0</v>
      </c>
      <c r="AF366" s="78">
        <f t="shared" ca="1" si="143"/>
        <v>0</v>
      </c>
      <c r="AG366" s="78">
        <f ca="1">IFERROR(IF(AC366=0,0, PPMT(Refi_I_Adj,'Loan Amort Table'!AC366,Refi_Amort_Periods,Refi_Orig_Loan_Amount)),0)</f>
        <v>0</v>
      </c>
      <c r="AH366" s="78">
        <f t="shared" ca="1" si="128"/>
        <v>0</v>
      </c>
      <c r="AI366" s="78">
        <f t="shared" ca="1" si="144"/>
        <v>0</v>
      </c>
    </row>
    <row r="367" spans="1:35" x14ac:dyDescent="0.25">
      <c r="A367">
        <f t="shared" si="124"/>
        <v>31</v>
      </c>
      <c r="B367">
        <f t="shared" si="129"/>
        <v>362</v>
      </c>
      <c r="C367" s="49">
        <f t="shared" si="123"/>
        <v>10990</v>
      </c>
      <c r="D367" s="78">
        <f>IF(C367&gt;EDATE(DATE(YEAR(SED_Origination_Date)+ SED_Amort, MONTH(SED_Origination_Date), DAY(SED_Origination_Date)),SED_Interest_Only),0,H366)</f>
        <v>0</v>
      </c>
      <c r="E367" s="78">
        <f t="shared" si="130"/>
        <v>0</v>
      </c>
      <c r="F367" s="78">
        <f>IFERROR(IF(OR(B367=0, C367&gt;=Refi_Origination_Date),0, PPMT(SED_I_Adj,'Loan Amort Table'!B367,SED_Amort_Periods,SED_Orig_Loan_Amount)),0)</f>
        <v>0</v>
      </c>
      <c r="G367" s="78" cm="1">
        <f t="array" ref="G367">IFERROR(_xlfn.IFS(C367&gt;=Refi_Origination_Date, 0, SED_Amort = 0, -D367 * SED_I_Adj, 1, IPMT(SED_I_Adj,IF(B367 = 0, 1, B367),SED_Amort_Periods,SED_Orig_Loan_Amount)),0)</f>
        <v>0</v>
      </c>
      <c r="H367" s="78">
        <f t="shared" si="145"/>
        <v>0</v>
      </c>
      <c r="J367">
        <f t="shared" si="125"/>
        <v>31</v>
      </c>
      <c r="K367">
        <f t="shared" si="131"/>
        <v>362</v>
      </c>
      <c r="L367" s="49">
        <f t="shared" si="138"/>
        <v>10990</v>
      </c>
      <c r="M367" s="78">
        <f>IF(L367&gt;EDATE(DATE(YEAR(NEW_Origination_Date)+ NEW_Amort, MONTH(NEW_Origination_Date), DAY(NEW_Origination_Date)),NEW_Interest_Only),0,Q366)</f>
        <v>0</v>
      </c>
      <c r="N367" s="78">
        <f t="shared" si="132"/>
        <v>0</v>
      </c>
      <c r="O367" s="78">
        <f>IFERROR(IF(K367=0,0, PPMT(NEW_I_Adj,'Loan Amort Table'!K367,NEW_Amort_Periods,NEW_Orig_Loan_Amount)),0)</f>
        <v>0</v>
      </c>
      <c r="P367" s="78">
        <f>IFERROR(IF(NEW_Amort = 0, -M367* NEW_I_Adj,IPMT(NEW_I_Adj,IF(K367 = 0, 1, K367),NEW_Amort_Periods,NEW_Orig_Loan_Amount)),0)</f>
        <v>0</v>
      </c>
      <c r="Q367" s="78">
        <f t="shared" si="133"/>
        <v>0</v>
      </c>
      <c r="S367">
        <f t="shared" si="126"/>
        <v>31</v>
      </c>
      <c r="T367">
        <f t="shared" si="134"/>
        <v>362</v>
      </c>
      <c r="U367" s="49">
        <f t="shared" si="139"/>
        <v>10990</v>
      </c>
      <c r="V367" s="78">
        <f t="shared" si="135"/>
        <v>0</v>
      </c>
      <c r="W367" s="78">
        <f t="shared" ca="1" si="140"/>
        <v>0</v>
      </c>
      <c r="X367" s="78">
        <f>IFERROR(IF(OR(T367=0, U367&gt;=Refi_Origination_Date),0, PPMT(Mezz_I_Adj,'Loan Amort Table'!T367,Mezz_Amort_Periods,Mezz_Orig_Loan_Amount)),0)</f>
        <v>0</v>
      </c>
      <c r="Y367" s="78" cm="1">
        <f t="array" aca="1" ref="Y367" ca="1">IFERROR(_xlfn.IFS(U367&gt;=Refi_Origination_Date,0, Mezz_Amort = 0, -V367 * Mezz_I_Adj, 1, IPMT(Mezz_I_Adj,IF(T367 = 0, 1, T367),Mezz_Amort_Periods,Mezz_Orig_Loan_Amount)),0)</f>
        <v>0</v>
      </c>
      <c r="Z367" s="78">
        <f t="shared" si="141"/>
        <v>0</v>
      </c>
      <c r="AB367">
        <f t="shared" si="127"/>
        <v>31</v>
      </c>
      <c r="AC367">
        <f t="shared" si="136"/>
        <v>362</v>
      </c>
      <c r="AD367" s="49">
        <f t="shared" si="142"/>
        <v>10990</v>
      </c>
      <c r="AE367" s="78">
        <f t="shared" si="137"/>
        <v>0</v>
      </c>
      <c r="AF367" s="78">
        <f t="shared" ca="1" si="143"/>
        <v>0</v>
      </c>
      <c r="AG367" s="78">
        <f ca="1">IFERROR(IF(AC367=0,0, PPMT(Refi_I_Adj,'Loan Amort Table'!AC367,Refi_Amort_Periods,Refi_Orig_Loan_Amount)),0)</f>
        <v>0</v>
      </c>
      <c r="AH367" s="78">
        <f t="shared" ca="1" si="128"/>
        <v>0</v>
      </c>
      <c r="AI367" s="78">
        <f t="shared" ca="1" si="144"/>
        <v>0</v>
      </c>
    </row>
    <row r="368" spans="1:35" x14ac:dyDescent="0.25">
      <c r="A368">
        <f t="shared" si="124"/>
        <v>31</v>
      </c>
      <c r="B368">
        <f t="shared" si="129"/>
        <v>363</v>
      </c>
      <c r="C368" s="49">
        <f t="shared" si="123"/>
        <v>11018</v>
      </c>
      <c r="D368" s="78">
        <f>IF(C368&gt;EDATE(DATE(YEAR(SED_Origination_Date)+ SED_Amort, MONTH(SED_Origination_Date), DAY(SED_Origination_Date)),SED_Interest_Only),0,H367)</f>
        <v>0</v>
      </c>
      <c r="E368" s="78">
        <f t="shared" si="130"/>
        <v>0</v>
      </c>
      <c r="F368" s="78">
        <f>IFERROR(IF(OR(B368=0, C368&gt;=Refi_Origination_Date),0, PPMT(SED_I_Adj,'Loan Amort Table'!B368,SED_Amort_Periods,SED_Orig_Loan_Amount)),0)</f>
        <v>0</v>
      </c>
      <c r="G368" s="78" cm="1">
        <f t="array" ref="G368">IFERROR(_xlfn.IFS(C368&gt;=Refi_Origination_Date, 0, SED_Amort = 0, -D368 * SED_I_Adj, 1, IPMT(SED_I_Adj,IF(B368 = 0, 1, B368),SED_Amort_Periods,SED_Orig_Loan_Amount)),0)</f>
        <v>0</v>
      </c>
      <c r="H368" s="78">
        <f t="shared" si="145"/>
        <v>0</v>
      </c>
      <c r="J368">
        <f t="shared" si="125"/>
        <v>31</v>
      </c>
      <c r="K368">
        <f t="shared" si="131"/>
        <v>363</v>
      </c>
      <c r="L368" s="49">
        <f t="shared" si="138"/>
        <v>11018</v>
      </c>
      <c r="M368" s="78">
        <f>IF(L368&gt;EDATE(DATE(YEAR(NEW_Origination_Date)+ NEW_Amort, MONTH(NEW_Origination_Date), DAY(NEW_Origination_Date)),NEW_Interest_Only),0,Q367)</f>
        <v>0</v>
      </c>
      <c r="N368" s="78">
        <f t="shared" si="132"/>
        <v>0</v>
      </c>
      <c r="O368" s="78">
        <f>IFERROR(IF(K368=0,0, PPMT(NEW_I_Adj,'Loan Amort Table'!K368,NEW_Amort_Periods,NEW_Orig_Loan_Amount)),0)</f>
        <v>0</v>
      </c>
      <c r="P368" s="78">
        <f>IFERROR(IF(NEW_Amort = 0, -M368* NEW_I_Adj,IPMT(NEW_I_Adj,IF(K368 = 0, 1, K368),NEW_Amort_Periods,NEW_Orig_Loan_Amount)),0)</f>
        <v>0</v>
      </c>
      <c r="Q368" s="78">
        <f t="shared" si="133"/>
        <v>0</v>
      </c>
      <c r="S368">
        <f t="shared" si="126"/>
        <v>31</v>
      </c>
      <c r="T368">
        <f t="shared" si="134"/>
        <v>363</v>
      </c>
      <c r="U368" s="49">
        <f t="shared" si="139"/>
        <v>11018</v>
      </c>
      <c r="V368" s="78">
        <f t="shared" si="135"/>
        <v>0</v>
      </c>
      <c r="W368" s="78">
        <f t="shared" ca="1" si="140"/>
        <v>0</v>
      </c>
      <c r="X368" s="78">
        <f>IFERROR(IF(OR(T368=0, U368&gt;=Refi_Origination_Date),0, PPMT(Mezz_I_Adj,'Loan Amort Table'!T368,Mezz_Amort_Periods,Mezz_Orig_Loan_Amount)),0)</f>
        <v>0</v>
      </c>
      <c r="Y368" s="78" cm="1">
        <f t="array" aca="1" ref="Y368" ca="1">IFERROR(_xlfn.IFS(U368&gt;=Refi_Origination_Date,0, Mezz_Amort = 0, -V368 * Mezz_I_Adj, 1, IPMT(Mezz_I_Adj,IF(T368 = 0, 1, T368),Mezz_Amort_Periods,Mezz_Orig_Loan_Amount)),0)</f>
        <v>0</v>
      </c>
      <c r="Z368" s="78">
        <f t="shared" si="141"/>
        <v>0</v>
      </c>
      <c r="AB368">
        <f t="shared" si="127"/>
        <v>31</v>
      </c>
      <c r="AC368">
        <f t="shared" si="136"/>
        <v>363</v>
      </c>
      <c r="AD368" s="49">
        <f t="shared" si="142"/>
        <v>11018</v>
      </c>
      <c r="AE368" s="78">
        <f t="shared" si="137"/>
        <v>0</v>
      </c>
      <c r="AF368" s="78">
        <f t="shared" ca="1" si="143"/>
        <v>0</v>
      </c>
      <c r="AG368" s="78">
        <f ca="1">IFERROR(IF(AC368=0,0, PPMT(Refi_I_Adj,'Loan Amort Table'!AC368,Refi_Amort_Periods,Refi_Orig_Loan_Amount)),0)</f>
        <v>0</v>
      </c>
      <c r="AH368" s="78">
        <f t="shared" ca="1" si="128"/>
        <v>0</v>
      </c>
      <c r="AI368" s="78">
        <f t="shared" ca="1" si="144"/>
        <v>0</v>
      </c>
    </row>
    <row r="369" spans="1:35" x14ac:dyDescent="0.25">
      <c r="A369">
        <f t="shared" si="124"/>
        <v>31</v>
      </c>
      <c r="B369">
        <f t="shared" si="129"/>
        <v>364</v>
      </c>
      <c r="C369" s="49">
        <f t="shared" si="123"/>
        <v>11049</v>
      </c>
      <c r="D369" s="78">
        <f>IF(C369&gt;EDATE(DATE(YEAR(SED_Origination_Date)+ SED_Amort, MONTH(SED_Origination_Date), DAY(SED_Origination_Date)),SED_Interest_Only),0,H368)</f>
        <v>0</v>
      </c>
      <c r="E369" s="78">
        <f t="shared" si="130"/>
        <v>0</v>
      </c>
      <c r="F369" s="78">
        <f>IFERROR(IF(OR(B369=0, C369&gt;=Refi_Origination_Date),0, PPMT(SED_I_Adj,'Loan Amort Table'!B369,SED_Amort_Periods,SED_Orig_Loan_Amount)),0)</f>
        <v>0</v>
      </c>
      <c r="G369" s="78" cm="1">
        <f t="array" ref="G369">IFERROR(_xlfn.IFS(C369&gt;=Refi_Origination_Date, 0, SED_Amort = 0, -D369 * SED_I_Adj, 1, IPMT(SED_I_Adj,IF(B369 = 0, 1, B369),SED_Amort_Periods,SED_Orig_Loan_Amount)),0)</f>
        <v>0</v>
      </c>
      <c r="H369" s="78">
        <f t="shared" si="145"/>
        <v>0</v>
      </c>
      <c r="J369">
        <f t="shared" si="125"/>
        <v>31</v>
      </c>
      <c r="K369">
        <f t="shared" si="131"/>
        <v>364</v>
      </c>
      <c r="L369" s="49">
        <f t="shared" si="138"/>
        <v>11049</v>
      </c>
      <c r="M369" s="78">
        <f>IF(L369&gt;EDATE(DATE(YEAR(NEW_Origination_Date)+ NEW_Amort, MONTH(NEW_Origination_Date), DAY(NEW_Origination_Date)),NEW_Interest_Only),0,Q368)</f>
        <v>0</v>
      </c>
      <c r="N369" s="78">
        <f t="shared" si="132"/>
        <v>0</v>
      </c>
      <c r="O369" s="78">
        <f>IFERROR(IF(K369=0,0, PPMT(NEW_I_Adj,'Loan Amort Table'!K369,NEW_Amort_Periods,NEW_Orig_Loan_Amount)),0)</f>
        <v>0</v>
      </c>
      <c r="P369" s="78">
        <f>IFERROR(IF(NEW_Amort = 0, -M369* NEW_I_Adj,IPMT(NEW_I_Adj,IF(K369 = 0, 1, K369),NEW_Amort_Periods,NEW_Orig_Loan_Amount)),0)</f>
        <v>0</v>
      </c>
      <c r="Q369" s="78">
        <f t="shared" si="133"/>
        <v>0</v>
      </c>
      <c r="S369">
        <f t="shared" si="126"/>
        <v>31</v>
      </c>
      <c r="T369">
        <f t="shared" si="134"/>
        <v>364</v>
      </c>
      <c r="U369" s="49">
        <f t="shared" si="139"/>
        <v>11049</v>
      </c>
      <c r="V369" s="78">
        <f t="shared" si="135"/>
        <v>0</v>
      </c>
      <c r="W369" s="78">
        <f t="shared" ca="1" si="140"/>
        <v>0</v>
      </c>
      <c r="X369" s="78">
        <f>IFERROR(IF(OR(T369=0, U369&gt;=Refi_Origination_Date),0, PPMT(Mezz_I_Adj,'Loan Amort Table'!T369,Mezz_Amort_Periods,Mezz_Orig_Loan_Amount)),0)</f>
        <v>0</v>
      </c>
      <c r="Y369" s="78" cm="1">
        <f t="array" aca="1" ref="Y369" ca="1">IFERROR(_xlfn.IFS(U369&gt;=Refi_Origination_Date,0, Mezz_Amort = 0, -V369 * Mezz_I_Adj, 1, IPMT(Mezz_I_Adj,IF(T369 = 0, 1, T369),Mezz_Amort_Periods,Mezz_Orig_Loan_Amount)),0)</f>
        <v>0</v>
      </c>
      <c r="Z369" s="78">
        <f t="shared" si="141"/>
        <v>0</v>
      </c>
      <c r="AB369">
        <f t="shared" si="127"/>
        <v>31</v>
      </c>
      <c r="AC369">
        <f t="shared" si="136"/>
        <v>364</v>
      </c>
      <c r="AD369" s="49">
        <f t="shared" si="142"/>
        <v>11049</v>
      </c>
      <c r="AE369" s="78">
        <f t="shared" si="137"/>
        <v>0</v>
      </c>
      <c r="AF369" s="78">
        <f t="shared" ca="1" si="143"/>
        <v>0</v>
      </c>
      <c r="AG369" s="78">
        <f ca="1">IFERROR(IF(AC369=0,0, PPMT(Refi_I_Adj,'Loan Amort Table'!AC369,Refi_Amort_Periods,Refi_Orig_Loan_Amount)),0)</f>
        <v>0</v>
      </c>
      <c r="AH369" s="78">
        <f t="shared" ca="1" si="128"/>
        <v>0</v>
      </c>
      <c r="AI369" s="78">
        <f t="shared" ca="1" si="144"/>
        <v>0</v>
      </c>
    </row>
    <row r="370" spans="1:35" x14ac:dyDescent="0.25">
      <c r="A370">
        <f t="shared" si="124"/>
        <v>31</v>
      </c>
      <c r="B370">
        <f t="shared" si="129"/>
        <v>365</v>
      </c>
      <c r="C370" s="49">
        <f t="shared" si="123"/>
        <v>11079</v>
      </c>
      <c r="D370" s="78">
        <f>IF(C370&gt;EDATE(DATE(YEAR(SED_Origination_Date)+ SED_Amort, MONTH(SED_Origination_Date), DAY(SED_Origination_Date)),SED_Interest_Only),0,H369)</f>
        <v>0</v>
      </c>
      <c r="E370" s="78">
        <f t="shared" si="130"/>
        <v>0</v>
      </c>
      <c r="F370" s="78">
        <f>IFERROR(IF(OR(B370=0, C370&gt;=Refi_Origination_Date),0, PPMT(SED_I_Adj,'Loan Amort Table'!B370,SED_Amort_Periods,SED_Orig_Loan_Amount)),0)</f>
        <v>0</v>
      </c>
      <c r="G370" s="78" cm="1">
        <f t="array" ref="G370">IFERROR(_xlfn.IFS(C370&gt;=Refi_Origination_Date, 0, SED_Amort = 0, -D370 * SED_I_Adj, 1, IPMT(SED_I_Adj,IF(B370 = 0, 1, B370),SED_Amort_Periods,SED_Orig_Loan_Amount)),0)</f>
        <v>0</v>
      </c>
      <c r="H370" s="78">
        <f t="shared" si="145"/>
        <v>0</v>
      </c>
      <c r="J370">
        <f t="shared" si="125"/>
        <v>31</v>
      </c>
      <c r="K370">
        <f t="shared" si="131"/>
        <v>365</v>
      </c>
      <c r="L370" s="49">
        <f t="shared" si="138"/>
        <v>11079</v>
      </c>
      <c r="M370" s="78">
        <f>IF(L370&gt;EDATE(DATE(YEAR(NEW_Origination_Date)+ NEW_Amort, MONTH(NEW_Origination_Date), DAY(NEW_Origination_Date)),NEW_Interest_Only),0,Q369)</f>
        <v>0</v>
      </c>
      <c r="N370" s="78">
        <f t="shared" si="132"/>
        <v>0</v>
      </c>
      <c r="O370" s="78">
        <f>IFERROR(IF(K370=0,0, PPMT(NEW_I_Adj,'Loan Amort Table'!K370,NEW_Amort_Periods,NEW_Orig_Loan_Amount)),0)</f>
        <v>0</v>
      </c>
      <c r="P370" s="78">
        <f>IFERROR(IF(NEW_Amort = 0, -M370* NEW_I_Adj,IPMT(NEW_I_Adj,IF(K370 = 0, 1, K370),NEW_Amort_Periods,NEW_Orig_Loan_Amount)),0)</f>
        <v>0</v>
      </c>
      <c r="Q370" s="78">
        <f t="shared" si="133"/>
        <v>0</v>
      </c>
      <c r="S370">
        <f t="shared" si="126"/>
        <v>31</v>
      </c>
      <c r="T370">
        <f t="shared" si="134"/>
        <v>365</v>
      </c>
      <c r="U370" s="49">
        <f t="shared" si="139"/>
        <v>11079</v>
      </c>
      <c r="V370" s="78">
        <f t="shared" si="135"/>
        <v>0</v>
      </c>
      <c r="W370" s="78">
        <f t="shared" ca="1" si="140"/>
        <v>0</v>
      </c>
      <c r="X370" s="78">
        <f>IFERROR(IF(OR(T370=0, U370&gt;=Refi_Origination_Date),0, PPMT(Mezz_I_Adj,'Loan Amort Table'!T370,Mezz_Amort_Periods,Mezz_Orig_Loan_Amount)),0)</f>
        <v>0</v>
      </c>
      <c r="Y370" s="78" cm="1">
        <f t="array" aca="1" ref="Y370" ca="1">IFERROR(_xlfn.IFS(U370&gt;=Refi_Origination_Date,0, Mezz_Amort = 0, -V370 * Mezz_I_Adj, 1, IPMT(Mezz_I_Adj,IF(T370 = 0, 1, T370),Mezz_Amort_Periods,Mezz_Orig_Loan_Amount)),0)</f>
        <v>0</v>
      </c>
      <c r="Z370" s="78">
        <f t="shared" si="141"/>
        <v>0</v>
      </c>
      <c r="AB370">
        <f t="shared" si="127"/>
        <v>31</v>
      </c>
      <c r="AC370">
        <f t="shared" si="136"/>
        <v>365</v>
      </c>
      <c r="AD370" s="49">
        <f t="shared" si="142"/>
        <v>11079</v>
      </c>
      <c r="AE370" s="78">
        <f t="shared" si="137"/>
        <v>0</v>
      </c>
      <c r="AF370" s="78">
        <f t="shared" ca="1" si="143"/>
        <v>0</v>
      </c>
      <c r="AG370" s="78">
        <f ca="1">IFERROR(IF(AC370=0,0, PPMT(Refi_I_Adj,'Loan Amort Table'!AC370,Refi_Amort_Periods,Refi_Orig_Loan_Amount)),0)</f>
        <v>0</v>
      </c>
      <c r="AH370" s="78">
        <f t="shared" ca="1" si="128"/>
        <v>0</v>
      </c>
      <c r="AI370" s="78">
        <f t="shared" ca="1" si="144"/>
        <v>0</v>
      </c>
    </row>
    <row r="371" spans="1:35" x14ac:dyDescent="0.25">
      <c r="A371">
        <f t="shared" si="124"/>
        <v>31</v>
      </c>
      <c r="B371">
        <f t="shared" si="129"/>
        <v>366</v>
      </c>
      <c r="C371" s="49">
        <f t="shared" si="123"/>
        <v>11110</v>
      </c>
      <c r="D371" s="78">
        <f>IF(C371&gt;EDATE(DATE(YEAR(SED_Origination_Date)+ SED_Amort, MONTH(SED_Origination_Date), DAY(SED_Origination_Date)),SED_Interest_Only),0,H370)</f>
        <v>0</v>
      </c>
      <c r="E371" s="78">
        <f t="shared" si="130"/>
        <v>0</v>
      </c>
      <c r="F371" s="78">
        <f>IFERROR(IF(OR(B371=0, C371&gt;=Refi_Origination_Date),0, PPMT(SED_I_Adj,'Loan Amort Table'!B371,SED_Amort_Periods,SED_Orig_Loan_Amount)),0)</f>
        <v>0</v>
      </c>
      <c r="G371" s="78" cm="1">
        <f t="array" ref="G371">IFERROR(_xlfn.IFS(C371&gt;=Refi_Origination_Date, 0, SED_Amort = 0, -D371 * SED_I_Adj, 1, IPMT(SED_I_Adj,IF(B371 = 0, 1, B371),SED_Amort_Periods,SED_Orig_Loan_Amount)),0)</f>
        <v>0</v>
      </c>
      <c r="H371" s="78">
        <f t="shared" si="145"/>
        <v>0</v>
      </c>
      <c r="J371">
        <f t="shared" si="125"/>
        <v>31</v>
      </c>
      <c r="K371">
        <f t="shared" si="131"/>
        <v>366</v>
      </c>
      <c r="L371" s="49">
        <f t="shared" si="138"/>
        <v>11110</v>
      </c>
      <c r="M371" s="78">
        <f>IF(L371&gt;EDATE(DATE(YEAR(NEW_Origination_Date)+ NEW_Amort, MONTH(NEW_Origination_Date), DAY(NEW_Origination_Date)),NEW_Interest_Only),0,Q370)</f>
        <v>0</v>
      </c>
      <c r="N371" s="78">
        <f t="shared" si="132"/>
        <v>0</v>
      </c>
      <c r="O371" s="78">
        <f>IFERROR(IF(K371=0,0, PPMT(NEW_I_Adj,'Loan Amort Table'!K371,NEW_Amort_Periods,NEW_Orig_Loan_Amount)),0)</f>
        <v>0</v>
      </c>
      <c r="P371" s="78">
        <f>IFERROR(IF(NEW_Amort = 0, -M371* NEW_I_Adj,IPMT(NEW_I_Adj,IF(K371 = 0, 1, K371),NEW_Amort_Periods,NEW_Orig_Loan_Amount)),0)</f>
        <v>0</v>
      </c>
      <c r="Q371" s="78">
        <f t="shared" si="133"/>
        <v>0</v>
      </c>
      <c r="S371">
        <f t="shared" si="126"/>
        <v>31</v>
      </c>
      <c r="T371">
        <f t="shared" si="134"/>
        <v>366</v>
      </c>
      <c r="U371" s="49">
        <f t="shared" si="139"/>
        <v>11110</v>
      </c>
      <c r="V371" s="78">
        <f t="shared" si="135"/>
        <v>0</v>
      </c>
      <c r="W371" s="78">
        <f t="shared" ca="1" si="140"/>
        <v>0</v>
      </c>
      <c r="X371" s="78">
        <f>IFERROR(IF(OR(T371=0, U371&gt;=Refi_Origination_Date),0, PPMT(Mezz_I_Adj,'Loan Amort Table'!T371,Mezz_Amort_Periods,Mezz_Orig_Loan_Amount)),0)</f>
        <v>0</v>
      </c>
      <c r="Y371" s="78" cm="1">
        <f t="array" aca="1" ref="Y371" ca="1">IFERROR(_xlfn.IFS(U371&gt;=Refi_Origination_Date,0, Mezz_Amort = 0, -V371 * Mezz_I_Adj, 1, IPMT(Mezz_I_Adj,IF(T371 = 0, 1, T371),Mezz_Amort_Periods,Mezz_Orig_Loan_Amount)),0)</f>
        <v>0</v>
      </c>
      <c r="Z371" s="78">
        <f t="shared" si="141"/>
        <v>0</v>
      </c>
      <c r="AB371">
        <f t="shared" si="127"/>
        <v>31</v>
      </c>
      <c r="AC371">
        <f t="shared" si="136"/>
        <v>366</v>
      </c>
      <c r="AD371" s="49">
        <f t="shared" si="142"/>
        <v>11110</v>
      </c>
      <c r="AE371" s="78">
        <f t="shared" si="137"/>
        <v>0</v>
      </c>
      <c r="AF371" s="78">
        <f t="shared" ca="1" si="143"/>
        <v>0</v>
      </c>
      <c r="AG371" s="78">
        <f ca="1">IFERROR(IF(AC371=0,0, PPMT(Refi_I_Adj,'Loan Amort Table'!AC371,Refi_Amort_Periods,Refi_Orig_Loan_Amount)),0)</f>
        <v>0</v>
      </c>
      <c r="AH371" s="78">
        <f t="shared" ca="1" si="128"/>
        <v>0</v>
      </c>
      <c r="AI371" s="78">
        <f t="shared" ca="1" si="144"/>
        <v>0</v>
      </c>
    </row>
    <row r="372" spans="1:35" x14ac:dyDescent="0.25">
      <c r="A372">
        <f t="shared" si="124"/>
        <v>31</v>
      </c>
      <c r="B372">
        <f t="shared" si="129"/>
        <v>367</v>
      </c>
      <c r="C372" s="49">
        <f t="shared" si="123"/>
        <v>11140</v>
      </c>
      <c r="D372" s="78">
        <f>IF(C372&gt;EDATE(DATE(YEAR(SED_Origination_Date)+ SED_Amort, MONTH(SED_Origination_Date), DAY(SED_Origination_Date)),SED_Interest_Only),0,H371)</f>
        <v>0</v>
      </c>
      <c r="E372" s="78">
        <f t="shared" si="130"/>
        <v>0</v>
      </c>
      <c r="F372" s="78">
        <f>IFERROR(IF(OR(B372=0, C372&gt;=Refi_Origination_Date),0, PPMT(SED_I_Adj,'Loan Amort Table'!B372,SED_Amort_Periods,SED_Orig_Loan_Amount)),0)</f>
        <v>0</v>
      </c>
      <c r="G372" s="78" cm="1">
        <f t="array" ref="G372">IFERROR(_xlfn.IFS(C372&gt;=Refi_Origination_Date, 0, SED_Amort = 0, -D372 * SED_I_Adj, 1, IPMT(SED_I_Adj,IF(B372 = 0, 1, B372),SED_Amort_Periods,SED_Orig_Loan_Amount)),0)</f>
        <v>0</v>
      </c>
      <c r="H372" s="78">
        <f t="shared" si="145"/>
        <v>0</v>
      </c>
      <c r="J372">
        <f t="shared" si="125"/>
        <v>31</v>
      </c>
      <c r="K372">
        <f t="shared" si="131"/>
        <v>367</v>
      </c>
      <c r="L372" s="49">
        <f t="shared" si="138"/>
        <v>11140</v>
      </c>
      <c r="M372" s="78">
        <f>IF(L372&gt;EDATE(DATE(YEAR(NEW_Origination_Date)+ NEW_Amort, MONTH(NEW_Origination_Date), DAY(NEW_Origination_Date)),NEW_Interest_Only),0,Q371)</f>
        <v>0</v>
      </c>
      <c r="N372" s="78">
        <f t="shared" si="132"/>
        <v>0</v>
      </c>
      <c r="O372" s="78">
        <f>IFERROR(IF(K372=0,0, PPMT(NEW_I_Adj,'Loan Amort Table'!K372,NEW_Amort_Periods,NEW_Orig_Loan_Amount)),0)</f>
        <v>0</v>
      </c>
      <c r="P372" s="78">
        <f>IFERROR(IF(NEW_Amort = 0, -M372* NEW_I_Adj,IPMT(NEW_I_Adj,IF(K372 = 0, 1, K372),NEW_Amort_Periods,NEW_Orig_Loan_Amount)),0)</f>
        <v>0</v>
      </c>
      <c r="Q372" s="78">
        <f t="shared" si="133"/>
        <v>0</v>
      </c>
      <c r="S372">
        <f t="shared" si="126"/>
        <v>31</v>
      </c>
      <c r="T372">
        <f t="shared" si="134"/>
        <v>367</v>
      </c>
      <c r="U372" s="49">
        <f t="shared" si="139"/>
        <v>11140</v>
      </c>
      <c r="V372" s="78">
        <f t="shared" si="135"/>
        <v>0</v>
      </c>
      <c r="W372" s="78">
        <f t="shared" ca="1" si="140"/>
        <v>0</v>
      </c>
      <c r="X372" s="78">
        <f>IFERROR(IF(OR(T372=0, U372&gt;=Refi_Origination_Date),0, PPMT(Mezz_I_Adj,'Loan Amort Table'!T372,Mezz_Amort_Periods,Mezz_Orig_Loan_Amount)),0)</f>
        <v>0</v>
      </c>
      <c r="Y372" s="78" cm="1">
        <f t="array" aca="1" ref="Y372" ca="1">IFERROR(_xlfn.IFS(U372&gt;=Refi_Origination_Date,0, Mezz_Amort = 0, -V372 * Mezz_I_Adj, 1, IPMT(Mezz_I_Adj,IF(T372 = 0, 1, T372),Mezz_Amort_Periods,Mezz_Orig_Loan_Amount)),0)</f>
        <v>0</v>
      </c>
      <c r="Z372" s="78">
        <f t="shared" si="141"/>
        <v>0</v>
      </c>
      <c r="AB372">
        <f t="shared" si="127"/>
        <v>31</v>
      </c>
      <c r="AC372">
        <f t="shared" si="136"/>
        <v>367</v>
      </c>
      <c r="AD372" s="49">
        <f t="shared" si="142"/>
        <v>11140</v>
      </c>
      <c r="AE372" s="78">
        <f t="shared" si="137"/>
        <v>0</v>
      </c>
      <c r="AF372" s="78">
        <f t="shared" ca="1" si="143"/>
        <v>0</v>
      </c>
      <c r="AG372" s="78">
        <f ca="1">IFERROR(IF(AC372=0,0, PPMT(Refi_I_Adj,'Loan Amort Table'!AC372,Refi_Amort_Periods,Refi_Orig_Loan_Amount)),0)</f>
        <v>0</v>
      </c>
      <c r="AH372" s="78">
        <f t="shared" ca="1" si="128"/>
        <v>0</v>
      </c>
      <c r="AI372" s="78">
        <f t="shared" ca="1" si="144"/>
        <v>0</v>
      </c>
    </row>
    <row r="373" spans="1:35" x14ac:dyDescent="0.25">
      <c r="A373">
        <f t="shared" si="124"/>
        <v>31</v>
      </c>
      <c r="B373">
        <f t="shared" si="129"/>
        <v>368</v>
      </c>
      <c r="C373" s="49">
        <f t="shared" si="123"/>
        <v>11171</v>
      </c>
      <c r="D373" s="78">
        <f>IF(C373&gt;EDATE(DATE(YEAR(SED_Origination_Date)+ SED_Amort, MONTH(SED_Origination_Date), DAY(SED_Origination_Date)),SED_Interest_Only),0,H372)</f>
        <v>0</v>
      </c>
      <c r="E373" s="78">
        <f t="shared" si="130"/>
        <v>0</v>
      </c>
      <c r="F373" s="78">
        <f>IFERROR(IF(OR(B373=0, C373&gt;=Refi_Origination_Date),0, PPMT(SED_I_Adj,'Loan Amort Table'!B373,SED_Amort_Periods,SED_Orig_Loan_Amount)),0)</f>
        <v>0</v>
      </c>
      <c r="G373" s="78" cm="1">
        <f t="array" ref="G373">IFERROR(_xlfn.IFS(C373&gt;=Refi_Origination_Date, 0, SED_Amort = 0, -D373 * SED_I_Adj, 1, IPMT(SED_I_Adj,IF(B373 = 0, 1, B373),SED_Amort_Periods,SED_Orig_Loan_Amount)),0)</f>
        <v>0</v>
      </c>
      <c r="H373" s="78">
        <f t="shared" si="145"/>
        <v>0</v>
      </c>
      <c r="J373">
        <f t="shared" si="125"/>
        <v>31</v>
      </c>
      <c r="K373">
        <f t="shared" si="131"/>
        <v>368</v>
      </c>
      <c r="L373" s="49">
        <f t="shared" si="138"/>
        <v>11171</v>
      </c>
      <c r="M373" s="78">
        <f>IF(L373&gt;EDATE(DATE(YEAR(NEW_Origination_Date)+ NEW_Amort, MONTH(NEW_Origination_Date), DAY(NEW_Origination_Date)),NEW_Interest_Only),0,Q372)</f>
        <v>0</v>
      </c>
      <c r="N373" s="78">
        <f t="shared" si="132"/>
        <v>0</v>
      </c>
      <c r="O373" s="78">
        <f>IFERROR(IF(K373=0,0, PPMT(NEW_I_Adj,'Loan Amort Table'!K373,NEW_Amort_Periods,NEW_Orig_Loan_Amount)),0)</f>
        <v>0</v>
      </c>
      <c r="P373" s="78">
        <f>IFERROR(IF(NEW_Amort = 0, -M373* NEW_I_Adj,IPMT(NEW_I_Adj,IF(K373 = 0, 1, K373),NEW_Amort_Periods,NEW_Orig_Loan_Amount)),0)</f>
        <v>0</v>
      </c>
      <c r="Q373" s="78">
        <f t="shared" si="133"/>
        <v>0</v>
      </c>
      <c r="S373">
        <f t="shared" si="126"/>
        <v>31</v>
      </c>
      <c r="T373">
        <f t="shared" si="134"/>
        <v>368</v>
      </c>
      <c r="U373" s="49">
        <f t="shared" si="139"/>
        <v>11171</v>
      </c>
      <c r="V373" s="78">
        <f t="shared" si="135"/>
        <v>0</v>
      </c>
      <c r="W373" s="78">
        <f t="shared" ca="1" si="140"/>
        <v>0</v>
      </c>
      <c r="X373" s="78">
        <f>IFERROR(IF(OR(T373=0, U373&gt;=Refi_Origination_Date),0, PPMT(Mezz_I_Adj,'Loan Amort Table'!T373,Mezz_Amort_Periods,Mezz_Orig_Loan_Amount)),0)</f>
        <v>0</v>
      </c>
      <c r="Y373" s="78" cm="1">
        <f t="array" aca="1" ref="Y373" ca="1">IFERROR(_xlfn.IFS(U373&gt;=Refi_Origination_Date,0, Mezz_Amort = 0, -V373 * Mezz_I_Adj, 1, IPMT(Mezz_I_Adj,IF(T373 = 0, 1, T373),Mezz_Amort_Periods,Mezz_Orig_Loan_Amount)),0)</f>
        <v>0</v>
      </c>
      <c r="Z373" s="78">
        <f t="shared" si="141"/>
        <v>0</v>
      </c>
      <c r="AB373">
        <f t="shared" si="127"/>
        <v>31</v>
      </c>
      <c r="AC373">
        <f t="shared" si="136"/>
        <v>368</v>
      </c>
      <c r="AD373" s="49">
        <f t="shared" si="142"/>
        <v>11171</v>
      </c>
      <c r="AE373" s="78">
        <f t="shared" si="137"/>
        <v>0</v>
      </c>
      <c r="AF373" s="78">
        <f t="shared" ca="1" si="143"/>
        <v>0</v>
      </c>
      <c r="AG373" s="78">
        <f ca="1">IFERROR(IF(AC373=0,0, PPMT(Refi_I_Adj,'Loan Amort Table'!AC373,Refi_Amort_Periods,Refi_Orig_Loan_Amount)),0)</f>
        <v>0</v>
      </c>
      <c r="AH373" s="78">
        <f t="shared" ca="1" si="128"/>
        <v>0</v>
      </c>
      <c r="AI373" s="78">
        <f t="shared" ca="1" si="144"/>
        <v>0</v>
      </c>
    </row>
    <row r="374" spans="1:35" x14ac:dyDescent="0.25">
      <c r="A374">
        <f t="shared" si="124"/>
        <v>31</v>
      </c>
      <c r="B374">
        <f t="shared" si="129"/>
        <v>369</v>
      </c>
      <c r="C374" s="49">
        <f t="shared" si="123"/>
        <v>11202</v>
      </c>
      <c r="D374" s="78">
        <f>IF(C374&gt;EDATE(DATE(YEAR(SED_Origination_Date)+ SED_Amort, MONTH(SED_Origination_Date), DAY(SED_Origination_Date)),SED_Interest_Only),0,H373)</f>
        <v>0</v>
      </c>
      <c r="E374" s="78">
        <f t="shared" si="130"/>
        <v>0</v>
      </c>
      <c r="F374" s="78">
        <f>IFERROR(IF(OR(B374=0, C374&gt;=Refi_Origination_Date),0, PPMT(SED_I_Adj,'Loan Amort Table'!B374,SED_Amort_Periods,SED_Orig_Loan_Amount)),0)</f>
        <v>0</v>
      </c>
      <c r="G374" s="78" cm="1">
        <f t="array" ref="G374">IFERROR(_xlfn.IFS(C374&gt;=Refi_Origination_Date, 0, SED_Amort = 0, -D374 * SED_I_Adj, 1, IPMT(SED_I_Adj,IF(B374 = 0, 1, B374),SED_Amort_Periods,SED_Orig_Loan_Amount)),0)</f>
        <v>0</v>
      </c>
      <c r="H374" s="78">
        <f t="shared" si="145"/>
        <v>0</v>
      </c>
      <c r="J374">
        <f t="shared" si="125"/>
        <v>31</v>
      </c>
      <c r="K374">
        <f t="shared" si="131"/>
        <v>369</v>
      </c>
      <c r="L374" s="49">
        <f t="shared" si="138"/>
        <v>11202</v>
      </c>
      <c r="M374" s="78">
        <f>IF(L374&gt;EDATE(DATE(YEAR(NEW_Origination_Date)+ NEW_Amort, MONTH(NEW_Origination_Date), DAY(NEW_Origination_Date)),NEW_Interest_Only),0,Q373)</f>
        <v>0</v>
      </c>
      <c r="N374" s="78">
        <f t="shared" si="132"/>
        <v>0</v>
      </c>
      <c r="O374" s="78">
        <f>IFERROR(IF(K374=0,0, PPMT(NEW_I_Adj,'Loan Amort Table'!K374,NEW_Amort_Periods,NEW_Orig_Loan_Amount)),0)</f>
        <v>0</v>
      </c>
      <c r="P374" s="78">
        <f>IFERROR(IF(NEW_Amort = 0, -M374* NEW_I_Adj,IPMT(NEW_I_Adj,IF(K374 = 0, 1, K374),NEW_Amort_Periods,NEW_Orig_Loan_Amount)),0)</f>
        <v>0</v>
      </c>
      <c r="Q374" s="78">
        <f t="shared" si="133"/>
        <v>0</v>
      </c>
      <c r="S374">
        <f t="shared" si="126"/>
        <v>31</v>
      </c>
      <c r="T374">
        <f t="shared" si="134"/>
        <v>369</v>
      </c>
      <c r="U374" s="49">
        <f t="shared" si="139"/>
        <v>11202</v>
      </c>
      <c r="V374" s="78">
        <f t="shared" si="135"/>
        <v>0</v>
      </c>
      <c r="W374" s="78">
        <f t="shared" ca="1" si="140"/>
        <v>0</v>
      </c>
      <c r="X374" s="78">
        <f>IFERROR(IF(OR(T374=0, U374&gt;=Refi_Origination_Date),0, PPMT(Mezz_I_Adj,'Loan Amort Table'!T374,Mezz_Amort_Periods,Mezz_Orig_Loan_Amount)),0)</f>
        <v>0</v>
      </c>
      <c r="Y374" s="78" cm="1">
        <f t="array" aca="1" ref="Y374" ca="1">IFERROR(_xlfn.IFS(U374&gt;=Refi_Origination_Date,0, Mezz_Amort = 0, -V374 * Mezz_I_Adj, 1, IPMT(Mezz_I_Adj,IF(T374 = 0, 1, T374),Mezz_Amort_Periods,Mezz_Orig_Loan_Amount)),0)</f>
        <v>0</v>
      </c>
      <c r="Z374" s="78">
        <f t="shared" si="141"/>
        <v>0</v>
      </c>
      <c r="AB374">
        <f t="shared" si="127"/>
        <v>31</v>
      </c>
      <c r="AC374">
        <f t="shared" si="136"/>
        <v>369</v>
      </c>
      <c r="AD374" s="49">
        <f t="shared" si="142"/>
        <v>11202</v>
      </c>
      <c r="AE374" s="78">
        <f t="shared" si="137"/>
        <v>0</v>
      </c>
      <c r="AF374" s="78">
        <f t="shared" ca="1" si="143"/>
        <v>0</v>
      </c>
      <c r="AG374" s="78">
        <f ca="1">IFERROR(IF(AC374=0,0, PPMT(Refi_I_Adj,'Loan Amort Table'!AC374,Refi_Amort_Periods,Refi_Orig_Loan_Amount)),0)</f>
        <v>0</v>
      </c>
      <c r="AH374" s="78">
        <f t="shared" ca="1" si="128"/>
        <v>0</v>
      </c>
      <c r="AI374" s="78">
        <f t="shared" ca="1" si="144"/>
        <v>0</v>
      </c>
    </row>
    <row r="375" spans="1:35" x14ac:dyDescent="0.25">
      <c r="A375">
        <f t="shared" si="124"/>
        <v>31</v>
      </c>
      <c r="B375">
        <f t="shared" si="129"/>
        <v>370</v>
      </c>
      <c r="C375" s="49">
        <f t="shared" si="123"/>
        <v>11232</v>
      </c>
      <c r="D375" s="78">
        <f>IF(C375&gt;EDATE(DATE(YEAR(SED_Origination_Date)+ SED_Amort, MONTH(SED_Origination_Date), DAY(SED_Origination_Date)),SED_Interest_Only),0,H374)</f>
        <v>0</v>
      </c>
      <c r="E375" s="78">
        <f t="shared" si="130"/>
        <v>0</v>
      </c>
      <c r="F375" s="78">
        <f>IFERROR(IF(OR(B375=0, C375&gt;=Refi_Origination_Date),0, PPMT(SED_I_Adj,'Loan Amort Table'!B375,SED_Amort_Periods,SED_Orig_Loan_Amount)),0)</f>
        <v>0</v>
      </c>
      <c r="G375" s="78" cm="1">
        <f t="array" ref="G375">IFERROR(_xlfn.IFS(C375&gt;=Refi_Origination_Date, 0, SED_Amort = 0, -D375 * SED_I_Adj, 1, IPMT(SED_I_Adj,IF(B375 = 0, 1, B375),SED_Amort_Periods,SED_Orig_Loan_Amount)),0)</f>
        <v>0</v>
      </c>
      <c r="H375" s="78">
        <f t="shared" si="145"/>
        <v>0</v>
      </c>
      <c r="J375">
        <f t="shared" si="125"/>
        <v>31</v>
      </c>
      <c r="K375">
        <f t="shared" si="131"/>
        <v>370</v>
      </c>
      <c r="L375" s="49">
        <f t="shared" si="138"/>
        <v>11232</v>
      </c>
      <c r="M375" s="78">
        <f>IF(L375&gt;EDATE(DATE(YEAR(NEW_Origination_Date)+ NEW_Amort, MONTH(NEW_Origination_Date), DAY(NEW_Origination_Date)),NEW_Interest_Only),0,Q374)</f>
        <v>0</v>
      </c>
      <c r="N375" s="78">
        <f t="shared" si="132"/>
        <v>0</v>
      </c>
      <c r="O375" s="78">
        <f>IFERROR(IF(K375=0,0, PPMT(NEW_I_Adj,'Loan Amort Table'!K375,NEW_Amort_Periods,NEW_Orig_Loan_Amount)),0)</f>
        <v>0</v>
      </c>
      <c r="P375" s="78">
        <f>IFERROR(IF(NEW_Amort = 0, -M375* NEW_I_Adj,IPMT(NEW_I_Adj,IF(K375 = 0, 1, K375),NEW_Amort_Periods,NEW_Orig_Loan_Amount)),0)</f>
        <v>0</v>
      </c>
      <c r="Q375" s="78">
        <f t="shared" si="133"/>
        <v>0</v>
      </c>
      <c r="S375">
        <f t="shared" si="126"/>
        <v>31</v>
      </c>
      <c r="T375">
        <f t="shared" si="134"/>
        <v>370</v>
      </c>
      <c r="U375" s="49">
        <f t="shared" si="139"/>
        <v>11232</v>
      </c>
      <c r="V375" s="78">
        <f t="shared" si="135"/>
        <v>0</v>
      </c>
      <c r="W375" s="78">
        <f t="shared" ca="1" si="140"/>
        <v>0</v>
      </c>
      <c r="X375" s="78">
        <f>IFERROR(IF(OR(T375=0, U375&gt;=Refi_Origination_Date),0, PPMT(Mezz_I_Adj,'Loan Amort Table'!T375,Mezz_Amort_Periods,Mezz_Orig_Loan_Amount)),0)</f>
        <v>0</v>
      </c>
      <c r="Y375" s="78" cm="1">
        <f t="array" aca="1" ref="Y375" ca="1">IFERROR(_xlfn.IFS(U375&gt;=Refi_Origination_Date,0, Mezz_Amort = 0, -V375 * Mezz_I_Adj, 1, IPMT(Mezz_I_Adj,IF(T375 = 0, 1, T375),Mezz_Amort_Periods,Mezz_Orig_Loan_Amount)),0)</f>
        <v>0</v>
      </c>
      <c r="Z375" s="78">
        <f t="shared" si="141"/>
        <v>0</v>
      </c>
      <c r="AB375">
        <f t="shared" si="127"/>
        <v>31</v>
      </c>
      <c r="AC375">
        <f t="shared" si="136"/>
        <v>370</v>
      </c>
      <c r="AD375" s="49">
        <f t="shared" si="142"/>
        <v>11232</v>
      </c>
      <c r="AE375" s="78">
        <f t="shared" si="137"/>
        <v>0</v>
      </c>
      <c r="AF375" s="78">
        <f t="shared" ca="1" si="143"/>
        <v>0</v>
      </c>
      <c r="AG375" s="78">
        <f ca="1">IFERROR(IF(AC375=0,0, PPMT(Refi_I_Adj,'Loan Amort Table'!AC375,Refi_Amort_Periods,Refi_Orig_Loan_Amount)),0)</f>
        <v>0</v>
      </c>
      <c r="AH375" s="78">
        <f t="shared" ca="1" si="128"/>
        <v>0</v>
      </c>
      <c r="AI375" s="78">
        <f t="shared" ca="1" si="144"/>
        <v>0</v>
      </c>
    </row>
    <row r="376" spans="1:35" x14ac:dyDescent="0.25">
      <c r="A376">
        <f t="shared" si="124"/>
        <v>31</v>
      </c>
      <c r="B376">
        <f t="shared" si="129"/>
        <v>371</v>
      </c>
      <c r="C376" s="49">
        <f t="shared" ref="C376:C439" si="146">EDATE(C375,1)</f>
        <v>11263</v>
      </c>
      <c r="D376" s="78">
        <f>IF(C376&gt;EDATE(DATE(YEAR(SED_Origination_Date)+ SED_Amort, MONTH(SED_Origination_Date), DAY(SED_Origination_Date)),SED_Interest_Only),0,H375)</f>
        <v>0</v>
      </c>
      <c r="E376" s="78">
        <f t="shared" si="130"/>
        <v>0</v>
      </c>
      <c r="F376" s="78">
        <f>IFERROR(IF(OR(B376=0, C376&gt;=Refi_Origination_Date),0, PPMT(SED_I_Adj,'Loan Amort Table'!B376,SED_Amort_Periods,SED_Orig_Loan_Amount)),0)</f>
        <v>0</v>
      </c>
      <c r="G376" s="78" cm="1">
        <f t="array" ref="G376">IFERROR(_xlfn.IFS(C376&gt;=Refi_Origination_Date, 0, SED_Amort = 0, -D376 * SED_I_Adj, 1, IPMT(SED_I_Adj,IF(B376 = 0, 1, B376),SED_Amort_Periods,SED_Orig_Loan_Amount)),0)</f>
        <v>0</v>
      </c>
      <c r="H376" s="78">
        <f t="shared" si="145"/>
        <v>0</v>
      </c>
      <c r="J376">
        <f t="shared" si="125"/>
        <v>31</v>
      </c>
      <c r="K376">
        <f t="shared" si="131"/>
        <v>371</v>
      </c>
      <c r="L376" s="49">
        <f t="shared" si="138"/>
        <v>11263</v>
      </c>
      <c r="M376" s="78">
        <f>IF(L376&gt;EDATE(DATE(YEAR(NEW_Origination_Date)+ NEW_Amort, MONTH(NEW_Origination_Date), DAY(NEW_Origination_Date)),NEW_Interest_Only),0,Q375)</f>
        <v>0</v>
      </c>
      <c r="N376" s="78">
        <f t="shared" si="132"/>
        <v>0</v>
      </c>
      <c r="O376" s="78">
        <f>IFERROR(IF(K376=0,0, PPMT(NEW_I_Adj,'Loan Amort Table'!K376,NEW_Amort_Periods,NEW_Orig_Loan_Amount)),0)</f>
        <v>0</v>
      </c>
      <c r="P376" s="78">
        <f>IFERROR(IF(NEW_Amort = 0, -M376* NEW_I_Adj,IPMT(NEW_I_Adj,IF(K376 = 0, 1, K376),NEW_Amort_Periods,NEW_Orig_Loan_Amount)),0)</f>
        <v>0</v>
      </c>
      <c r="Q376" s="78">
        <f t="shared" si="133"/>
        <v>0</v>
      </c>
      <c r="S376">
        <f t="shared" si="126"/>
        <v>31</v>
      </c>
      <c r="T376">
        <f t="shared" si="134"/>
        <v>371</v>
      </c>
      <c r="U376" s="49">
        <f t="shared" si="139"/>
        <v>11263</v>
      </c>
      <c r="V376" s="78">
        <f t="shared" si="135"/>
        <v>0</v>
      </c>
      <c r="W376" s="78">
        <f t="shared" ca="1" si="140"/>
        <v>0</v>
      </c>
      <c r="X376" s="78">
        <f>IFERROR(IF(OR(T376=0, U376&gt;=Refi_Origination_Date),0, PPMT(Mezz_I_Adj,'Loan Amort Table'!T376,Mezz_Amort_Periods,Mezz_Orig_Loan_Amount)),0)</f>
        <v>0</v>
      </c>
      <c r="Y376" s="78" cm="1">
        <f t="array" aca="1" ref="Y376" ca="1">IFERROR(_xlfn.IFS(U376&gt;=Refi_Origination_Date,0, Mezz_Amort = 0, -V376 * Mezz_I_Adj, 1, IPMT(Mezz_I_Adj,IF(T376 = 0, 1, T376),Mezz_Amort_Periods,Mezz_Orig_Loan_Amount)),0)</f>
        <v>0</v>
      </c>
      <c r="Z376" s="78">
        <f t="shared" si="141"/>
        <v>0</v>
      </c>
      <c r="AB376">
        <f t="shared" si="127"/>
        <v>31</v>
      </c>
      <c r="AC376">
        <f t="shared" si="136"/>
        <v>371</v>
      </c>
      <c r="AD376" s="49">
        <f t="shared" si="142"/>
        <v>11263</v>
      </c>
      <c r="AE376" s="78">
        <f t="shared" si="137"/>
        <v>0</v>
      </c>
      <c r="AF376" s="78">
        <f t="shared" ca="1" si="143"/>
        <v>0</v>
      </c>
      <c r="AG376" s="78">
        <f ca="1">IFERROR(IF(AC376=0,0, PPMT(Refi_I_Adj,'Loan Amort Table'!AC376,Refi_Amort_Periods,Refi_Orig_Loan_Amount)),0)</f>
        <v>0</v>
      </c>
      <c r="AH376" s="78">
        <f t="shared" ca="1" si="128"/>
        <v>0</v>
      </c>
      <c r="AI376" s="78">
        <f t="shared" ca="1" si="144"/>
        <v>0</v>
      </c>
    </row>
    <row r="377" spans="1:35" x14ac:dyDescent="0.25">
      <c r="A377">
        <f t="shared" si="124"/>
        <v>31</v>
      </c>
      <c r="B377">
        <f t="shared" si="129"/>
        <v>372</v>
      </c>
      <c r="C377" s="49">
        <f t="shared" si="146"/>
        <v>11293</v>
      </c>
      <c r="D377" s="78">
        <f>IF(C377&gt;EDATE(DATE(YEAR(SED_Origination_Date)+ SED_Amort, MONTH(SED_Origination_Date), DAY(SED_Origination_Date)),SED_Interest_Only),0,H376)</f>
        <v>0</v>
      </c>
      <c r="E377" s="78">
        <f t="shared" si="130"/>
        <v>0</v>
      </c>
      <c r="F377" s="78">
        <f>IFERROR(IF(OR(B377=0, C377&gt;=Refi_Origination_Date),0, PPMT(SED_I_Adj,'Loan Amort Table'!B377,SED_Amort_Periods,SED_Orig_Loan_Amount)),0)</f>
        <v>0</v>
      </c>
      <c r="G377" s="78" cm="1">
        <f t="array" ref="G377">IFERROR(_xlfn.IFS(C377&gt;=Refi_Origination_Date, 0, SED_Amort = 0, -D377 * SED_I_Adj, 1, IPMT(SED_I_Adj,IF(B377 = 0, 1, B377),SED_Amort_Periods,SED_Orig_Loan_Amount)),0)</f>
        <v>0</v>
      </c>
      <c r="H377" s="78">
        <f t="shared" si="145"/>
        <v>0</v>
      </c>
      <c r="J377">
        <f t="shared" si="125"/>
        <v>31</v>
      </c>
      <c r="K377">
        <f t="shared" si="131"/>
        <v>372</v>
      </c>
      <c r="L377" s="49">
        <f t="shared" si="138"/>
        <v>11293</v>
      </c>
      <c r="M377" s="78">
        <f>IF(L377&gt;EDATE(DATE(YEAR(NEW_Origination_Date)+ NEW_Amort, MONTH(NEW_Origination_Date), DAY(NEW_Origination_Date)),NEW_Interest_Only),0,Q376)</f>
        <v>0</v>
      </c>
      <c r="N377" s="78">
        <f t="shared" si="132"/>
        <v>0</v>
      </c>
      <c r="O377" s="78">
        <f>IFERROR(IF(K377=0,0, PPMT(NEW_I_Adj,'Loan Amort Table'!K377,NEW_Amort_Periods,NEW_Orig_Loan_Amount)),0)</f>
        <v>0</v>
      </c>
      <c r="P377" s="78">
        <f>IFERROR(IF(NEW_Amort = 0, -M377* NEW_I_Adj,IPMT(NEW_I_Adj,IF(K377 = 0, 1, K377),NEW_Amort_Periods,NEW_Orig_Loan_Amount)),0)</f>
        <v>0</v>
      </c>
      <c r="Q377" s="78">
        <f t="shared" si="133"/>
        <v>0</v>
      </c>
      <c r="S377">
        <f t="shared" si="126"/>
        <v>31</v>
      </c>
      <c r="T377">
        <f t="shared" si="134"/>
        <v>372</v>
      </c>
      <c r="U377" s="49">
        <f t="shared" si="139"/>
        <v>11293</v>
      </c>
      <c r="V377" s="78">
        <f t="shared" si="135"/>
        <v>0</v>
      </c>
      <c r="W377" s="78">
        <f t="shared" ca="1" si="140"/>
        <v>0</v>
      </c>
      <c r="X377" s="78">
        <f>IFERROR(IF(OR(T377=0, U377&gt;=Refi_Origination_Date),0, PPMT(Mezz_I_Adj,'Loan Amort Table'!T377,Mezz_Amort_Periods,Mezz_Orig_Loan_Amount)),0)</f>
        <v>0</v>
      </c>
      <c r="Y377" s="78" cm="1">
        <f t="array" aca="1" ref="Y377" ca="1">IFERROR(_xlfn.IFS(U377&gt;=Refi_Origination_Date,0, Mezz_Amort = 0, -V377 * Mezz_I_Adj, 1, IPMT(Mezz_I_Adj,IF(T377 = 0, 1, T377),Mezz_Amort_Periods,Mezz_Orig_Loan_Amount)),0)</f>
        <v>0</v>
      </c>
      <c r="Z377" s="78">
        <f t="shared" si="141"/>
        <v>0</v>
      </c>
      <c r="AB377">
        <f t="shared" si="127"/>
        <v>31</v>
      </c>
      <c r="AC377">
        <f t="shared" si="136"/>
        <v>372</v>
      </c>
      <c r="AD377" s="49">
        <f t="shared" si="142"/>
        <v>11293</v>
      </c>
      <c r="AE377" s="78">
        <f t="shared" si="137"/>
        <v>0</v>
      </c>
      <c r="AF377" s="78">
        <f t="shared" ca="1" si="143"/>
        <v>0</v>
      </c>
      <c r="AG377" s="78">
        <f ca="1">IFERROR(IF(AC377=0,0, PPMT(Refi_I_Adj,'Loan Amort Table'!AC377,Refi_Amort_Periods,Refi_Orig_Loan_Amount)),0)</f>
        <v>0</v>
      </c>
      <c r="AH377" s="78">
        <f t="shared" ca="1" si="128"/>
        <v>0</v>
      </c>
      <c r="AI377" s="78">
        <f t="shared" ca="1" si="144"/>
        <v>0</v>
      </c>
    </row>
    <row r="378" spans="1:35" x14ac:dyDescent="0.25">
      <c r="A378">
        <f t="shared" si="124"/>
        <v>32</v>
      </c>
      <c r="B378">
        <f t="shared" si="129"/>
        <v>373</v>
      </c>
      <c r="C378" s="49">
        <f t="shared" si="146"/>
        <v>11324</v>
      </c>
      <c r="D378" s="78">
        <f>IF(C378&gt;EDATE(DATE(YEAR(SED_Origination_Date)+ SED_Amort, MONTH(SED_Origination_Date), DAY(SED_Origination_Date)),SED_Interest_Only),0,H377)</f>
        <v>0</v>
      </c>
      <c r="E378" s="78">
        <f t="shared" si="130"/>
        <v>0</v>
      </c>
      <c r="F378" s="78">
        <f>IFERROR(IF(OR(B378=0, C378&gt;=Refi_Origination_Date),0, PPMT(SED_I_Adj,'Loan Amort Table'!B378,SED_Amort_Periods,SED_Orig_Loan_Amount)),0)</f>
        <v>0</v>
      </c>
      <c r="G378" s="78" cm="1">
        <f t="array" ref="G378">IFERROR(_xlfn.IFS(C378&gt;=Refi_Origination_Date, 0, SED_Amort = 0, -D378 * SED_I_Adj, 1, IPMT(SED_I_Adj,IF(B378 = 0, 1, B378),SED_Amort_Periods,SED_Orig_Loan_Amount)),0)</f>
        <v>0</v>
      </c>
      <c r="H378" s="78">
        <f t="shared" si="145"/>
        <v>0</v>
      </c>
      <c r="J378">
        <f t="shared" si="125"/>
        <v>32</v>
      </c>
      <c r="K378">
        <f t="shared" si="131"/>
        <v>373</v>
      </c>
      <c r="L378" s="49">
        <f t="shared" si="138"/>
        <v>11324</v>
      </c>
      <c r="M378" s="78">
        <f>IF(L378&gt;EDATE(DATE(YEAR(NEW_Origination_Date)+ NEW_Amort, MONTH(NEW_Origination_Date), DAY(NEW_Origination_Date)),NEW_Interest_Only),0,Q377)</f>
        <v>0</v>
      </c>
      <c r="N378" s="78">
        <f t="shared" si="132"/>
        <v>0</v>
      </c>
      <c r="O378" s="78">
        <f>IFERROR(IF(K378=0,0, PPMT(NEW_I_Adj,'Loan Amort Table'!K378,NEW_Amort_Periods,NEW_Orig_Loan_Amount)),0)</f>
        <v>0</v>
      </c>
      <c r="P378" s="78">
        <f>IFERROR(IF(NEW_Amort = 0, -M378* NEW_I_Adj,IPMT(NEW_I_Adj,IF(K378 = 0, 1, K378),NEW_Amort_Periods,NEW_Orig_Loan_Amount)),0)</f>
        <v>0</v>
      </c>
      <c r="Q378" s="78">
        <f t="shared" si="133"/>
        <v>0</v>
      </c>
      <c r="S378">
        <f t="shared" si="126"/>
        <v>32</v>
      </c>
      <c r="T378">
        <f t="shared" si="134"/>
        <v>373</v>
      </c>
      <c r="U378" s="49">
        <f t="shared" si="139"/>
        <v>11324</v>
      </c>
      <c r="V378" s="78">
        <f t="shared" si="135"/>
        <v>0</v>
      </c>
      <c r="W378" s="78">
        <f t="shared" ca="1" si="140"/>
        <v>0</v>
      </c>
      <c r="X378" s="78">
        <f>IFERROR(IF(OR(T378=0, U378&gt;=Refi_Origination_Date),0, PPMT(Mezz_I_Adj,'Loan Amort Table'!T378,Mezz_Amort_Periods,Mezz_Orig_Loan_Amount)),0)</f>
        <v>0</v>
      </c>
      <c r="Y378" s="78" cm="1">
        <f t="array" aca="1" ref="Y378" ca="1">IFERROR(_xlfn.IFS(U378&gt;=Refi_Origination_Date,0, Mezz_Amort = 0, -V378 * Mezz_I_Adj, 1, IPMT(Mezz_I_Adj,IF(T378 = 0, 1, T378),Mezz_Amort_Periods,Mezz_Orig_Loan_Amount)),0)</f>
        <v>0</v>
      </c>
      <c r="Z378" s="78">
        <f t="shared" si="141"/>
        <v>0</v>
      </c>
      <c r="AB378">
        <f t="shared" si="127"/>
        <v>32</v>
      </c>
      <c r="AC378">
        <f t="shared" si="136"/>
        <v>373</v>
      </c>
      <c r="AD378" s="49">
        <f t="shared" si="142"/>
        <v>11324</v>
      </c>
      <c r="AE378" s="78">
        <f t="shared" si="137"/>
        <v>0</v>
      </c>
      <c r="AF378" s="78">
        <f t="shared" ca="1" si="143"/>
        <v>0</v>
      </c>
      <c r="AG378" s="78">
        <f ca="1">IFERROR(IF(AC378=0,0, PPMT(Refi_I_Adj,'Loan Amort Table'!AC378,Refi_Amort_Periods,Refi_Orig_Loan_Amount)),0)</f>
        <v>0</v>
      </c>
      <c r="AH378" s="78">
        <f t="shared" ca="1" si="128"/>
        <v>0</v>
      </c>
      <c r="AI378" s="78">
        <f t="shared" ca="1" si="144"/>
        <v>0</v>
      </c>
    </row>
    <row r="379" spans="1:35" x14ac:dyDescent="0.25">
      <c r="A379">
        <f t="shared" si="124"/>
        <v>32</v>
      </c>
      <c r="B379">
        <f t="shared" si="129"/>
        <v>374</v>
      </c>
      <c r="C379" s="49">
        <f t="shared" si="146"/>
        <v>11355</v>
      </c>
      <c r="D379" s="78">
        <f>IF(C379&gt;EDATE(DATE(YEAR(SED_Origination_Date)+ SED_Amort, MONTH(SED_Origination_Date), DAY(SED_Origination_Date)),SED_Interest_Only),0,H378)</f>
        <v>0</v>
      </c>
      <c r="E379" s="78">
        <f t="shared" si="130"/>
        <v>0</v>
      </c>
      <c r="F379" s="78">
        <f>IFERROR(IF(OR(B379=0, C379&gt;=Refi_Origination_Date),0, PPMT(SED_I_Adj,'Loan Amort Table'!B379,SED_Amort_Periods,SED_Orig_Loan_Amount)),0)</f>
        <v>0</v>
      </c>
      <c r="G379" s="78" cm="1">
        <f t="array" ref="G379">IFERROR(_xlfn.IFS(C379&gt;=Refi_Origination_Date, 0, SED_Amort = 0, -D379 * SED_I_Adj, 1, IPMT(SED_I_Adj,IF(B379 = 0, 1, B379),SED_Amort_Periods,SED_Orig_Loan_Amount)),0)</f>
        <v>0</v>
      </c>
      <c r="H379" s="78">
        <f t="shared" si="145"/>
        <v>0</v>
      </c>
      <c r="J379">
        <f t="shared" si="125"/>
        <v>32</v>
      </c>
      <c r="K379">
        <f t="shared" si="131"/>
        <v>374</v>
      </c>
      <c r="L379" s="49">
        <f t="shared" si="138"/>
        <v>11355</v>
      </c>
      <c r="M379" s="78">
        <f>IF(L379&gt;EDATE(DATE(YEAR(NEW_Origination_Date)+ NEW_Amort, MONTH(NEW_Origination_Date), DAY(NEW_Origination_Date)),NEW_Interest_Only),0,Q378)</f>
        <v>0</v>
      </c>
      <c r="N379" s="78">
        <f t="shared" si="132"/>
        <v>0</v>
      </c>
      <c r="O379" s="78">
        <f>IFERROR(IF(K379=0,0, PPMT(NEW_I_Adj,'Loan Amort Table'!K379,NEW_Amort_Periods,NEW_Orig_Loan_Amount)),0)</f>
        <v>0</v>
      </c>
      <c r="P379" s="78">
        <f>IFERROR(IF(NEW_Amort = 0, -M379* NEW_I_Adj,IPMT(NEW_I_Adj,IF(K379 = 0, 1, K379),NEW_Amort_Periods,NEW_Orig_Loan_Amount)),0)</f>
        <v>0</v>
      </c>
      <c r="Q379" s="78">
        <f t="shared" si="133"/>
        <v>0</v>
      </c>
      <c r="S379">
        <f t="shared" si="126"/>
        <v>32</v>
      </c>
      <c r="T379">
        <f t="shared" si="134"/>
        <v>374</v>
      </c>
      <c r="U379" s="49">
        <f t="shared" si="139"/>
        <v>11355</v>
      </c>
      <c r="V379" s="78">
        <f t="shared" si="135"/>
        <v>0</v>
      </c>
      <c r="W379" s="78">
        <f t="shared" ca="1" si="140"/>
        <v>0</v>
      </c>
      <c r="X379" s="78">
        <f>IFERROR(IF(OR(T379=0, U379&gt;=Refi_Origination_Date),0, PPMT(Mezz_I_Adj,'Loan Amort Table'!T379,Mezz_Amort_Periods,Mezz_Orig_Loan_Amount)),0)</f>
        <v>0</v>
      </c>
      <c r="Y379" s="78" cm="1">
        <f t="array" aca="1" ref="Y379" ca="1">IFERROR(_xlfn.IFS(U379&gt;=Refi_Origination_Date,0, Mezz_Amort = 0, -V379 * Mezz_I_Adj, 1, IPMT(Mezz_I_Adj,IF(T379 = 0, 1, T379),Mezz_Amort_Periods,Mezz_Orig_Loan_Amount)),0)</f>
        <v>0</v>
      </c>
      <c r="Z379" s="78">
        <f t="shared" si="141"/>
        <v>0</v>
      </c>
      <c r="AB379">
        <f t="shared" si="127"/>
        <v>32</v>
      </c>
      <c r="AC379">
        <f t="shared" si="136"/>
        <v>374</v>
      </c>
      <c r="AD379" s="49">
        <f t="shared" si="142"/>
        <v>11355</v>
      </c>
      <c r="AE379" s="78">
        <f t="shared" si="137"/>
        <v>0</v>
      </c>
      <c r="AF379" s="78">
        <f t="shared" ca="1" si="143"/>
        <v>0</v>
      </c>
      <c r="AG379" s="78">
        <f ca="1">IFERROR(IF(AC379=0,0, PPMT(Refi_I_Adj,'Loan Amort Table'!AC379,Refi_Amort_Periods,Refi_Orig_Loan_Amount)),0)</f>
        <v>0</v>
      </c>
      <c r="AH379" s="78">
        <f t="shared" ca="1" si="128"/>
        <v>0</v>
      </c>
      <c r="AI379" s="78">
        <f t="shared" ca="1" si="144"/>
        <v>0</v>
      </c>
    </row>
    <row r="380" spans="1:35" x14ac:dyDescent="0.25">
      <c r="A380">
        <f t="shared" si="124"/>
        <v>32</v>
      </c>
      <c r="B380">
        <f t="shared" si="129"/>
        <v>375</v>
      </c>
      <c r="C380" s="49">
        <f t="shared" si="146"/>
        <v>11383</v>
      </c>
      <c r="D380" s="78">
        <f>IF(C380&gt;EDATE(DATE(YEAR(SED_Origination_Date)+ SED_Amort, MONTH(SED_Origination_Date), DAY(SED_Origination_Date)),SED_Interest_Only),0,H379)</f>
        <v>0</v>
      </c>
      <c r="E380" s="78">
        <f t="shared" si="130"/>
        <v>0</v>
      </c>
      <c r="F380" s="78">
        <f>IFERROR(IF(OR(B380=0, C380&gt;=Refi_Origination_Date),0, PPMT(SED_I_Adj,'Loan Amort Table'!B380,SED_Amort_Periods,SED_Orig_Loan_Amount)),0)</f>
        <v>0</v>
      </c>
      <c r="G380" s="78" cm="1">
        <f t="array" ref="G380">IFERROR(_xlfn.IFS(C380&gt;=Refi_Origination_Date, 0, SED_Amort = 0, -D380 * SED_I_Adj, 1, IPMT(SED_I_Adj,IF(B380 = 0, 1, B380),SED_Amort_Periods,SED_Orig_Loan_Amount)),0)</f>
        <v>0</v>
      </c>
      <c r="H380" s="78">
        <f t="shared" si="145"/>
        <v>0</v>
      </c>
      <c r="J380">
        <f t="shared" si="125"/>
        <v>32</v>
      </c>
      <c r="K380">
        <f t="shared" si="131"/>
        <v>375</v>
      </c>
      <c r="L380" s="49">
        <f t="shared" si="138"/>
        <v>11383</v>
      </c>
      <c r="M380" s="78">
        <f>IF(L380&gt;EDATE(DATE(YEAR(NEW_Origination_Date)+ NEW_Amort, MONTH(NEW_Origination_Date), DAY(NEW_Origination_Date)),NEW_Interest_Only),0,Q379)</f>
        <v>0</v>
      </c>
      <c r="N380" s="78">
        <f t="shared" si="132"/>
        <v>0</v>
      </c>
      <c r="O380" s="78">
        <f>IFERROR(IF(K380=0,0, PPMT(NEW_I_Adj,'Loan Amort Table'!K380,NEW_Amort_Periods,NEW_Orig_Loan_Amount)),0)</f>
        <v>0</v>
      </c>
      <c r="P380" s="78">
        <f>IFERROR(IF(NEW_Amort = 0, -M380* NEW_I_Adj,IPMT(NEW_I_Adj,IF(K380 = 0, 1, K380),NEW_Amort_Periods,NEW_Orig_Loan_Amount)),0)</f>
        <v>0</v>
      </c>
      <c r="Q380" s="78">
        <f t="shared" si="133"/>
        <v>0</v>
      </c>
      <c r="S380">
        <f t="shared" si="126"/>
        <v>32</v>
      </c>
      <c r="T380">
        <f t="shared" si="134"/>
        <v>375</v>
      </c>
      <c r="U380" s="49">
        <f t="shared" si="139"/>
        <v>11383</v>
      </c>
      <c r="V380" s="78">
        <f t="shared" si="135"/>
        <v>0</v>
      </c>
      <c r="W380" s="78">
        <f t="shared" ca="1" si="140"/>
        <v>0</v>
      </c>
      <c r="X380" s="78">
        <f>IFERROR(IF(OR(T380=0, U380&gt;=Refi_Origination_Date),0, PPMT(Mezz_I_Adj,'Loan Amort Table'!T380,Mezz_Amort_Periods,Mezz_Orig_Loan_Amount)),0)</f>
        <v>0</v>
      </c>
      <c r="Y380" s="78" cm="1">
        <f t="array" aca="1" ref="Y380" ca="1">IFERROR(_xlfn.IFS(U380&gt;=Refi_Origination_Date,0, Mezz_Amort = 0, -V380 * Mezz_I_Adj, 1, IPMT(Mezz_I_Adj,IF(T380 = 0, 1, T380),Mezz_Amort_Periods,Mezz_Orig_Loan_Amount)),0)</f>
        <v>0</v>
      </c>
      <c r="Z380" s="78">
        <f t="shared" si="141"/>
        <v>0</v>
      </c>
      <c r="AB380">
        <f t="shared" si="127"/>
        <v>32</v>
      </c>
      <c r="AC380">
        <f t="shared" si="136"/>
        <v>375</v>
      </c>
      <c r="AD380" s="49">
        <f t="shared" si="142"/>
        <v>11383</v>
      </c>
      <c r="AE380" s="78">
        <f t="shared" si="137"/>
        <v>0</v>
      </c>
      <c r="AF380" s="78">
        <f t="shared" ca="1" si="143"/>
        <v>0</v>
      </c>
      <c r="AG380" s="78">
        <f ca="1">IFERROR(IF(AC380=0,0, PPMT(Refi_I_Adj,'Loan Amort Table'!AC380,Refi_Amort_Periods,Refi_Orig_Loan_Amount)),0)</f>
        <v>0</v>
      </c>
      <c r="AH380" s="78">
        <f t="shared" ca="1" si="128"/>
        <v>0</v>
      </c>
      <c r="AI380" s="78">
        <f t="shared" ca="1" si="144"/>
        <v>0</v>
      </c>
    </row>
    <row r="381" spans="1:35" x14ac:dyDescent="0.25">
      <c r="A381">
        <f t="shared" si="124"/>
        <v>32</v>
      </c>
      <c r="B381">
        <f t="shared" si="129"/>
        <v>376</v>
      </c>
      <c r="C381" s="49">
        <f t="shared" si="146"/>
        <v>11414</v>
      </c>
      <c r="D381" s="78">
        <f>IF(C381&gt;EDATE(DATE(YEAR(SED_Origination_Date)+ SED_Amort, MONTH(SED_Origination_Date), DAY(SED_Origination_Date)),SED_Interest_Only),0,H380)</f>
        <v>0</v>
      </c>
      <c r="E381" s="78">
        <f t="shared" si="130"/>
        <v>0</v>
      </c>
      <c r="F381" s="78">
        <f>IFERROR(IF(OR(B381=0, C381&gt;=Refi_Origination_Date),0, PPMT(SED_I_Adj,'Loan Amort Table'!B381,SED_Amort_Periods,SED_Orig_Loan_Amount)),0)</f>
        <v>0</v>
      </c>
      <c r="G381" s="78" cm="1">
        <f t="array" ref="G381">IFERROR(_xlfn.IFS(C381&gt;=Refi_Origination_Date, 0, SED_Amort = 0, -D381 * SED_I_Adj, 1, IPMT(SED_I_Adj,IF(B381 = 0, 1, B381),SED_Amort_Periods,SED_Orig_Loan_Amount)),0)</f>
        <v>0</v>
      </c>
      <c r="H381" s="78">
        <f t="shared" si="145"/>
        <v>0</v>
      </c>
      <c r="J381">
        <f t="shared" si="125"/>
        <v>32</v>
      </c>
      <c r="K381">
        <f t="shared" si="131"/>
        <v>376</v>
      </c>
      <c r="L381" s="49">
        <f t="shared" si="138"/>
        <v>11414</v>
      </c>
      <c r="M381" s="78">
        <f>IF(L381&gt;EDATE(DATE(YEAR(NEW_Origination_Date)+ NEW_Amort, MONTH(NEW_Origination_Date), DAY(NEW_Origination_Date)),NEW_Interest_Only),0,Q380)</f>
        <v>0</v>
      </c>
      <c r="N381" s="78">
        <f t="shared" si="132"/>
        <v>0</v>
      </c>
      <c r="O381" s="78">
        <f>IFERROR(IF(K381=0,0, PPMT(NEW_I_Adj,'Loan Amort Table'!K381,NEW_Amort_Periods,NEW_Orig_Loan_Amount)),0)</f>
        <v>0</v>
      </c>
      <c r="P381" s="78">
        <f>IFERROR(IF(NEW_Amort = 0, -M381* NEW_I_Adj,IPMT(NEW_I_Adj,IF(K381 = 0, 1, K381),NEW_Amort_Periods,NEW_Orig_Loan_Amount)),0)</f>
        <v>0</v>
      </c>
      <c r="Q381" s="78">
        <f t="shared" si="133"/>
        <v>0</v>
      </c>
      <c r="S381">
        <f t="shared" si="126"/>
        <v>32</v>
      </c>
      <c r="T381">
        <f t="shared" si="134"/>
        <v>376</v>
      </c>
      <c r="U381" s="49">
        <f t="shared" si="139"/>
        <v>11414</v>
      </c>
      <c r="V381" s="78">
        <f t="shared" si="135"/>
        <v>0</v>
      </c>
      <c r="W381" s="78">
        <f t="shared" ca="1" si="140"/>
        <v>0</v>
      </c>
      <c r="X381" s="78">
        <f>IFERROR(IF(OR(T381=0, U381&gt;=Refi_Origination_Date),0, PPMT(Mezz_I_Adj,'Loan Amort Table'!T381,Mezz_Amort_Periods,Mezz_Orig_Loan_Amount)),0)</f>
        <v>0</v>
      </c>
      <c r="Y381" s="78" cm="1">
        <f t="array" aca="1" ref="Y381" ca="1">IFERROR(_xlfn.IFS(U381&gt;=Refi_Origination_Date,0, Mezz_Amort = 0, -V381 * Mezz_I_Adj, 1, IPMT(Mezz_I_Adj,IF(T381 = 0, 1, T381),Mezz_Amort_Periods,Mezz_Orig_Loan_Amount)),0)</f>
        <v>0</v>
      </c>
      <c r="Z381" s="78">
        <f t="shared" si="141"/>
        <v>0</v>
      </c>
      <c r="AB381">
        <f t="shared" si="127"/>
        <v>32</v>
      </c>
      <c r="AC381">
        <f t="shared" si="136"/>
        <v>376</v>
      </c>
      <c r="AD381" s="49">
        <f t="shared" si="142"/>
        <v>11414</v>
      </c>
      <c r="AE381" s="78">
        <f t="shared" si="137"/>
        <v>0</v>
      </c>
      <c r="AF381" s="78">
        <f t="shared" ca="1" si="143"/>
        <v>0</v>
      </c>
      <c r="AG381" s="78">
        <f ca="1">IFERROR(IF(AC381=0,0, PPMT(Refi_I_Adj,'Loan Amort Table'!AC381,Refi_Amort_Periods,Refi_Orig_Loan_Amount)),0)</f>
        <v>0</v>
      </c>
      <c r="AH381" s="78">
        <f t="shared" ca="1" si="128"/>
        <v>0</v>
      </c>
      <c r="AI381" s="78">
        <f t="shared" ca="1" si="144"/>
        <v>0</v>
      </c>
    </row>
    <row r="382" spans="1:35" x14ac:dyDescent="0.25">
      <c r="A382">
        <f t="shared" si="124"/>
        <v>32</v>
      </c>
      <c r="B382">
        <f t="shared" si="129"/>
        <v>377</v>
      </c>
      <c r="C382" s="49">
        <f t="shared" si="146"/>
        <v>11444</v>
      </c>
      <c r="D382" s="78">
        <f>IF(C382&gt;EDATE(DATE(YEAR(SED_Origination_Date)+ SED_Amort, MONTH(SED_Origination_Date), DAY(SED_Origination_Date)),SED_Interest_Only),0,H381)</f>
        <v>0</v>
      </c>
      <c r="E382" s="78">
        <f t="shared" si="130"/>
        <v>0</v>
      </c>
      <c r="F382" s="78">
        <f>IFERROR(IF(OR(B382=0, C382&gt;=Refi_Origination_Date),0, PPMT(SED_I_Adj,'Loan Amort Table'!B382,SED_Amort_Periods,SED_Orig_Loan_Amount)),0)</f>
        <v>0</v>
      </c>
      <c r="G382" s="78" cm="1">
        <f t="array" ref="G382">IFERROR(_xlfn.IFS(C382&gt;=Refi_Origination_Date, 0, SED_Amort = 0, -D382 * SED_I_Adj, 1, IPMT(SED_I_Adj,IF(B382 = 0, 1, B382),SED_Amort_Periods,SED_Orig_Loan_Amount)),0)</f>
        <v>0</v>
      </c>
      <c r="H382" s="78">
        <f t="shared" si="145"/>
        <v>0</v>
      </c>
      <c r="J382">
        <f t="shared" si="125"/>
        <v>32</v>
      </c>
      <c r="K382">
        <f t="shared" si="131"/>
        <v>377</v>
      </c>
      <c r="L382" s="49">
        <f t="shared" si="138"/>
        <v>11444</v>
      </c>
      <c r="M382" s="78">
        <f>IF(L382&gt;EDATE(DATE(YEAR(NEW_Origination_Date)+ NEW_Amort, MONTH(NEW_Origination_Date), DAY(NEW_Origination_Date)),NEW_Interest_Only),0,Q381)</f>
        <v>0</v>
      </c>
      <c r="N382" s="78">
        <f t="shared" si="132"/>
        <v>0</v>
      </c>
      <c r="O382" s="78">
        <f>IFERROR(IF(K382=0,0, PPMT(NEW_I_Adj,'Loan Amort Table'!K382,NEW_Amort_Periods,NEW_Orig_Loan_Amount)),0)</f>
        <v>0</v>
      </c>
      <c r="P382" s="78">
        <f>IFERROR(IF(NEW_Amort = 0, -M382* NEW_I_Adj,IPMT(NEW_I_Adj,IF(K382 = 0, 1, K382),NEW_Amort_Periods,NEW_Orig_Loan_Amount)),0)</f>
        <v>0</v>
      </c>
      <c r="Q382" s="78">
        <f t="shared" si="133"/>
        <v>0</v>
      </c>
      <c r="S382">
        <f t="shared" si="126"/>
        <v>32</v>
      </c>
      <c r="T382">
        <f t="shared" si="134"/>
        <v>377</v>
      </c>
      <c r="U382" s="49">
        <f t="shared" si="139"/>
        <v>11444</v>
      </c>
      <c r="V382" s="78">
        <f t="shared" si="135"/>
        <v>0</v>
      </c>
      <c r="W382" s="78">
        <f t="shared" ca="1" si="140"/>
        <v>0</v>
      </c>
      <c r="X382" s="78">
        <f>IFERROR(IF(OR(T382=0, U382&gt;=Refi_Origination_Date),0, PPMT(Mezz_I_Adj,'Loan Amort Table'!T382,Mezz_Amort_Periods,Mezz_Orig_Loan_Amount)),0)</f>
        <v>0</v>
      </c>
      <c r="Y382" s="78" cm="1">
        <f t="array" aca="1" ref="Y382" ca="1">IFERROR(_xlfn.IFS(U382&gt;=Refi_Origination_Date,0, Mezz_Amort = 0, -V382 * Mezz_I_Adj, 1, IPMT(Mezz_I_Adj,IF(T382 = 0, 1, T382),Mezz_Amort_Periods,Mezz_Orig_Loan_Amount)),0)</f>
        <v>0</v>
      </c>
      <c r="Z382" s="78">
        <f t="shared" si="141"/>
        <v>0</v>
      </c>
      <c r="AB382">
        <f t="shared" si="127"/>
        <v>32</v>
      </c>
      <c r="AC382">
        <f t="shared" si="136"/>
        <v>377</v>
      </c>
      <c r="AD382" s="49">
        <f t="shared" si="142"/>
        <v>11444</v>
      </c>
      <c r="AE382" s="78">
        <f t="shared" si="137"/>
        <v>0</v>
      </c>
      <c r="AF382" s="78">
        <f t="shared" ca="1" si="143"/>
        <v>0</v>
      </c>
      <c r="AG382" s="78">
        <f ca="1">IFERROR(IF(AC382=0,0, PPMT(Refi_I_Adj,'Loan Amort Table'!AC382,Refi_Amort_Periods,Refi_Orig_Loan_Amount)),0)</f>
        <v>0</v>
      </c>
      <c r="AH382" s="78">
        <f t="shared" ca="1" si="128"/>
        <v>0</v>
      </c>
      <c r="AI382" s="78">
        <f t="shared" ca="1" si="144"/>
        <v>0</v>
      </c>
    </row>
    <row r="383" spans="1:35" x14ac:dyDescent="0.25">
      <c r="A383">
        <f t="shared" si="124"/>
        <v>32</v>
      </c>
      <c r="B383">
        <f t="shared" si="129"/>
        <v>378</v>
      </c>
      <c r="C383" s="49">
        <f t="shared" si="146"/>
        <v>11475</v>
      </c>
      <c r="D383" s="78">
        <f>IF(C383&gt;EDATE(DATE(YEAR(SED_Origination_Date)+ SED_Amort, MONTH(SED_Origination_Date), DAY(SED_Origination_Date)),SED_Interest_Only),0,H382)</f>
        <v>0</v>
      </c>
      <c r="E383" s="78">
        <f t="shared" si="130"/>
        <v>0</v>
      </c>
      <c r="F383" s="78">
        <f>IFERROR(IF(OR(B383=0, C383&gt;=Refi_Origination_Date),0, PPMT(SED_I_Adj,'Loan Amort Table'!B383,SED_Amort_Periods,SED_Orig_Loan_Amount)),0)</f>
        <v>0</v>
      </c>
      <c r="G383" s="78" cm="1">
        <f t="array" ref="G383">IFERROR(_xlfn.IFS(C383&gt;=Refi_Origination_Date, 0, SED_Amort = 0, -D383 * SED_I_Adj, 1, IPMT(SED_I_Adj,IF(B383 = 0, 1, B383),SED_Amort_Periods,SED_Orig_Loan_Amount)),0)</f>
        <v>0</v>
      </c>
      <c r="H383" s="78">
        <f t="shared" si="145"/>
        <v>0</v>
      </c>
      <c r="J383">
        <f t="shared" si="125"/>
        <v>32</v>
      </c>
      <c r="K383">
        <f t="shared" si="131"/>
        <v>378</v>
      </c>
      <c r="L383" s="49">
        <f t="shared" si="138"/>
        <v>11475</v>
      </c>
      <c r="M383" s="78">
        <f>IF(L383&gt;EDATE(DATE(YEAR(NEW_Origination_Date)+ NEW_Amort, MONTH(NEW_Origination_Date), DAY(NEW_Origination_Date)),NEW_Interest_Only),0,Q382)</f>
        <v>0</v>
      </c>
      <c r="N383" s="78">
        <f t="shared" si="132"/>
        <v>0</v>
      </c>
      <c r="O383" s="78">
        <f>IFERROR(IF(K383=0,0, PPMT(NEW_I_Adj,'Loan Amort Table'!K383,NEW_Amort_Periods,NEW_Orig_Loan_Amount)),0)</f>
        <v>0</v>
      </c>
      <c r="P383" s="78">
        <f>IFERROR(IF(NEW_Amort = 0, -M383* NEW_I_Adj,IPMT(NEW_I_Adj,IF(K383 = 0, 1, K383),NEW_Amort_Periods,NEW_Orig_Loan_Amount)),0)</f>
        <v>0</v>
      </c>
      <c r="Q383" s="78">
        <f t="shared" si="133"/>
        <v>0</v>
      </c>
      <c r="S383">
        <f t="shared" si="126"/>
        <v>32</v>
      </c>
      <c r="T383">
        <f t="shared" si="134"/>
        <v>378</v>
      </c>
      <c r="U383" s="49">
        <f t="shared" si="139"/>
        <v>11475</v>
      </c>
      <c r="V383" s="78">
        <f t="shared" si="135"/>
        <v>0</v>
      </c>
      <c r="W383" s="78">
        <f t="shared" ca="1" si="140"/>
        <v>0</v>
      </c>
      <c r="X383" s="78">
        <f>IFERROR(IF(OR(T383=0, U383&gt;=Refi_Origination_Date),0, PPMT(Mezz_I_Adj,'Loan Amort Table'!T383,Mezz_Amort_Periods,Mezz_Orig_Loan_Amount)),0)</f>
        <v>0</v>
      </c>
      <c r="Y383" s="78" cm="1">
        <f t="array" aca="1" ref="Y383" ca="1">IFERROR(_xlfn.IFS(U383&gt;=Refi_Origination_Date,0, Mezz_Amort = 0, -V383 * Mezz_I_Adj, 1, IPMT(Mezz_I_Adj,IF(T383 = 0, 1, T383),Mezz_Amort_Periods,Mezz_Orig_Loan_Amount)),0)</f>
        <v>0</v>
      </c>
      <c r="Z383" s="78">
        <f t="shared" si="141"/>
        <v>0</v>
      </c>
      <c r="AB383">
        <f t="shared" si="127"/>
        <v>32</v>
      </c>
      <c r="AC383">
        <f t="shared" si="136"/>
        <v>378</v>
      </c>
      <c r="AD383" s="49">
        <f t="shared" si="142"/>
        <v>11475</v>
      </c>
      <c r="AE383" s="78">
        <f t="shared" si="137"/>
        <v>0</v>
      </c>
      <c r="AF383" s="78">
        <f t="shared" ca="1" si="143"/>
        <v>0</v>
      </c>
      <c r="AG383" s="78">
        <f ca="1">IFERROR(IF(AC383=0,0, PPMT(Refi_I_Adj,'Loan Amort Table'!AC383,Refi_Amort_Periods,Refi_Orig_Loan_Amount)),0)</f>
        <v>0</v>
      </c>
      <c r="AH383" s="78">
        <f t="shared" ca="1" si="128"/>
        <v>0</v>
      </c>
      <c r="AI383" s="78">
        <f t="shared" ca="1" si="144"/>
        <v>0</v>
      </c>
    </row>
    <row r="384" spans="1:35" x14ac:dyDescent="0.25">
      <c r="A384">
        <f t="shared" si="124"/>
        <v>32</v>
      </c>
      <c r="B384">
        <f t="shared" si="129"/>
        <v>379</v>
      </c>
      <c r="C384" s="49">
        <f t="shared" si="146"/>
        <v>11505</v>
      </c>
      <c r="D384" s="78">
        <f>IF(C384&gt;EDATE(DATE(YEAR(SED_Origination_Date)+ SED_Amort, MONTH(SED_Origination_Date), DAY(SED_Origination_Date)),SED_Interest_Only),0,H383)</f>
        <v>0</v>
      </c>
      <c r="E384" s="78">
        <f t="shared" si="130"/>
        <v>0</v>
      </c>
      <c r="F384" s="78">
        <f>IFERROR(IF(OR(B384=0, C384&gt;=Refi_Origination_Date),0, PPMT(SED_I_Adj,'Loan Amort Table'!B384,SED_Amort_Periods,SED_Orig_Loan_Amount)),0)</f>
        <v>0</v>
      </c>
      <c r="G384" s="78" cm="1">
        <f t="array" ref="G384">IFERROR(_xlfn.IFS(C384&gt;=Refi_Origination_Date, 0, SED_Amort = 0, -D384 * SED_I_Adj, 1, IPMT(SED_I_Adj,IF(B384 = 0, 1, B384),SED_Amort_Periods,SED_Orig_Loan_Amount)),0)</f>
        <v>0</v>
      </c>
      <c r="H384" s="78">
        <f t="shared" si="145"/>
        <v>0</v>
      </c>
      <c r="J384">
        <f t="shared" si="125"/>
        <v>32</v>
      </c>
      <c r="K384">
        <f t="shared" si="131"/>
        <v>379</v>
      </c>
      <c r="L384" s="49">
        <f t="shared" si="138"/>
        <v>11505</v>
      </c>
      <c r="M384" s="78">
        <f>IF(L384&gt;EDATE(DATE(YEAR(NEW_Origination_Date)+ NEW_Amort, MONTH(NEW_Origination_Date), DAY(NEW_Origination_Date)),NEW_Interest_Only),0,Q383)</f>
        <v>0</v>
      </c>
      <c r="N384" s="78">
        <f t="shared" si="132"/>
        <v>0</v>
      </c>
      <c r="O384" s="78">
        <f>IFERROR(IF(K384=0,0, PPMT(NEW_I_Adj,'Loan Amort Table'!K384,NEW_Amort_Periods,NEW_Orig_Loan_Amount)),0)</f>
        <v>0</v>
      </c>
      <c r="P384" s="78">
        <f>IFERROR(IF(NEW_Amort = 0, -M384* NEW_I_Adj,IPMT(NEW_I_Adj,IF(K384 = 0, 1, K384),NEW_Amort_Periods,NEW_Orig_Loan_Amount)),0)</f>
        <v>0</v>
      </c>
      <c r="Q384" s="78">
        <f t="shared" si="133"/>
        <v>0</v>
      </c>
      <c r="S384">
        <f t="shared" si="126"/>
        <v>32</v>
      </c>
      <c r="T384">
        <f t="shared" si="134"/>
        <v>379</v>
      </c>
      <c r="U384" s="49">
        <f t="shared" si="139"/>
        <v>11505</v>
      </c>
      <c r="V384" s="78">
        <f t="shared" si="135"/>
        <v>0</v>
      </c>
      <c r="W384" s="78">
        <f t="shared" ca="1" si="140"/>
        <v>0</v>
      </c>
      <c r="X384" s="78">
        <f>IFERROR(IF(OR(T384=0, U384&gt;=Refi_Origination_Date),0, PPMT(Mezz_I_Adj,'Loan Amort Table'!T384,Mezz_Amort_Periods,Mezz_Orig_Loan_Amount)),0)</f>
        <v>0</v>
      </c>
      <c r="Y384" s="78" cm="1">
        <f t="array" aca="1" ref="Y384" ca="1">IFERROR(_xlfn.IFS(U384&gt;=Refi_Origination_Date,0, Mezz_Amort = 0, -V384 * Mezz_I_Adj, 1, IPMT(Mezz_I_Adj,IF(T384 = 0, 1, T384),Mezz_Amort_Periods,Mezz_Orig_Loan_Amount)),0)</f>
        <v>0</v>
      </c>
      <c r="Z384" s="78">
        <f t="shared" si="141"/>
        <v>0</v>
      </c>
      <c r="AB384">
        <f t="shared" si="127"/>
        <v>32</v>
      </c>
      <c r="AC384">
        <f t="shared" si="136"/>
        <v>379</v>
      </c>
      <c r="AD384" s="49">
        <f t="shared" si="142"/>
        <v>11505</v>
      </c>
      <c r="AE384" s="78">
        <f t="shared" si="137"/>
        <v>0</v>
      </c>
      <c r="AF384" s="78">
        <f t="shared" ca="1" si="143"/>
        <v>0</v>
      </c>
      <c r="AG384" s="78">
        <f ca="1">IFERROR(IF(AC384=0,0, PPMT(Refi_I_Adj,'Loan Amort Table'!AC384,Refi_Amort_Periods,Refi_Orig_Loan_Amount)),0)</f>
        <v>0</v>
      </c>
      <c r="AH384" s="78">
        <f t="shared" ca="1" si="128"/>
        <v>0</v>
      </c>
      <c r="AI384" s="78">
        <f t="shared" ca="1" si="144"/>
        <v>0</v>
      </c>
    </row>
    <row r="385" spans="1:35" x14ac:dyDescent="0.25">
      <c r="A385">
        <f t="shared" si="124"/>
        <v>32</v>
      </c>
      <c r="B385">
        <f t="shared" si="129"/>
        <v>380</v>
      </c>
      <c r="C385" s="49">
        <f t="shared" si="146"/>
        <v>11536</v>
      </c>
      <c r="D385" s="78">
        <f>IF(C385&gt;EDATE(DATE(YEAR(SED_Origination_Date)+ SED_Amort, MONTH(SED_Origination_Date), DAY(SED_Origination_Date)),SED_Interest_Only),0,H384)</f>
        <v>0</v>
      </c>
      <c r="E385" s="78">
        <f t="shared" si="130"/>
        <v>0</v>
      </c>
      <c r="F385" s="78">
        <f>IFERROR(IF(OR(B385=0, C385&gt;=Refi_Origination_Date),0, PPMT(SED_I_Adj,'Loan Amort Table'!B385,SED_Amort_Periods,SED_Orig_Loan_Amount)),0)</f>
        <v>0</v>
      </c>
      <c r="G385" s="78" cm="1">
        <f t="array" ref="G385">IFERROR(_xlfn.IFS(C385&gt;=Refi_Origination_Date, 0, SED_Amort = 0, -D385 * SED_I_Adj, 1, IPMT(SED_I_Adj,IF(B385 = 0, 1, B385),SED_Amort_Periods,SED_Orig_Loan_Amount)),0)</f>
        <v>0</v>
      </c>
      <c r="H385" s="78">
        <f t="shared" si="145"/>
        <v>0</v>
      </c>
      <c r="J385">
        <f t="shared" si="125"/>
        <v>32</v>
      </c>
      <c r="K385">
        <f t="shared" si="131"/>
        <v>380</v>
      </c>
      <c r="L385" s="49">
        <f t="shared" si="138"/>
        <v>11536</v>
      </c>
      <c r="M385" s="78">
        <f>IF(L385&gt;EDATE(DATE(YEAR(NEW_Origination_Date)+ NEW_Amort, MONTH(NEW_Origination_Date), DAY(NEW_Origination_Date)),NEW_Interest_Only),0,Q384)</f>
        <v>0</v>
      </c>
      <c r="N385" s="78">
        <f t="shared" si="132"/>
        <v>0</v>
      </c>
      <c r="O385" s="78">
        <f>IFERROR(IF(K385=0,0, PPMT(NEW_I_Adj,'Loan Amort Table'!K385,NEW_Amort_Periods,NEW_Orig_Loan_Amount)),0)</f>
        <v>0</v>
      </c>
      <c r="P385" s="78">
        <f>IFERROR(IF(NEW_Amort = 0, -M385* NEW_I_Adj,IPMT(NEW_I_Adj,IF(K385 = 0, 1, K385),NEW_Amort_Periods,NEW_Orig_Loan_Amount)),0)</f>
        <v>0</v>
      </c>
      <c r="Q385" s="78">
        <f t="shared" si="133"/>
        <v>0</v>
      </c>
      <c r="S385">
        <f t="shared" si="126"/>
        <v>32</v>
      </c>
      <c r="T385">
        <f t="shared" si="134"/>
        <v>380</v>
      </c>
      <c r="U385" s="49">
        <f t="shared" si="139"/>
        <v>11536</v>
      </c>
      <c r="V385" s="78">
        <f t="shared" si="135"/>
        <v>0</v>
      </c>
      <c r="W385" s="78">
        <f t="shared" ca="1" si="140"/>
        <v>0</v>
      </c>
      <c r="X385" s="78">
        <f>IFERROR(IF(OR(T385=0, U385&gt;=Refi_Origination_Date),0, PPMT(Mezz_I_Adj,'Loan Amort Table'!T385,Mezz_Amort_Periods,Mezz_Orig_Loan_Amount)),0)</f>
        <v>0</v>
      </c>
      <c r="Y385" s="78" cm="1">
        <f t="array" aca="1" ref="Y385" ca="1">IFERROR(_xlfn.IFS(U385&gt;=Refi_Origination_Date,0, Mezz_Amort = 0, -V385 * Mezz_I_Adj, 1, IPMT(Mezz_I_Adj,IF(T385 = 0, 1, T385),Mezz_Amort_Periods,Mezz_Orig_Loan_Amount)),0)</f>
        <v>0</v>
      </c>
      <c r="Z385" s="78">
        <f t="shared" si="141"/>
        <v>0</v>
      </c>
      <c r="AB385">
        <f t="shared" si="127"/>
        <v>32</v>
      </c>
      <c r="AC385">
        <f t="shared" si="136"/>
        <v>380</v>
      </c>
      <c r="AD385" s="49">
        <f t="shared" si="142"/>
        <v>11536</v>
      </c>
      <c r="AE385" s="78">
        <f t="shared" si="137"/>
        <v>0</v>
      </c>
      <c r="AF385" s="78">
        <f t="shared" ca="1" si="143"/>
        <v>0</v>
      </c>
      <c r="AG385" s="78">
        <f ca="1">IFERROR(IF(AC385=0,0, PPMT(Refi_I_Adj,'Loan Amort Table'!AC385,Refi_Amort_Periods,Refi_Orig_Loan_Amount)),0)</f>
        <v>0</v>
      </c>
      <c r="AH385" s="78">
        <f t="shared" ca="1" si="128"/>
        <v>0</v>
      </c>
      <c r="AI385" s="78">
        <f t="shared" ca="1" si="144"/>
        <v>0</v>
      </c>
    </row>
    <row r="386" spans="1:35" x14ac:dyDescent="0.25">
      <c r="A386">
        <f t="shared" si="124"/>
        <v>32</v>
      </c>
      <c r="B386">
        <f t="shared" si="129"/>
        <v>381</v>
      </c>
      <c r="C386" s="49">
        <f t="shared" si="146"/>
        <v>11567</v>
      </c>
      <c r="D386" s="78">
        <f>IF(C386&gt;EDATE(DATE(YEAR(SED_Origination_Date)+ SED_Amort, MONTH(SED_Origination_Date), DAY(SED_Origination_Date)),SED_Interest_Only),0,H385)</f>
        <v>0</v>
      </c>
      <c r="E386" s="78">
        <f t="shared" si="130"/>
        <v>0</v>
      </c>
      <c r="F386" s="78">
        <f>IFERROR(IF(OR(B386=0, C386&gt;=Refi_Origination_Date),0, PPMT(SED_I_Adj,'Loan Amort Table'!B386,SED_Amort_Periods,SED_Orig_Loan_Amount)),0)</f>
        <v>0</v>
      </c>
      <c r="G386" s="78" cm="1">
        <f t="array" ref="G386">IFERROR(_xlfn.IFS(C386&gt;=Refi_Origination_Date, 0, SED_Amort = 0, -D386 * SED_I_Adj, 1, IPMT(SED_I_Adj,IF(B386 = 0, 1, B386),SED_Amort_Periods,SED_Orig_Loan_Amount)),0)</f>
        <v>0</v>
      </c>
      <c r="H386" s="78">
        <f t="shared" si="145"/>
        <v>0</v>
      </c>
      <c r="J386">
        <f t="shared" si="125"/>
        <v>32</v>
      </c>
      <c r="K386">
        <f t="shared" si="131"/>
        <v>381</v>
      </c>
      <c r="L386" s="49">
        <f t="shared" si="138"/>
        <v>11567</v>
      </c>
      <c r="M386" s="78">
        <f>IF(L386&gt;EDATE(DATE(YEAR(NEW_Origination_Date)+ NEW_Amort, MONTH(NEW_Origination_Date), DAY(NEW_Origination_Date)),NEW_Interest_Only),0,Q385)</f>
        <v>0</v>
      </c>
      <c r="N386" s="78">
        <f t="shared" si="132"/>
        <v>0</v>
      </c>
      <c r="O386" s="78">
        <f>IFERROR(IF(K386=0,0, PPMT(NEW_I_Adj,'Loan Amort Table'!K386,NEW_Amort_Periods,NEW_Orig_Loan_Amount)),0)</f>
        <v>0</v>
      </c>
      <c r="P386" s="78">
        <f>IFERROR(IF(NEW_Amort = 0, -M386* NEW_I_Adj,IPMT(NEW_I_Adj,IF(K386 = 0, 1, K386),NEW_Amort_Periods,NEW_Orig_Loan_Amount)),0)</f>
        <v>0</v>
      </c>
      <c r="Q386" s="78">
        <f t="shared" si="133"/>
        <v>0</v>
      </c>
      <c r="S386">
        <f t="shared" si="126"/>
        <v>32</v>
      </c>
      <c r="T386">
        <f t="shared" si="134"/>
        <v>381</v>
      </c>
      <c r="U386" s="49">
        <f t="shared" si="139"/>
        <v>11567</v>
      </c>
      <c r="V386" s="78">
        <f t="shared" si="135"/>
        <v>0</v>
      </c>
      <c r="W386" s="78">
        <f t="shared" ca="1" si="140"/>
        <v>0</v>
      </c>
      <c r="X386" s="78">
        <f>IFERROR(IF(OR(T386=0, U386&gt;=Refi_Origination_Date),0, PPMT(Mezz_I_Adj,'Loan Amort Table'!T386,Mezz_Amort_Periods,Mezz_Orig_Loan_Amount)),0)</f>
        <v>0</v>
      </c>
      <c r="Y386" s="78" cm="1">
        <f t="array" aca="1" ref="Y386" ca="1">IFERROR(_xlfn.IFS(U386&gt;=Refi_Origination_Date,0, Mezz_Amort = 0, -V386 * Mezz_I_Adj, 1, IPMT(Mezz_I_Adj,IF(T386 = 0, 1, T386),Mezz_Amort_Periods,Mezz_Orig_Loan_Amount)),0)</f>
        <v>0</v>
      </c>
      <c r="Z386" s="78">
        <f t="shared" si="141"/>
        <v>0</v>
      </c>
      <c r="AB386">
        <f t="shared" si="127"/>
        <v>32</v>
      </c>
      <c r="AC386">
        <f t="shared" si="136"/>
        <v>381</v>
      </c>
      <c r="AD386" s="49">
        <f t="shared" si="142"/>
        <v>11567</v>
      </c>
      <c r="AE386" s="78">
        <f t="shared" si="137"/>
        <v>0</v>
      </c>
      <c r="AF386" s="78">
        <f t="shared" ca="1" si="143"/>
        <v>0</v>
      </c>
      <c r="AG386" s="78">
        <f ca="1">IFERROR(IF(AC386=0,0, PPMT(Refi_I_Adj,'Loan Amort Table'!AC386,Refi_Amort_Periods,Refi_Orig_Loan_Amount)),0)</f>
        <v>0</v>
      </c>
      <c r="AH386" s="78">
        <f t="shared" ca="1" si="128"/>
        <v>0</v>
      </c>
      <c r="AI386" s="78">
        <f t="shared" ca="1" si="144"/>
        <v>0</v>
      </c>
    </row>
    <row r="387" spans="1:35" x14ac:dyDescent="0.25">
      <c r="A387">
        <f t="shared" si="124"/>
        <v>32</v>
      </c>
      <c r="B387">
        <f t="shared" si="129"/>
        <v>382</v>
      </c>
      <c r="C387" s="49">
        <f t="shared" si="146"/>
        <v>11597</v>
      </c>
      <c r="D387" s="78">
        <f>IF(C387&gt;EDATE(DATE(YEAR(SED_Origination_Date)+ SED_Amort, MONTH(SED_Origination_Date), DAY(SED_Origination_Date)),SED_Interest_Only),0,H386)</f>
        <v>0</v>
      </c>
      <c r="E387" s="78">
        <f t="shared" si="130"/>
        <v>0</v>
      </c>
      <c r="F387" s="78">
        <f>IFERROR(IF(OR(B387=0, C387&gt;=Refi_Origination_Date),0, PPMT(SED_I_Adj,'Loan Amort Table'!B387,SED_Amort_Periods,SED_Orig_Loan_Amount)),0)</f>
        <v>0</v>
      </c>
      <c r="G387" s="78" cm="1">
        <f t="array" ref="G387">IFERROR(_xlfn.IFS(C387&gt;=Refi_Origination_Date, 0, SED_Amort = 0, -D387 * SED_I_Adj, 1, IPMT(SED_I_Adj,IF(B387 = 0, 1, B387),SED_Amort_Periods,SED_Orig_Loan_Amount)),0)</f>
        <v>0</v>
      </c>
      <c r="H387" s="78">
        <f t="shared" si="145"/>
        <v>0</v>
      </c>
      <c r="J387">
        <f t="shared" si="125"/>
        <v>32</v>
      </c>
      <c r="K387">
        <f t="shared" si="131"/>
        <v>382</v>
      </c>
      <c r="L387" s="49">
        <f t="shared" si="138"/>
        <v>11597</v>
      </c>
      <c r="M387" s="78">
        <f>IF(L387&gt;EDATE(DATE(YEAR(NEW_Origination_Date)+ NEW_Amort, MONTH(NEW_Origination_Date), DAY(NEW_Origination_Date)),NEW_Interest_Only),0,Q386)</f>
        <v>0</v>
      </c>
      <c r="N387" s="78">
        <f t="shared" si="132"/>
        <v>0</v>
      </c>
      <c r="O387" s="78">
        <f>IFERROR(IF(K387=0,0, PPMT(NEW_I_Adj,'Loan Amort Table'!K387,NEW_Amort_Periods,NEW_Orig_Loan_Amount)),0)</f>
        <v>0</v>
      </c>
      <c r="P387" s="78">
        <f>IFERROR(IF(NEW_Amort = 0, -M387* NEW_I_Adj,IPMT(NEW_I_Adj,IF(K387 = 0, 1, K387),NEW_Amort_Periods,NEW_Orig_Loan_Amount)),0)</f>
        <v>0</v>
      </c>
      <c r="Q387" s="78">
        <f t="shared" si="133"/>
        <v>0</v>
      </c>
      <c r="S387">
        <f t="shared" si="126"/>
        <v>32</v>
      </c>
      <c r="T387">
        <f t="shared" si="134"/>
        <v>382</v>
      </c>
      <c r="U387" s="49">
        <f t="shared" si="139"/>
        <v>11597</v>
      </c>
      <c r="V387" s="78">
        <f t="shared" si="135"/>
        <v>0</v>
      </c>
      <c r="W387" s="78">
        <f t="shared" ca="1" si="140"/>
        <v>0</v>
      </c>
      <c r="X387" s="78">
        <f>IFERROR(IF(OR(T387=0, U387&gt;=Refi_Origination_Date),0, PPMT(Mezz_I_Adj,'Loan Amort Table'!T387,Mezz_Amort_Periods,Mezz_Orig_Loan_Amount)),0)</f>
        <v>0</v>
      </c>
      <c r="Y387" s="78" cm="1">
        <f t="array" aca="1" ref="Y387" ca="1">IFERROR(_xlfn.IFS(U387&gt;=Refi_Origination_Date,0, Mezz_Amort = 0, -V387 * Mezz_I_Adj, 1, IPMT(Mezz_I_Adj,IF(T387 = 0, 1, T387),Mezz_Amort_Periods,Mezz_Orig_Loan_Amount)),0)</f>
        <v>0</v>
      </c>
      <c r="Z387" s="78">
        <f t="shared" si="141"/>
        <v>0</v>
      </c>
      <c r="AB387">
        <f t="shared" si="127"/>
        <v>32</v>
      </c>
      <c r="AC387">
        <f t="shared" si="136"/>
        <v>382</v>
      </c>
      <c r="AD387" s="49">
        <f t="shared" si="142"/>
        <v>11597</v>
      </c>
      <c r="AE387" s="78">
        <f t="shared" si="137"/>
        <v>0</v>
      </c>
      <c r="AF387" s="78">
        <f t="shared" ca="1" si="143"/>
        <v>0</v>
      </c>
      <c r="AG387" s="78">
        <f ca="1">IFERROR(IF(AC387=0,0, PPMT(Refi_I_Adj,'Loan Amort Table'!AC387,Refi_Amort_Periods,Refi_Orig_Loan_Amount)),0)</f>
        <v>0</v>
      </c>
      <c r="AH387" s="78">
        <f t="shared" ca="1" si="128"/>
        <v>0</v>
      </c>
      <c r="AI387" s="78">
        <f t="shared" ca="1" si="144"/>
        <v>0</v>
      </c>
    </row>
    <row r="388" spans="1:35" x14ac:dyDescent="0.25">
      <c r="A388">
        <f t="shared" si="124"/>
        <v>32</v>
      </c>
      <c r="B388">
        <f t="shared" si="129"/>
        <v>383</v>
      </c>
      <c r="C388" s="49">
        <f t="shared" si="146"/>
        <v>11628</v>
      </c>
      <c r="D388" s="78">
        <f>IF(C388&gt;EDATE(DATE(YEAR(SED_Origination_Date)+ SED_Amort, MONTH(SED_Origination_Date), DAY(SED_Origination_Date)),SED_Interest_Only),0,H387)</f>
        <v>0</v>
      </c>
      <c r="E388" s="78">
        <f t="shared" si="130"/>
        <v>0</v>
      </c>
      <c r="F388" s="78">
        <f>IFERROR(IF(OR(B388=0, C388&gt;=Refi_Origination_Date),0, PPMT(SED_I_Adj,'Loan Amort Table'!B388,SED_Amort_Periods,SED_Orig_Loan_Amount)),0)</f>
        <v>0</v>
      </c>
      <c r="G388" s="78" cm="1">
        <f t="array" ref="G388">IFERROR(_xlfn.IFS(C388&gt;=Refi_Origination_Date, 0, SED_Amort = 0, -D388 * SED_I_Adj, 1, IPMT(SED_I_Adj,IF(B388 = 0, 1, B388),SED_Amort_Periods,SED_Orig_Loan_Amount)),0)</f>
        <v>0</v>
      </c>
      <c r="H388" s="78">
        <f t="shared" si="145"/>
        <v>0</v>
      </c>
      <c r="J388">
        <f t="shared" si="125"/>
        <v>32</v>
      </c>
      <c r="K388">
        <f t="shared" si="131"/>
        <v>383</v>
      </c>
      <c r="L388" s="49">
        <f t="shared" si="138"/>
        <v>11628</v>
      </c>
      <c r="M388" s="78">
        <f>IF(L388&gt;EDATE(DATE(YEAR(NEW_Origination_Date)+ NEW_Amort, MONTH(NEW_Origination_Date), DAY(NEW_Origination_Date)),NEW_Interest_Only),0,Q387)</f>
        <v>0</v>
      </c>
      <c r="N388" s="78">
        <f t="shared" si="132"/>
        <v>0</v>
      </c>
      <c r="O388" s="78">
        <f>IFERROR(IF(K388=0,0, PPMT(NEW_I_Adj,'Loan Amort Table'!K388,NEW_Amort_Periods,NEW_Orig_Loan_Amount)),0)</f>
        <v>0</v>
      </c>
      <c r="P388" s="78">
        <f>IFERROR(IF(NEW_Amort = 0, -M388* NEW_I_Adj,IPMT(NEW_I_Adj,IF(K388 = 0, 1, K388),NEW_Amort_Periods,NEW_Orig_Loan_Amount)),0)</f>
        <v>0</v>
      </c>
      <c r="Q388" s="78">
        <f t="shared" si="133"/>
        <v>0</v>
      </c>
      <c r="S388">
        <f t="shared" si="126"/>
        <v>32</v>
      </c>
      <c r="T388">
        <f t="shared" si="134"/>
        <v>383</v>
      </c>
      <c r="U388" s="49">
        <f t="shared" si="139"/>
        <v>11628</v>
      </c>
      <c r="V388" s="78">
        <f t="shared" si="135"/>
        <v>0</v>
      </c>
      <c r="W388" s="78">
        <f t="shared" ca="1" si="140"/>
        <v>0</v>
      </c>
      <c r="X388" s="78">
        <f>IFERROR(IF(OR(T388=0, U388&gt;=Refi_Origination_Date),0, PPMT(Mezz_I_Adj,'Loan Amort Table'!T388,Mezz_Amort_Periods,Mezz_Orig_Loan_Amount)),0)</f>
        <v>0</v>
      </c>
      <c r="Y388" s="78" cm="1">
        <f t="array" aca="1" ref="Y388" ca="1">IFERROR(_xlfn.IFS(U388&gt;=Refi_Origination_Date,0, Mezz_Amort = 0, -V388 * Mezz_I_Adj, 1, IPMT(Mezz_I_Adj,IF(T388 = 0, 1, T388),Mezz_Amort_Periods,Mezz_Orig_Loan_Amount)),0)</f>
        <v>0</v>
      </c>
      <c r="Z388" s="78">
        <f t="shared" si="141"/>
        <v>0</v>
      </c>
      <c r="AB388">
        <f t="shared" si="127"/>
        <v>32</v>
      </c>
      <c r="AC388">
        <f t="shared" si="136"/>
        <v>383</v>
      </c>
      <c r="AD388" s="49">
        <f t="shared" si="142"/>
        <v>11628</v>
      </c>
      <c r="AE388" s="78">
        <f t="shared" si="137"/>
        <v>0</v>
      </c>
      <c r="AF388" s="78">
        <f t="shared" ca="1" si="143"/>
        <v>0</v>
      </c>
      <c r="AG388" s="78">
        <f ca="1">IFERROR(IF(AC388=0,0, PPMT(Refi_I_Adj,'Loan Amort Table'!AC388,Refi_Amort_Periods,Refi_Orig_Loan_Amount)),0)</f>
        <v>0</v>
      </c>
      <c r="AH388" s="78">
        <f t="shared" ca="1" si="128"/>
        <v>0</v>
      </c>
      <c r="AI388" s="78">
        <f t="shared" ca="1" si="144"/>
        <v>0</v>
      </c>
    </row>
    <row r="389" spans="1:35" x14ac:dyDescent="0.25">
      <c r="A389">
        <f t="shared" si="124"/>
        <v>32</v>
      </c>
      <c r="B389">
        <f t="shared" si="129"/>
        <v>384</v>
      </c>
      <c r="C389" s="49">
        <f t="shared" si="146"/>
        <v>11658</v>
      </c>
      <c r="D389" s="78">
        <f>IF(C389&gt;EDATE(DATE(YEAR(SED_Origination_Date)+ SED_Amort, MONTH(SED_Origination_Date), DAY(SED_Origination_Date)),SED_Interest_Only),0,H388)</f>
        <v>0</v>
      </c>
      <c r="E389" s="78">
        <f t="shared" si="130"/>
        <v>0</v>
      </c>
      <c r="F389" s="78">
        <f>IFERROR(IF(OR(B389=0, C389&gt;=Refi_Origination_Date),0, PPMT(SED_I_Adj,'Loan Amort Table'!B389,SED_Amort_Periods,SED_Orig_Loan_Amount)),0)</f>
        <v>0</v>
      </c>
      <c r="G389" s="78" cm="1">
        <f t="array" ref="G389">IFERROR(_xlfn.IFS(C389&gt;=Refi_Origination_Date, 0, SED_Amort = 0, -D389 * SED_I_Adj, 1, IPMT(SED_I_Adj,IF(B389 = 0, 1, B389),SED_Amort_Periods,SED_Orig_Loan_Amount)),0)</f>
        <v>0</v>
      </c>
      <c r="H389" s="78">
        <f t="shared" si="145"/>
        <v>0</v>
      </c>
      <c r="J389">
        <f t="shared" si="125"/>
        <v>32</v>
      </c>
      <c r="K389">
        <f t="shared" si="131"/>
        <v>384</v>
      </c>
      <c r="L389" s="49">
        <f t="shared" si="138"/>
        <v>11658</v>
      </c>
      <c r="M389" s="78">
        <f>IF(L389&gt;EDATE(DATE(YEAR(NEW_Origination_Date)+ NEW_Amort, MONTH(NEW_Origination_Date), DAY(NEW_Origination_Date)),NEW_Interest_Only),0,Q388)</f>
        <v>0</v>
      </c>
      <c r="N389" s="78">
        <f t="shared" si="132"/>
        <v>0</v>
      </c>
      <c r="O389" s="78">
        <f>IFERROR(IF(K389=0,0, PPMT(NEW_I_Adj,'Loan Amort Table'!K389,NEW_Amort_Periods,NEW_Orig_Loan_Amount)),0)</f>
        <v>0</v>
      </c>
      <c r="P389" s="78">
        <f>IFERROR(IF(NEW_Amort = 0, -M389* NEW_I_Adj,IPMT(NEW_I_Adj,IF(K389 = 0, 1, K389),NEW_Amort_Periods,NEW_Orig_Loan_Amount)),0)</f>
        <v>0</v>
      </c>
      <c r="Q389" s="78">
        <f t="shared" si="133"/>
        <v>0</v>
      </c>
      <c r="S389">
        <f t="shared" si="126"/>
        <v>32</v>
      </c>
      <c r="T389">
        <f t="shared" si="134"/>
        <v>384</v>
      </c>
      <c r="U389" s="49">
        <f t="shared" si="139"/>
        <v>11658</v>
      </c>
      <c r="V389" s="78">
        <f t="shared" si="135"/>
        <v>0</v>
      </c>
      <c r="W389" s="78">
        <f t="shared" ca="1" si="140"/>
        <v>0</v>
      </c>
      <c r="X389" s="78">
        <f>IFERROR(IF(OR(T389=0, U389&gt;=Refi_Origination_Date),0, PPMT(Mezz_I_Adj,'Loan Amort Table'!T389,Mezz_Amort_Periods,Mezz_Orig_Loan_Amount)),0)</f>
        <v>0</v>
      </c>
      <c r="Y389" s="78" cm="1">
        <f t="array" aca="1" ref="Y389" ca="1">IFERROR(_xlfn.IFS(U389&gt;=Refi_Origination_Date,0, Mezz_Amort = 0, -V389 * Mezz_I_Adj, 1, IPMT(Mezz_I_Adj,IF(T389 = 0, 1, T389),Mezz_Amort_Periods,Mezz_Orig_Loan_Amount)),0)</f>
        <v>0</v>
      </c>
      <c r="Z389" s="78">
        <f t="shared" si="141"/>
        <v>0</v>
      </c>
      <c r="AB389">
        <f t="shared" si="127"/>
        <v>32</v>
      </c>
      <c r="AC389">
        <f t="shared" si="136"/>
        <v>384</v>
      </c>
      <c r="AD389" s="49">
        <f t="shared" si="142"/>
        <v>11658</v>
      </c>
      <c r="AE389" s="78">
        <f t="shared" si="137"/>
        <v>0</v>
      </c>
      <c r="AF389" s="78">
        <f t="shared" ca="1" si="143"/>
        <v>0</v>
      </c>
      <c r="AG389" s="78">
        <f ca="1">IFERROR(IF(AC389=0,0, PPMT(Refi_I_Adj,'Loan Amort Table'!AC389,Refi_Amort_Periods,Refi_Orig_Loan_Amount)),0)</f>
        <v>0</v>
      </c>
      <c r="AH389" s="78">
        <f t="shared" ca="1" si="128"/>
        <v>0</v>
      </c>
      <c r="AI389" s="78">
        <f t="shared" ca="1" si="144"/>
        <v>0</v>
      </c>
    </row>
    <row r="390" spans="1:35" x14ac:dyDescent="0.25">
      <c r="A390">
        <f t="shared" ref="A390:A453" si="147">IFERROR(ROUNDUP((DATEDIF(SED_Origination_Date,C390,"m")+1)/12,0),"")</f>
        <v>33</v>
      </c>
      <c r="B390">
        <f t="shared" si="129"/>
        <v>385</v>
      </c>
      <c r="C390" s="49">
        <f t="shared" si="146"/>
        <v>11689</v>
      </c>
      <c r="D390" s="78">
        <f>IF(C390&gt;EDATE(DATE(YEAR(SED_Origination_Date)+ SED_Amort, MONTH(SED_Origination_Date), DAY(SED_Origination_Date)),SED_Interest_Only),0,H389)</f>
        <v>0</v>
      </c>
      <c r="E390" s="78">
        <f t="shared" si="130"/>
        <v>0</v>
      </c>
      <c r="F390" s="78">
        <f>IFERROR(IF(OR(B390=0, C390&gt;=Refi_Origination_Date),0, PPMT(SED_I_Adj,'Loan Amort Table'!B390,SED_Amort_Periods,SED_Orig_Loan_Amount)),0)</f>
        <v>0</v>
      </c>
      <c r="G390" s="78" cm="1">
        <f t="array" ref="G390">IFERROR(_xlfn.IFS(C390&gt;=Refi_Origination_Date, 0, SED_Amort = 0, -D390 * SED_I_Adj, 1, IPMT(SED_I_Adj,IF(B390 = 0, 1, B390),SED_Amort_Periods,SED_Orig_Loan_Amount)),0)</f>
        <v>0</v>
      </c>
      <c r="H390" s="78">
        <f t="shared" si="145"/>
        <v>0</v>
      </c>
      <c r="J390">
        <f t="shared" ref="J390:J453" si="148">IFERROR(ROUNDUP((DATEDIF(NEW_Origination_Date,L390,"m")+1)/12,0),"")</f>
        <v>33</v>
      </c>
      <c r="K390">
        <f t="shared" si="131"/>
        <v>385</v>
      </c>
      <c r="L390" s="49">
        <f t="shared" si="138"/>
        <v>11689</v>
      </c>
      <c r="M390" s="78">
        <f>IF(L390&gt;EDATE(DATE(YEAR(NEW_Origination_Date)+ NEW_Amort, MONTH(NEW_Origination_Date), DAY(NEW_Origination_Date)),NEW_Interest_Only),0,Q389)</f>
        <v>0</v>
      </c>
      <c r="N390" s="78">
        <f t="shared" si="132"/>
        <v>0</v>
      </c>
      <c r="O390" s="78">
        <f>IFERROR(IF(K390=0,0, PPMT(NEW_I_Adj,'Loan Amort Table'!K390,NEW_Amort_Periods,NEW_Orig_Loan_Amount)),0)</f>
        <v>0</v>
      </c>
      <c r="P390" s="78">
        <f>IFERROR(IF(NEW_Amort = 0, -M390* NEW_I_Adj,IPMT(NEW_I_Adj,IF(K390 = 0, 1, K390),NEW_Amort_Periods,NEW_Orig_Loan_Amount)),0)</f>
        <v>0</v>
      </c>
      <c r="Q390" s="78">
        <f t="shared" si="133"/>
        <v>0</v>
      </c>
      <c r="S390">
        <f t="shared" ref="S390:S453" si="149">IFERROR(ROUNDUP((DATEDIF(Mezz_Origination_Date,U390,"m")+1)/12,0),"")</f>
        <v>33</v>
      </c>
      <c r="T390">
        <f t="shared" si="134"/>
        <v>385</v>
      </c>
      <c r="U390" s="49">
        <f t="shared" si="139"/>
        <v>11689</v>
      </c>
      <c r="V390" s="78">
        <f t="shared" si="135"/>
        <v>0</v>
      </c>
      <c r="W390" s="78">
        <f t="shared" ca="1" si="140"/>
        <v>0</v>
      </c>
      <c r="X390" s="78">
        <f>IFERROR(IF(OR(T390=0, U390&gt;=Refi_Origination_Date),0, PPMT(Mezz_I_Adj,'Loan Amort Table'!T390,Mezz_Amort_Periods,Mezz_Orig_Loan_Amount)),0)</f>
        <v>0</v>
      </c>
      <c r="Y390" s="78" cm="1">
        <f t="array" aca="1" ref="Y390" ca="1">IFERROR(_xlfn.IFS(U390&gt;=Refi_Origination_Date,0, Mezz_Amort = 0, -V390 * Mezz_I_Adj, 1, IPMT(Mezz_I_Adj,IF(T390 = 0, 1, T390),Mezz_Amort_Periods,Mezz_Orig_Loan_Amount)),0)</f>
        <v>0</v>
      </c>
      <c r="Z390" s="78">
        <f t="shared" si="141"/>
        <v>0</v>
      </c>
      <c r="AB390">
        <f t="shared" ref="AB390:AB453" si="150">IFERROR(ROUNDUP((DATEDIF(Refi_Origination_Date,AD390,"m")+1)/12,0),"")</f>
        <v>33</v>
      </c>
      <c r="AC390">
        <f t="shared" si="136"/>
        <v>385</v>
      </c>
      <c r="AD390" s="49">
        <f t="shared" si="142"/>
        <v>11689</v>
      </c>
      <c r="AE390" s="78">
        <f t="shared" si="137"/>
        <v>0</v>
      </c>
      <c r="AF390" s="78">
        <f t="shared" ca="1" si="143"/>
        <v>0</v>
      </c>
      <c r="AG390" s="78">
        <f ca="1">IFERROR(IF(AC390=0,0, PPMT(Refi_I_Adj,'Loan Amort Table'!AC390,Refi_Amort_Periods,Refi_Orig_Loan_Amount)),0)</f>
        <v>0</v>
      </c>
      <c r="AH390" s="78">
        <f t="shared" ref="AH390:AH453" ca="1" si="151">IFERROR(IF(Refi_Amort = 0, -AE390 * Refi_I_Adj, IPMT(Refi_I_Adj,IF(AC390 = 0, 1, AC390),Refi_Amort_Periods,Refi_Orig_Loan_Amount)),0)</f>
        <v>0</v>
      </c>
      <c r="AI390" s="78">
        <f t="shared" ca="1" si="144"/>
        <v>0</v>
      </c>
    </row>
    <row r="391" spans="1:35" x14ac:dyDescent="0.25">
      <c r="A391">
        <f t="shared" si="147"/>
        <v>33</v>
      </c>
      <c r="B391">
        <f t="shared" ref="B391:B454" si="152">IF(C391&lt;SED_Begin_PMT,0, B390+1)</f>
        <v>386</v>
      </c>
      <c r="C391" s="49">
        <f t="shared" si="146"/>
        <v>11720</v>
      </c>
      <c r="D391" s="78">
        <f>IF(C391&gt;EDATE(DATE(YEAR(SED_Origination_Date)+ SED_Amort, MONTH(SED_Origination_Date), DAY(SED_Origination_Date)),SED_Interest_Only),0,H390)</f>
        <v>0</v>
      </c>
      <c r="E391" s="78">
        <f t="shared" ref="E391:E454" si="153">F391+G391</f>
        <v>0</v>
      </c>
      <c r="F391" s="78">
        <f>IFERROR(IF(OR(B391=0, C391&gt;=Refi_Origination_Date),0, PPMT(SED_I_Adj,'Loan Amort Table'!B391,SED_Amort_Periods,SED_Orig_Loan_Amount)),0)</f>
        <v>0</v>
      </c>
      <c r="G391" s="78" cm="1">
        <f t="array" ref="G391">IFERROR(_xlfn.IFS(C391&gt;=Refi_Origination_Date, 0, SED_Amort = 0, -D391 * SED_I_Adj, 1, IPMT(SED_I_Adj,IF(B391 = 0, 1, B391),SED_Amort_Periods,SED_Orig_Loan_Amount)),0)</f>
        <v>0</v>
      </c>
      <c r="H391" s="78">
        <f t="shared" si="145"/>
        <v>0</v>
      </c>
      <c r="J391">
        <f t="shared" si="148"/>
        <v>33</v>
      </c>
      <c r="K391">
        <f t="shared" ref="K391:K454" si="154">IF(L391&lt;NEW_Begin_PMT,0, K390+1)</f>
        <v>386</v>
      </c>
      <c r="L391" s="49">
        <f t="shared" si="138"/>
        <v>11720</v>
      </c>
      <c r="M391" s="78">
        <f>IF(L391&gt;EDATE(DATE(YEAR(NEW_Origination_Date)+ NEW_Amort, MONTH(NEW_Origination_Date), DAY(NEW_Origination_Date)),NEW_Interest_Only),0,Q390)</f>
        <v>0</v>
      </c>
      <c r="N391" s="78">
        <f t="shared" ref="N391:N454" si="155">O391+P391</f>
        <v>0</v>
      </c>
      <c r="O391" s="78">
        <f>IFERROR(IF(K391=0,0, PPMT(NEW_I_Adj,'Loan Amort Table'!K391,NEW_Amort_Periods,NEW_Orig_Loan_Amount)),0)</f>
        <v>0</v>
      </c>
      <c r="P391" s="78">
        <f>IFERROR(IF(NEW_Amort = 0, -M391* NEW_I_Adj,IPMT(NEW_I_Adj,IF(K391 = 0, 1, K391),NEW_Amort_Periods,NEW_Orig_Loan_Amount)),0)</f>
        <v>0</v>
      </c>
      <c r="Q391" s="78">
        <f t="shared" ref="Q391:Q454" si="156">M391+O391</f>
        <v>0</v>
      </c>
      <c r="S391">
        <f t="shared" si="149"/>
        <v>33</v>
      </c>
      <c r="T391">
        <f t="shared" ref="T391:T454" si="157">IF(U391&lt;Mezz_Begin_PMT,0, T390+1)</f>
        <v>386</v>
      </c>
      <c r="U391" s="49">
        <f t="shared" si="139"/>
        <v>11720</v>
      </c>
      <c r="V391" s="78">
        <f t="shared" ref="V391:V454" si="158">IF(U391&gt;EDATE(DATE(YEAR(Mezz_Origination_Date)+ Mezz_Amort, MONTH(Mezz_Origination_Date), DAY(Mezz_Origination_Date)),Mezz_Interest_Only),0,Z390)</f>
        <v>0</v>
      </c>
      <c r="W391" s="78">
        <f t="shared" ca="1" si="140"/>
        <v>0</v>
      </c>
      <c r="X391" s="78">
        <f>IFERROR(IF(OR(T391=0, U391&gt;=Refi_Origination_Date),0, PPMT(Mezz_I_Adj,'Loan Amort Table'!T391,Mezz_Amort_Periods,Mezz_Orig_Loan_Amount)),0)</f>
        <v>0</v>
      </c>
      <c r="Y391" s="78" cm="1">
        <f t="array" aca="1" ref="Y391" ca="1">IFERROR(_xlfn.IFS(U391&gt;=Refi_Origination_Date,0, Mezz_Amort = 0, -V391 * Mezz_I_Adj, 1, IPMT(Mezz_I_Adj,IF(T391 = 0, 1, T391),Mezz_Amort_Periods,Mezz_Orig_Loan_Amount)),0)</f>
        <v>0</v>
      </c>
      <c r="Z391" s="78">
        <f t="shared" si="141"/>
        <v>0</v>
      </c>
      <c r="AB391">
        <f t="shared" si="150"/>
        <v>33</v>
      </c>
      <c r="AC391">
        <f t="shared" ref="AC391:AC454" si="159">IF(AD391&lt;Refi_Begin_PMT,0, AC390+1)</f>
        <v>386</v>
      </c>
      <c r="AD391" s="49">
        <f t="shared" si="142"/>
        <v>11720</v>
      </c>
      <c r="AE391" s="78">
        <f t="shared" ref="AE391:AE454" si="160">IF(AD391&gt;EDATE(DATE(YEAR(Refi_Origination_Date)+ Refi_Amort, MONTH(Refi_Origination_Date), DAY(Refi_Origination_Date)),Refi_Interest_Only),0,AI390)</f>
        <v>0</v>
      </c>
      <c r="AF391" s="78">
        <f t="shared" ca="1" si="143"/>
        <v>0</v>
      </c>
      <c r="AG391" s="78">
        <f ca="1">IFERROR(IF(AC391=0,0, PPMT(Refi_I_Adj,'Loan Amort Table'!AC391,Refi_Amort_Periods,Refi_Orig_Loan_Amount)),0)</f>
        <v>0</v>
      </c>
      <c r="AH391" s="78">
        <f t="shared" ca="1" si="151"/>
        <v>0</v>
      </c>
      <c r="AI391" s="78">
        <f t="shared" ca="1" si="144"/>
        <v>0</v>
      </c>
    </row>
    <row r="392" spans="1:35" x14ac:dyDescent="0.25">
      <c r="A392">
        <f t="shared" si="147"/>
        <v>33</v>
      </c>
      <c r="B392">
        <f t="shared" si="152"/>
        <v>387</v>
      </c>
      <c r="C392" s="49">
        <f t="shared" si="146"/>
        <v>11749</v>
      </c>
      <c r="D392" s="78">
        <f>IF(C392&gt;EDATE(DATE(YEAR(SED_Origination_Date)+ SED_Amort, MONTH(SED_Origination_Date), DAY(SED_Origination_Date)),SED_Interest_Only),0,H391)</f>
        <v>0</v>
      </c>
      <c r="E392" s="78">
        <f t="shared" si="153"/>
        <v>0</v>
      </c>
      <c r="F392" s="78">
        <f>IFERROR(IF(OR(B392=0, C392&gt;=Refi_Origination_Date),0, PPMT(SED_I_Adj,'Loan Amort Table'!B392,SED_Amort_Periods,SED_Orig_Loan_Amount)),0)</f>
        <v>0</v>
      </c>
      <c r="G392" s="78" cm="1">
        <f t="array" ref="G392">IFERROR(_xlfn.IFS(C392&gt;=Refi_Origination_Date, 0, SED_Amort = 0, -D392 * SED_I_Adj, 1, IPMT(SED_I_Adj,IF(B392 = 0, 1, B392),SED_Amort_Periods,SED_Orig_Loan_Amount)),0)</f>
        <v>0</v>
      </c>
      <c r="H392" s="78">
        <f t="shared" si="145"/>
        <v>0</v>
      </c>
      <c r="J392">
        <f t="shared" si="148"/>
        <v>33</v>
      </c>
      <c r="K392">
        <f t="shared" si="154"/>
        <v>387</v>
      </c>
      <c r="L392" s="49">
        <f t="shared" ref="L392:L455" si="161">EDATE(L391,1)</f>
        <v>11749</v>
      </c>
      <c r="M392" s="78">
        <f>IF(L392&gt;EDATE(DATE(YEAR(NEW_Origination_Date)+ NEW_Amort, MONTH(NEW_Origination_Date), DAY(NEW_Origination_Date)),NEW_Interest_Only),0,Q391)</f>
        <v>0</v>
      </c>
      <c r="N392" s="78">
        <f t="shared" si="155"/>
        <v>0</v>
      </c>
      <c r="O392" s="78">
        <f>IFERROR(IF(K392=0,0, PPMT(NEW_I_Adj,'Loan Amort Table'!K392,NEW_Amort_Periods,NEW_Orig_Loan_Amount)),0)</f>
        <v>0</v>
      </c>
      <c r="P392" s="78">
        <f>IFERROR(IF(NEW_Amort = 0, -M392* NEW_I_Adj,IPMT(NEW_I_Adj,IF(K392 = 0, 1, K392),NEW_Amort_Periods,NEW_Orig_Loan_Amount)),0)</f>
        <v>0</v>
      </c>
      <c r="Q392" s="78">
        <f t="shared" si="156"/>
        <v>0</v>
      </c>
      <c r="S392">
        <f t="shared" si="149"/>
        <v>33</v>
      </c>
      <c r="T392">
        <f t="shared" si="157"/>
        <v>387</v>
      </c>
      <c r="U392" s="49">
        <f t="shared" ref="U392:U455" si="162">EDATE(U391,1)</f>
        <v>11749</v>
      </c>
      <c r="V392" s="78">
        <f t="shared" si="158"/>
        <v>0</v>
      </c>
      <c r="W392" s="78">
        <f t="shared" ref="W392:W455" ca="1" si="163">X392+Y392</f>
        <v>0</v>
      </c>
      <c r="X392" s="78">
        <f>IFERROR(IF(OR(T392=0, U392&gt;=Refi_Origination_Date),0, PPMT(Mezz_I_Adj,'Loan Amort Table'!T392,Mezz_Amort_Periods,Mezz_Orig_Loan_Amount)),0)</f>
        <v>0</v>
      </c>
      <c r="Y392" s="78" cm="1">
        <f t="array" aca="1" ref="Y392" ca="1">IFERROR(_xlfn.IFS(U392&gt;=Refi_Origination_Date,0, Mezz_Amort = 0, -V392 * Mezz_I_Adj, 1, IPMT(Mezz_I_Adj,IF(T392 = 0, 1, T392),Mezz_Amort_Periods,Mezz_Orig_Loan_Amount)),0)</f>
        <v>0</v>
      </c>
      <c r="Z392" s="78">
        <f t="shared" ref="Z392:Z455" si="164">V392+X392</f>
        <v>0</v>
      </c>
      <c r="AB392">
        <f t="shared" si="150"/>
        <v>33</v>
      </c>
      <c r="AC392">
        <f t="shared" si="159"/>
        <v>387</v>
      </c>
      <c r="AD392" s="49">
        <f t="shared" ref="AD392:AD455" si="165">EDATE(AD391,1)</f>
        <v>11749</v>
      </c>
      <c r="AE392" s="78">
        <f t="shared" si="160"/>
        <v>0</v>
      </c>
      <c r="AF392" s="78">
        <f t="shared" ref="AF392:AF455" ca="1" si="166">AG392+AH392</f>
        <v>0</v>
      </c>
      <c r="AG392" s="78">
        <f ca="1">IFERROR(IF(AC392=0,0, PPMT(Refi_I_Adj,'Loan Amort Table'!AC392,Refi_Amort_Periods,Refi_Orig_Loan_Amount)),0)</f>
        <v>0</v>
      </c>
      <c r="AH392" s="78">
        <f t="shared" ca="1" si="151"/>
        <v>0</v>
      </c>
      <c r="AI392" s="78">
        <f t="shared" ref="AI392:AI455" ca="1" si="167">AE392+AG392</f>
        <v>0</v>
      </c>
    </row>
    <row r="393" spans="1:35" x14ac:dyDescent="0.25">
      <c r="A393">
        <f t="shared" si="147"/>
        <v>33</v>
      </c>
      <c r="B393">
        <f t="shared" si="152"/>
        <v>388</v>
      </c>
      <c r="C393" s="49">
        <f t="shared" si="146"/>
        <v>11780</v>
      </c>
      <c r="D393" s="78">
        <f>IF(C393&gt;EDATE(DATE(YEAR(SED_Origination_Date)+ SED_Amort, MONTH(SED_Origination_Date), DAY(SED_Origination_Date)),SED_Interest_Only),0,H392)</f>
        <v>0</v>
      </c>
      <c r="E393" s="78">
        <f t="shared" si="153"/>
        <v>0</v>
      </c>
      <c r="F393" s="78">
        <f>IFERROR(IF(OR(B393=0, C393&gt;=Refi_Origination_Date),0, PPMT(SED_I_Adj,'Loan Amort Table'!B393,SED_Amort_Periods,SED_Orig_Loan_Amount)),0)</f>
        <v>0</v>
      </c>
      <c r="G393" s="78" cm="1">
        <f t="array" ref="G393">IFERROR(_xlfn.IFS(C393&gt;=Refi_Origination_Date, 0, SED_Amort = 0, -D393 * SED_I_Adj, 1, IPMT(SED_I_Adj,IF(B393 = 0, 1, B393),SED_Amort_Periods,SED_Orig_Loan_Amount)),0)</f>
        <v>0</v>
      </c>
      <c r="H393" s="78">
        <f t="shared" si="145"/>
        <v>0</v>
      </c>
      <c r="J393">
        <f t="shared" si="148"/>
        <v>33</v>
      </c>
      <c r="K393">
        <f t="shared" si="154"/>
        <v>388</v>
      </c>
      <c r="L393" s="49">
        <f t="shared" si="161"/>
        <v>11780</v>
      </c>
      <c r="M393" s="78">
        <f>IF(L393&gt;EDATE(DATE(YEAR(NEW_Origination_Date)+ NEW_Amort, MONTH(NEW_Origination_Date), DAY(NEW_Origination_Date)),NEW_Interest_Only),0,Q392)</f>
        <v>0</v>
      </c>
      <c r="N393" s="78">
        <f t="shared" si="155"/>
        <v>0</v>
      </c>
      <c r="O393" s="78">
        <f>IFERROR(IF(K393=0,0, PPMT(NEW_I_Adj,'Loan Amort Table'!K393,NEW_Amort_Periods,NEW_Orig_Loan_Amount)),0)</f>
        <v>0</v>
      </c>
      <c r="P393" s="78">
        <f>IFERROR(IF(NEW_Amort = 0, -M393* NEW_I_Adj,IPMT(NEW_I_Adj,IF(K393 = 0, 1, K393),NEW_Amort_Periods,NEW_Orig_Loan_Amount)),0)</f>
        <v>0</v>
      </c>
      <c r="Q393" s="78">
        <f t="shared" si="156"/>
        <v>0</v>
      </c>
      <c r="S393">
        <f t="shared" si="149"/>
        <v>33</v>
      </c>
      <c r="T393">
        <f t="shared" si="157"/>
        <v>388</v>
      </c>
      <c r="U393" s="49">
        <f t="shared" si="162"/>
        <v>11780</v>
      </c>
      <c r="V393" s="78">
        <f t="shared" si="158"/>
        <v>0</v>
      </c>
      <c r="W393" s="78">
        <f t="shared" ca="1" si="163"/>
        <v>0</v>
      </c>
      <c r="X393" s="78">
        <f>IFERROR(IF(OR(T393=0, U393&gt;=Refi_Origination_Date),0, PPMT(Mezz_I_Adj,'Loan Amort Table'!T393,Mezz_Amort_Periods,Mezz_Orig_Loan_Amount)),0)</f>
        <v>0</v>
      </c>
      <c r="Y393" s="78" cm="1">
        <f t="array" aca="1" ref="Y393" ca="1">IFERROR(_xlfn.IFS(U393&gt;=Refi_Origination_Date,0, Mezz_Amort = 0, -V393 * Mezz_I_Adj, 1, IPMT(Mezz_I_Adj,IF(T393 = 0, 1, T393),Mezz_Amort_Periods,Mezz_Orig_Loan_Amount)),0)</f>
        <v>0</v>
      </c>
      <c r="Z393" s="78">
        <f t="shared" si="164"/>
        <v>0</v>
      </c>
      <c r="AB393">
        <f t="shared" si="150"/>
        <v>33</v>
      </c>
      <c r="AC393">
        <f t="shared" si="159"/>
        <v>388</v>
      </c>
      <c r="AD393" s="49">
        <f t="shared" si="165"/>
        <v>11780</v>
      </c>
      <c r="AE393" s="78">
        <f t="shared" si="160"/>
        <v>0</v>
      </c>
      <c r="AF393" s="78">
        <f t="shared" ca="1" si="166"/>
        <v>0</v>
      </c>
      <c r="AG393" s="78">
        <f ca="1">IFERROR(IF(AC393=0,0, PPMT(Refi_I_Adj,'Loan Amort Table'!AC393,Refi_Amort_Periods,Refi_Orig_Loan_Amount)),0)</f>
        <v>0</v>
      </c>
      <c r="AH393" s="78">
        <f t="shared" ca="1" si="151"/>
        <v>0</v>
      </c>
      <c r="AI393" s="78">
        <f t="shared" ca="1" si="167"/>
        <v>0</v>
      </c>
    </row>
    <row r="394" spans="1:35" x14ac:dyDescent="0.25">
      <c r="A394">
        <f t="shared" si="147"/>
        <v>33</v>
      </c>
      <c r="B394">
        <f t="shared" si="152"/>
        <v>389</v>
      </c>
      <c r="C394" s="49">
        <f t="shared" si="146"/>
        <v>11810</v>
      </c>
      <c r="D394" s="78">
        <f>IF(C394&gt;EDATE(DATE(YEAR(SED_Origination_Date)+ SED_Amort, MONTH(SED_Origination_Date), DAY(SED_Origination_Date)),SED_Interest_Only),0,H393)</f>
        <v>0</v>
      </c>
      <c r="E394" s="78">
        <f t="shared" si="153"/>
        <v>0</v>
      </c>
      <c r="F394" s="78">
        <f>IFERROR(IF(OR(B394=0, C394&gt;=Refi_Origination_Date),0, PPMT(SED_I_Adj,'Loan Amort Table'!B394,SED_Amort_Periods,SED_Orig_Loan_Amount)),0)</f>
        <v>0</v>
      </c>
      <c r="G394" s="78" cm="1">
        <f t="array" ref="G394">IFERROR(_xlfn.IFS(C394&gt;=Refi_Origination_Date, 0, SED_Amort = 0, -D394 * SED_I_Adj, 1, IPMT(SED_I_Adj,IF(B394 = 0, 1, B394),SED_Amort_Periods,SED_Orig_Loan_Amount)),0)</f>
        <v>0</v>
      </c>
      <c r="H394" s="78">
        <f t="shared" si="145"/>
        <v>0</v>
      </c>
      <c r="J394">
        <f t="shared" si="148"/>
        <v>33</v>
      </c>
      <c r="K394">
        <f t="shared" si="154"/>
        <v>389</v>
      </c>
      <c r="L394" s="49">
        <f t="shared" si="161"/>
        <v>11810</v>
      </c>
      <c r="M394" s="78">
        <f>IF(L394&gt;EDATE(DATE(YEAR(NEW_Origination_Date)+ NEW_Amort, MONTH(NEW_Origination_Date), DAY(NEW_Origination_Date)),NEW_Interest_Only),0,Q393)</f>
        <v>0</v>
      </c>
      <c r="N394" s="78">
        <f t="shared" si="155"/>
        <v>0</v>
      </c>
      <c r="O394" s="78">
        <f>IFERROR(IF(K394=0,0, PPMT(NEW_I_Adj,'Loan Amort Table'!K394,NEW_Amort_Periods,NEW_Orig_Loan_Amount)),0)</f>
        <v>0</v>
      </c>
      <c r="P394" s="78">
        <f>IFERROR(IF(NEW_Amort = 0, -M394* NEW_I_Adj,IPMT(NEW_I_Adj,IF(K394 = 0, 1, K394),NEW_Amort_Periods,NEW_Orig_Loan_Amount)),0)</f>
        <v>0</v>
      </c>
      <c r="Q394" s="78">
        <f t="shared" si="156"/>
        <v>0</v>
      </c>
      <c r="S394">
        <f t="shared" si="149"/>
        <v>33</v>
      </c>
      <c r="T394">
        <f t="shared" si="157"/>
        <v>389</v>
      </c>
      <c r="U394" s="49">
        <f t="shared" si="162"/>
        <v>11810</v>
      </c>
      <c r="V394" s="78">
        <f t="shared" si="158"/>
        <v>0</v>
      </c>
      <c r="W394" s="78">
        <f t="shared" ca="1" si="163"/>
        <v>0</v>
      </c>
      <c r="X394" s="78">
        <f>IFERROR(IF(OR(T394=0, U394&gt;=Refi_Origination_Date),0, PPMT(Mezz_I_Adj,'Loan Amort Table'!T394,Mezz_Amort_Periods,Mezz_Orig_Loan_Amount)),0)</f>
        <v>0</v>
      </c>
      <c r="Y394" s="78" cm="1">
        <f t="array" aca="1" ref="Y394" ca="1">IFERROR(_xlfn.IFS(U394&gt;=Refi_Origination_Date,0, Mezz_Amort = 0, -V394 * Mezz_I_Adj, 1, IPMT(Mezz_I_Adj,IF(T394 = 0, 1, T394),Mezz_Amort_Periods,Mezz_Orig_Loan_Amount)),0)</f>
        <v>0</v>
      </c>
      <c r="Z394" s="78">
        <f t="shared" si="164"/>
        <v>0</v>
      </c>
      <c r="AB394">
        <f t="shared" si="150"/>
        <v>33</v>
      </c>
      <c r="AC394">
        <f t="shared" si="159"/>
        <v>389</v>
      </c>
      <c r="AD394" s="49">
        <f t="shared" si="165"/>
        <v>11810</v>
      </c>
      <c r="AE394" s="78">
        <f t="shared" si="160"/>
        <v>0</v>
      </c>
      <c r="AF394" s="78">
        <f t="shared" ca="1" si="166"/>
        <v>0</v>
      </c>
      <c r="AG394" s="78">
        <f ca="1">IFERROR(IF(AC394=0,0, PPMT(Refi_I_Adj,'Loan Amort Table'!AC394,Refi_Amort_Periods,Refi_Orig_Loan_Amount)),0)</f>
        <v>0</v>
      </c>
      <c r="AH394" s="78">
        <f t="shared" ca="1" si="151"/>
        <v>0</v>
      </c>
      <c r="AI394" s="78">
        <f t="shared" ca="1" si="167"/>
        <v>0</v>
      </c>
    </row>
    <row r="395" spans="1:35" x14ac:dyDescent="0.25">
      <c r="A395">
        <f t="shared" si="147"/>
        <v>33</v>
      </c>
      <c r="B395">
        <f t="shared" si="152"/>
        <v>390</v>
      </c>
      <c r="C395" s="49">
        <f t="shared" si="146"/>
        <v>11841</v>
      </c>
      <c r="D395" s="78">
        <f>IF(C395&gt;EDATE(DATE(YEAR(SED_Origination_Date)+ SED_Amort, MONTH(SED_Origination_Date), DAY(SED_Origination_Date)),SED_Interest_Only),0,H394)</f>
        <v>0</v>
      </c>
      <c r="E395" s="78">
        <f t="shared" si="153"/>
        <v>0</v>
      </c>
      <c r="F395" s="78">
        <f>IFERROR(IF(OR(B395=0, C395&gt;=Refi_Origination_Date),0, PPMT(SED_I_Adj,'Loan Amort Table'!B395,SED_Amort_Periods,SED_Orig_Loan_Amount)),0)</f>
        <v>0</v>
      </c>
      <c r="G395" s="78" cm="1">
        <f t="array" ref="G395">IFERROR(_xlfn.IFS(C395&gt;=Refi_Origination_Date, 0, SED_Amort = 0, -D395 * SED_I_Adj, 1, IPMT(SED_I_Adj,IF(B395 = 0, 1, B395),SED_Amort_Periods,SED_Orig_Loan_Amount)),0)</f>
        <v>0</v>
      </c>
      <c r="H395" s="78">
        <f t="shared" ref="H395:H458" si="168">D395+F395</f>
        <v>0</v>
      </c>
      <c r="J395">
        <f t="shared" si="148"/>
        <v>33</v>
      </c>
      <c r="K395">
        <f t="shared" si="154"/>
        <v>390</v>
      </c>
      <c r="L395" s="49">
        <f t="shared" si="161"/>
        <v>11841</v>
      </c>
      <c r="M395" s="78">
        <f>IF(L395&gt;EDATE(DATE(YEAR(NEW_Origination_Date)+ NEW_Amort, MONTH(NEW_Origination_Date), DAY(NEW_Origination_Date)),NEW_Interest_Only),0,Q394)</f>
        <v>0</v>
      </c>
      <c r="N395" s="78">
        <f t="shared" si="155"/>
        <v>0</v>
      </c>
      <c r="O395" s="78">
        <f>IFERROR(IF(K395=0,0, PPMT(NEW_I_Adj,'Loan Amort Table'!K395,NEW_Amort_Periods,NEW_Orig_Loan_Amount)),0)</f>
        <v>0</v>
      </c>
      <c r="P395" s="78">
        <f>IFERROR(IF(NEW_Amort = 0, -M395* NEW_I_Adj,IPMT(NEW_I_Adj,IF(K395 = 0, 1, K395),NEW_Amort_Periods,NEW_Orig_Loan_Amount)),0)</f>
        <v>0</v>
      </c>
      <c r="Q395" s="78">
        <f t="shared" si="156"/>
        <v>0</v>
      </c>
      <c r="S395">
        <f t="shared" si="149"/>
        <v>33</v>
      </c>
      <c r="T395">
        <f t="shared" si="157"/>
        <v>390</v>
      </c>
      <c r="U395" s="49">
        <f t="shared" si="162"/>
        <v>11841</v>
      </c>
      <c r="V395" s="78">
        <f t="shared" si="158"/>
        <v>0</v>
      </c>
      <c r="W395" s="78">
        <f t="shared" ca="1" si="163"/>
        <v>0</v>
      </c>
      <c r="X395" s="78">
        <f>IFERROR(IF(OR(T395=0, U395&gt;=Refi_Origination_Date),0, PPMT(Mezz_I_Adj,'Loan Amort Table'!T395,Mezz_Amort_Periods,Mezz_Orig_Loan_Amount)),0)</f>
        <v>0</v>
      </c>
      <c r="Y395" s="78" cm="1">
        <f t="array" aca="1" ref="Y395" ca="1">IFERROR(_xlfn.IFS(U395&gt;=Refi_Origination_Date,0, Mezz_Amort = 0, -V395 * Mezz_I_Adj, 1, IPMT(Mezz_I_Adj,IF(T395 = 0, 1, T395),Mezz_Amort_Periods,Mezz_Orig_Loan_Amount)),0)</f>
        <v>0</v>
      </c>
      <c r="Z395" s="78">
        <f t="shared" si="164"/>
        <v>0</v>
      </c>
      <c r="AB395">
        <f t="shared" si="150"/>
        <v>33</v>
      </c>
      <c r="AC395">
        <f t="shared" si="159"/>
        <v>390</v>
      </c>
      <c r="AD395" s="49">
        <f t="shared" si="165"/>
        <v>11841</v>
      </c>
      <c r="AE395" s="78">
        <f t="shared" si="160"/>
        <v>0</v>
      </c>
      <c r="AF395" s="78">
        <f t="shared" ca="1" si="166"/>
        <v>0</v>
      </c>
      <c r="AG395" s="78">
        <f ca="1">IFERROR(IF(AC395=0,0, PPMT(Refi_I_Adj,'Loan Amort Table'!AC395,Refi_Amort_Periods,Refi_Orig_Loan_Amount)),0)</f>
        <v>0</v>
      </c>
      <c r="AH395" s="78">
        <f t="shared" ca="1" si="151"/>
        <v>0</v>
      </c>
      <c r="AI395" s="78">
        <f t="shared" ca="1" si="167"/>
        <v>0</v>
      </c>
    </row>
    <row r="396" spans="1:35" x14ac:dyDescent="0.25">
      <c r="A396">
        <f t="shared" si="147"/>
        <v>33</v>
      </c>
      <c r="B396">
        <f t="shared" si="152"/>
        <v>391</v>
      </c>
      <c r="C396" s="49">
        <f t="shared" si="146"/>
        <v>11871</v>
      </c>
      <c r="D396" s="78">
        <f>IF(C396&gt;EDATE(DATE(YEAR(SED_Origination_Date)+ SED_Amort, MONTH(SED_Origination_Date), DAY(SED_Origination_Date)),SED_Interest_Only),0,H395)</f>
        <v>0</v>
      </c>
      <c r="E396" s="78">
        <f t="shared" si="153"/>
        <v>0</v>
      </c>
      <c r="F396" s="78">
        <f>IFERROR(IF(OR(B396=0, C396&gt;=Refi_Origination_Date),0, PPMT(SED_I_Adj,'Loan Amort Table'!B396,SED_Amort_Periods,SED_Orig_Loan_Amount)),0)</f>
        <v>0</v>
      </c>
      <c r="G396" s="78" cm="1">
        <f t="array" ref="G396">IFERROR(_xlfn.IFS(C396&gt;=Refi_Origination_Date, 0, SED_Amort = 0, -D396 * SED_I_Adj, 1, IPMT(SED_I_Adj,IF(B396 = 0, 1, B396),SED_Amort_Periods,SED_Orig_Loan_Amount)),0)</f>
        <v>0</v>
      </c>
      <c r="H396" s="78">
        <f t="shared" si="168"/>
        <v>0</v>
      </c>
      <c r="J396">
        <f t="shared" si="148"/>
        <v>33</v>
      </c>
      <c r="K396">
        <f t="shared" si="154"/>
        <v>391</v>
      </c>
      <c r="L396" s="49">
        <f t="shared" si="161"/>
        <v>11871</v>
      </c>
      <c r="M396" s="78">
        <f>IF(L396&gt;EDATE(DATE(YEAR(NEW_Origination_Date)+ NEW_Amort, MONTH(NEW_Origination_Date), DAY(NEW_Origination_Date)),NEW_Interest_Only),0,Q395)</f>
        <v>0</v>
      </c>
      <c r="N396" s="78">
        <f t="shared" si="155"/>
        <v>0</v>
      </c>
      <c r="O396" s="78">
        <f>IFERROR(IF(K396=0,0, PPMT(NEW_I_Adj,'Loan Amort Table'!K396,NEW_Amort_Periods,NEW_Orig_Loan_Amount)),0)</f>
        <v>0</v>
      </c>
      <c r="P396" s="78">
        <f>IFERROR(IF(NEW_Amort = 0, -M396* NEW_I_Adj,IPMT(NEW_I_Adj,IF(K396 = 0, 1, K396),NEW_Amort_Periods,NEW_Orig_Loan_Amount)),0)</f>
        <v>0</v>
      </c>
      <c r="Q396" s="78">
        <f t="shared" si="156"/>
        <v>0</v>
      </c>
      <c r="S396">
        <f t="shared" si="149"/>
        <v>33</v>
      </c>
      <c r="T396">
        <f t="shared" si="157"/>
        <v>391</v>
      </c>
      <c r="U396" s="49">
        <f t="shared" si="162"/>
        <v>11871</v>
      </c>
      <c r="V396" s="78">
        <f t="shared" si="158"/>
        <v>0</v>
      </c>
      <c r="W396" s="78">
        <f t="shared" ca="1" si="163"/>
        <v>0</v>
      </c>
      <c r="X396" s="78">
        <f>IFERROR(IF(OR(T396=0, U396&gt;=Refi_Origination_Date),0, PPMT(Mezz_I_Adj,'Loan Amort Table'!T396,Mezz_Amort_Periods,Mezz_Orig_Loan_Amount)),0)</f>
        <v>0</v>
      </c>
      <c r="Y396" s="78" cm="1">
        <f t="array" aca="1" ref="Y396" ca="1">IFERROR(_xlfn.IFS(U396&gt;=Refi_Origination_Date,0, Mezz_Amort = 0, -V396 * Mezz_I_Adj, 1, IPMT(Mezz_I_Adj,IF(T396 = 0, 1, T396),Mezz_Amort_Periods,Mezz_Orig_Loan_Amount)),0)</f>
        <v>0</v>
      </c>
      <c r="Z396" s="78">
        <f t="shared" si="164"/>
        <v>0</v>
      </c>
      <c r="AB396">
        <f t="shared" si="150"/>
        <v>33</v>
      </c>
      <c r="AC396">
        <f t="shared" si="159"/>
        <v>391</v>
      </c>
      <c r="AD396" s="49">
        <f t="shared" si="165"/>
        <v>11871</v>
      </c>
      <c r="AE396" s="78">
        <f t="shared" si="160"/>
        <v>0</v>
      </c>
      <c r="AF396" s="78">
        <f t="shared" ca="1" si="166"/>
        <v>0</v>
      </c>
      <c r="AG396" s="78">
        <f ca="1">IFERROR(IF(AC396=0,0, PPMT(Refi_I_Adj,'Loan Amort Table'!AC396,Refi_Amort_Periods,Refi_Orig_Loan_Amount)),0)</f>
        <v>0</v>
      </c>
      <c r="AH396" s="78">
        <f t="shared" ca="1" si="151"/>
        <v>0</v>
      </c>
      <c r="AI396" s="78">
        <f t="shared" ca="1" si="167"/>
        <v>0</v>
      </c>
    </row>
    <row r="397" spans="1:35" x14ac:dyDescent="0.25">
      <c r="A397">
        <f t="shared" si="147"/>
        <v>33</v>
      </c>
      <c r="B397">
        <f t="shared" si="152"/>
        <v>392</v>
      </c>
      <c r="C397" s="49">
        <f t="shared" si="146"/>
        <v>11902</v>
      </c>
      <c r="D397" s="78">
        <f>IF(C397&gt;EDATE(DATE(YEAR(SED_Origination_Date)+ SED_Amort, MONTH(SED_Origination_Date), DAY(SED_Origination_Date)),SED_Interest_Only),0,H396)</f>
        <v>0</v>
      </c>
      <c r="E397" s="78">
        <f t="shared" si="153"/>
        <v>0</v>
      </c>
      <c r="F397" s="78">
        <f>IFERROR(IF(OR(B397=0, C397&gt;=Refi_Origination_Date),0, PPMT(SED_I_Adj,'Loan Amort Table'!B397,SED_Amort_Periods,SED_Orig_Loan_Amount)),0)</f>
        <v>0</v>
      </c>
      <c r="G397" s="78" cm="1">
        <f t="array" ref="G397">IFERROR(_xlfn.IFS(C397&gt;=Refi_Origination_Date, 0, SED_Amort = 0, -D397 * SED_I_Adj, 1, IPMT(SED_I_Adj,IF(B397 = 0, 1, B397),SED_Amort_Periods,SED_Orig_Loan_Amount)),0)</f>
        <v>0</v>
      </c>
      <c r="H397" s="78">
        <f t="shared" si="168"/>
        <v>0</v>
      </c>
      <c r="J397">
        <f t="shared" si="148"/>
        <v>33</v>
      </c>
      <c r="K397">
        <f t="shared" si="154"/>
        <v>392</v>
      </c>
      <c r="L397" s="49">
        <f t="shared" si="161"/>
        <v>11902</v>
      </c>
      <c r="M397" s="78">
        <f>IF(L397&gt;EDATE(DATE(YEAR(NEW_Origination_Date)+ NEW_Amort, MONTH(NEW_Origination_Date), DAY(NEW_Origination_Date)),NEW_Interest_Only),0,Q396)</f>
        <v>0</v>
      </c>
      <c r="N397" s="78">
        <f t="shared" si="155"/>
        <v>0</v>
      </c>
      <c r="O397" s="78">
        <f>IFERROR(IF(K397=0,0, PPMT(NEW_I_Adj,'Loan Amort Table'!K397,NEW_Amort_Periods,NEW_Orig_Loan_Amount)),0)</f>
        <v>0</v>
      </c>
      <c r="P397" s="78">
        <f>IFERROR(IF(NEW_Amort = 0, -M397* NEW_I_Adj,IPMT(NEW_I_Adj,IF(K397 = 0, 1, K397),NEW_Amort_Periods,NEW_Orig_Loan_Amount)),0)</f>
        <v>0</v>
      </c>
      <c r="Q397" s="78">
        <f t="shared" si="156"/>
        <v>0</v>
      </c>
      <c r="S397">
        <f t="shared" si="149"/>
        <v>33</v>
      </c>
      <c r="T397">
        <f t="shared" si="157"/>
        <v>392</v>
      </c>
      <c r="U397" s="49">
        <f t="shared" si="162"/>
        <v>11902</v>
      </c>
      <c r="V397" s="78">
        <f t="shared" si="158"/>
        <v>0</v>
      </c>
      <c r="W397" s="78">
        <f t="shared" ca="1" si="163"/>
        <v>0</v>
      </c>
      <c r="X397" s="78">
        <f>IFERROR(IF(OR(T397=0, U397&gt;=Refi_Origination_Date),0, PPMT(Mezz_I_Adj,'Loan Amort Table'!T397,Mezz_Amort_Periods,Mezz_Orig_Loan_Amount)),0)</f>
        <v>0</v>
      </c>
      <c r="Y397" s="78" cm="1">
        <f t="array" aca="1" ref="Y397" ca="1">IFERROR(_xlfn.IFS(U397&gt;=Refi_Origination_Date,0, Mezz_Amort = 0, -V397 * Mezz_I_Adj, 1, IPMT(Mezz_I_Adj,IF(T397 = 0, 1, T397),Mezz_Amort_Periods,Mezz_Orig_Loan_Amount)),0)</f>
        <v>0</v>
      </c>
      <c r="Z397" s="78">
        <f t="shared" si="164"/>
        <v>0</v>
      </c>
      <c r="AB397">
        <f t="shared" si="150"/>
        <v>33</v>
      </c>
      <c r="AC397">
        <f t="shared" si="159"/>
        <v>392</v>
      </c>
      <c r="AD397" s="49">
        <f t="shared" si="165"/>
        <v>11902</v>
      </c>
      <c r="AE397" s="78">
        <f t="shared" si="160"/>
        <v>0</v>
      </c>
      <c r="AF397" s="78">
        <f t="shared" ca="1" si="166"/>
        <v>0</v>
      </c>
      <c r="AG397" s="78">
        <f ca="1">IFERROR(IF(AC397=0,0, PPMT(Refi_I_Adj,'Loan Amort Table'!AC397,Refi_Amort_Periods,Refi_Orig_Loan_Amount)),0)</f>
        <v>0</v>
      </c>
      <c r="AH397" s="78">
        <f t="shared" ca="1" si="151"/>
        <v>0</v>
      </c>
      <c r="AI397" s="78">
        <f t="shared" ca="1" si="167"/>
        <v>0</v>
      </c>
    </row>
    <row r="398" spans="1:35" x14ac:dyDescent="0.25">
      <c r="A398">
        <f t="shared" si="147"/>
        <v>33</v>
      </c>
      <c r="B398">
        <f t="shared" si="152"/>
        <v>393</v>
      </c>
      <c r="C398" s="49">
        <f t="shared" si="146"/>
        <v>11933</v>
      </c>
      <c r="D398" s="78">
        <f>IF(C398&gt;EDATE(DATE(YEAR(SED_Origination_Date)+ SED_Amort, MONTH(SED_Origination_Date), DAY(SED_Origination_Date)),SED_Interest_Only),0,H397)</f>
        <v>0</v>
      </c>
      <c r="E398" s="78">
        <f t="shared" si="153"/>
        <v>0</v>
      </c>
      <c r="F398" s="78">
        <f>IFERROR(IF(OR(B398=0, C398&gt;=Refi_Origination_Date),0, PPMT(SED_I_Adj,'Loan Amort Table'!B398,SED_Amort_Periods,SED_Orig_Loan_Amount)),0)</f>
        <v>0</v>
      </c>
      <c r="G398" s="78" cm="1">
        <f t="array" ref="G398">IFERROR(_xlfn.IFS(C398&gt;=Refi_Origination_Date, 0, SED_Amort = 0, -D398 * SED_I_Adj, 1, IPMT(SED_I_Adj,IF(B398 = 0, 1, B398),SED_Amort_Periods,SED_Orig_Loan_Amount)),0)</f>
        <v>0</v>
      </c>
      <c r="H398" s="78">
        <f t="shared" si="168"/>
        <v>0</v>
      </c>
      <c r="J398">
        <f t="shared" si="148"/>
        <v>33</v>
      </c>
      <c r="K398">
        <f t="shared" si="154"/>
        <v>393</v>
      </c>
      <c r="L398" s="49">
        <f t="shared" si="161"/>
        <v>11933</v>
      </c>
      <c r="M398" s="78">
        <f>IF(L398&gt;EDATE(DATE(YEAR(NEW_Origination_Date)+ NEW_Amort, MONTH(NEW_Origination_Date), DAY(NEW_Origination_Date)),NEW_Interest_Only),0,Q397)</f>
        <v>0</v>
      </c>
      <c r="N398" s="78">
        <f t="shared" si="155"/>
        <v>0</v>
      </c>
      <c r="O398" s="78">
        <f>IFERROR(IF(K398=0,0, PPMT(NEW_I_Adj,'Loan Amort Table'!K398,NEW_Amort_Periods,NEW_Orig_Loan_Amount)),0)</f>
        <v>0</v>
      </c>
      <c r="P398" s="78">
        <f>IFERROR(IF(NEW_Amort = 0, -M398* NEW_I_Adj,IPMT(NEW_I_Adj,IF(K398 = 0, 1, K398),NEW_Amort_Periods,NEW_Orig_Loan_Amount)),0)</f>
        <v>0</v>
      </c>
      <c r="Q398" s="78">
        <f t="shared" si="156"/>
        <v>0</v>
      </c>
      <c r="S398">
        <f t="shared" si="149"/>
        <v>33</v>
      </c>
      <c r="T398">
        <f t="shared" si="157"/>
        <v>393</v>
      </c>
      <c r="U398" s="49">
        <f t="shared" si="162"/>
        <v>11933</v>
      </c>
      <c r="V398" s="78">
        <f t="shared" si="158"/>
        <v>0</v>
      </c>
      <c r="W398" s="78">
        <f t="shared" ca="1" si="163"/>
        <v>0</v>
      </c>
      <c r="X398" s="78">
        <f>IFERROR(IF(OR(T398=0, U398&gt;=Refi_Origination_Date),0, PPMT(Mezz_I_Adj,'Loan Amort Table'!T398,Mezz_Amort_Periods,Mezz_Orig_Loan_Amount)),0)</f>
        <v>0</v>
      </c>
      <c r="Y398" s="78" cm="1">
        <f t="array" aca="1" ref="Y398" ca="1">IFERROR(_xlfn.IFS(U398&gt;=Refi_Origination_Date,0, Mezz_Amort = 0, -V398 * Mezz_I_Adj, 1, IPMT(Mezz_I_Adj,IF(T398 = 0, 1, T398),Mezz_Amort_Periods,Mezz_Orig_Loan_Amount)),0)</f>
        <v>0</v>
      </c>
      <c r="Z398" s="78">
        <f t="shared" si="164"/>
        <v>0</v>
      </c>
      <c r="AB398">
        <f t="shared" si="150"/>
        <v>33</v>
      </c>
      <c r="AC398">
        <f t="shared" si="159"/>
        <v>393</v>
      </c>
      <c r="AD398" s="49">
        <f t="shared" si="165"/>
        <v>11933</v>
      </c>
      <c r="AE398" s="78">
        <f t="shared" si="160"/>
        <v>0</v>
      </c>
      <c r="AF398" s="78">
        <f t="shared" ca="1" si="166"/>
        <v>0</v>
      </c>
      <c r="AG398" s="78">
        <f ca="1">IFERROR(IF(AC398=0,0, PPMT(Refi_I_Adj,'Loan Amort Table'!AC398,Refi_Amort_Periods,Refi_Orig_Loan_Amount)),0)</f>
        <v>0</v>
      </c>
      <c r="AH398" s="78">
        <f t="shared" ca="1" si="151"/>
        <v>0</v>
      </c>
      <c r="AI398" s="78">
        <f t="shared" ca="1" si="167"/>
        <v>0</v>
      </c>
    </row>
    <row r="399" spans="1:35" x14ac:dyDescent="0.25">
      <c r="A399">
        <f t="shared" si="147"/>
        <v>33</v>
      </c>
      <c r="B399">
        <f t="shared" si="152"/>
        <v>394</v>
      </c>
      <c r="C399" s="49">
        <f t="shared" si="146"/>
        <v>11963</v>
      </c>
      <c r="D399" s="78">
        <f>IF(C399&gt;EDATE(DATE(YEAR(SED_Origination_Date)+ SED_Amort, MONTH(SED_Origination_Date), DAY(SED_Origination_Date)),SED_Interest_Only),0,H398)</f>
        <v>0</v>
      </c>
      <c r="E399" s="78">
        <f t="shared" si="153"/>
        <v>0</v>
      </c>
      <c r="F399" s="78">
        <f>IFERROR(IF(OR(B399=0, C399&gt;=Refi_Origination_Date),0, PPMT(SED_I_Adj,'Loan Amort Table'!B399,SED_Amort_Periods,SED_Orig_Loan_Amount)),0)</f>
        <v>0</v>
      </c>
      <c r="G399" s="78" cm="1">
        <f t="array" ref="G399">IFERROR(_xlfn.IFS(C399&gt;=Refi_Origination_Date, 0, SED_Amort = 0, -D399 * SED_I_Adj, 1, IPMT(SED_I_Adj,IF(B399 = 0, 1, B399),SED_Amort_Periods,SED_Orig_Loan_Amount)),0)</f>
        <v>0</v>
      </c>
      <c r="H399" s="78">
        <f t="shared" si="168"/>
        <v>0</v>
      </c>
      <c r="J399">
        <f t="shared" si="148"/>
        <v>33</v>
      </c>
      <c r="K399">
        <f t="shared" si="154"/>
        <v>394</v>
      </c>
      <c r="L399" s="49">
        <f t="shared" si="161"/>
        <v>11963</v>
      </c>
      <c r="M399" s="78">
        <f>IF(L399&gt;EDATE(DATE(YEAR(NEW_Origination_Date)+ NEW_Amort, MONTH(NEW_Origination_Date), DAY(NEW_Origination_Date)),NEW_Interest_Only),0,Q398)</f>
        <v>0</v>
      </c>
      <c r="N399" s="78">
        <f t="shared" si="155"/>
        <v>0</v>
      </c>
      <c r="O399" s="78">
        <f>IFERROR(IF(K399=0,0, PPMT(NEW_I_Adj,'Loan Amort Table'!K399,NEW_Amort_Periods,NEW_Orig_Loan_Amount)),0)</f>
        <v>0</v>
      </c>
      <c r="P399" s="78">
        <f>IFERROR(IF(NEW_Amort = 0, -M399* NEW_I_Adj,IPMT(NEW_I_Adj,IF(K399 = 0, 1, K399),NEW_Amort_Periods,NEW_Orig_Loan_Amount)),0)</f>
        <v>0</v>
      </c>
      <c r="Q399" s="78">
        <f t="shared" si="156"/>
        <v>0</v>
      </c>
      <c r="S399">
        <f t="shared" si="149"/>
        <v>33</v>
      </c>
      <c r="T399">
        <f t="shared" si="157"/>
        <v>394</v>
      </c>
      <c r="U399" s="49">
        <f t="shared" si="162"/>
        <v>11963</v>
      </c>
      <c r="V399" s="78">
        <f t="shared" si="158"/>
        <v>0</v>
      </c>
      <c r="W399" s="78">
        <f t="shared" ca="1" si="163"/>
        <v>0</v>
      </c>
      <c r="X399" s="78">
        <f>IFERROR(IF(OR(T399=0, U399&gt;=Refi_Origination_Date),0, PPMT(Mezz_I_Adj,'Loan Amort Table'!T399,Mezz_Amort_Periods,Mezz_Orig_Loan_Amount)),0)</f>
        <v>0</v>
      </c>
      <c r="Y399" s="78" cm="1">
        <f t="array" aca="1" ref="Y399" ca="1">IFERROR(_xlfn.IFS(U399&gt;=Refi_Origination_Date,0, Mezz_Amort = 0, -V399 * Mezz_I_Adj, 1, IPMT(Mezz_I_Adj,IF(T399 = 0, 1, T399),Mezz_Amort_Periods,Mezz_Orig_Loan_Amount)),0)</f>
        <v>0</v>
      </c>
      <c r="Z399" s="78">
        <f t="shared" si="164"/>
        <v>0</v>
      </c>
      <c r="AB399">
        <f t="shared" si="150"/>
        <v>33</v>
      </c>
      <c r="AC399">
        <f t="shared" si="159"/>
        <v>394</v>
      </c>
      <c r="AD399" s="49">
        <f t="shared" si="165"/>
        <v>11963</v>
      </c>
      <c r="AE399" s="78">
        <f t="shared" si="160"/>
        <v>0</v>
      </c>
      <c r="AF399" s="78">
        <f t="shared" ca="1" si="166"/>
        <v>0</v>
      </c>
      <c r="AG399" s="78">
        <f ca="1">IFERROR(IF(AC399=0,0, PPMT(Refi_I_Adj,'Loan Amort Table'!AC399,Refi_Amort_Periods,Refi_Orig_Loan_Amount)),0)</f>
        <v>0</v>
      </c>
      <c r="AH399" s="78">
        <f t="shared" ca="1" si="151"/>
        <v>0</v>
      </c>
      <c r="AI399" s="78">
        <f t="shared" ca="1" si="167"/>
        <v>0</v>
      </c>
    </row>
    <row r="400" spans="1:35" x14ac:dyDescent="0.25">
      <c r="A400">
        <f t="shared" si="147"/>
        <v>33</v>
      </c>
      <c r="B400">
        <f t="shared" si="152"/>
        <v>395</v>
      </c>
      <c r="C400" s="49">
        <f t="shared" si="146"/>
        <v>11994</v>
      </c>
      <c r="D400" s="78">
        <f>IF(C400&gt;EDATE(DATE(YEAR(SED_Origination_Date)+ SED_Amort, MONTH(SED_Origination_Date), DAY(SED_Origination_Date)),SED_Interest_Only),0,H399)</f>
        <v>0</v>
      </c>
      <c r="E400" s="78">
        <f t="shared" si="153"/>
        <v>0</v>
      </c>
      <c r="F400" s="78">
        <f>IFERROR(IF(OR(B400=0, C400&gt;=Refi_Origination_Date),0, PPMT(SED_I_Adj,'Loan Amort Table'!B400,SED_Amort_Periods,SED_Orig_Loan_Amount)),0)</f>
        <v>0</v>
      </c>
      <c r="G400" s="78" cm="1">
        <f t="array" ref="G400">IFERROR(_xlfn.IFS(C400&gt;=Refi_Origination_Date, 0, SED_Amort = 0, -D400 * SED_I_Adj, 1, IPMT(SED_I_Adj,IF(B400 = 0, 1, B400),SED_Amort_Periods,SED_Orig_Loan_Amount)),0)</f>
        <v>0</v>
      </c>
      <c r="H400" s="78">
        <f t="shared" si="168"/>
        <v>0</v>
      </c>
      <c r="J400">
        <f t="shared" si="148"/>
        <v>33</v>
      </c>
      <c r="K400">
        <f t="shared" si="154"/>
        <v>395</v>
      </c>
      <c r="L400" s="49">
        <f t="shared" si="161"/>
        <v>11994</v>
      </c>
      <c r="M400" s="78">
        <f>IF(L400&gt;EDATE(DATE(YEAR(NEW_Origination_Date)+ NEW_Amort, MONTH(NEW_Origination_Date), DAY(NEW_Origination_Date)),NEW_Interest_Only),0,Q399)</f>
        <v>0</v>
      </c>
      <c r="N400" s="78">
        <f t="shared" si="155"/>
        <v>0</v>
      </c>
      <c r="O400" s="78">
        <f>IFERROR(IF(K400=0,0, PPMT(NEW_I_Adj,'Loan Amort Table'!K400,NEW_Amort_Periods,NEW_Orig_Loan_Amount)),0)</f>
        <v>0</v>
      </c>
      <c r="P400" s="78">
        <f>IFERROR(IF(NEW_Amort = 0, -M400* NEW_I_Adj,IPMT(NEW_I_Adj,IF(K400 = 0, 1, K400),NEW_Amort_Periods,NEW_Orig_Loan_Amount)),0)</f>
        <v>0</v>
      </c>
      <c r="Q400" s="78">
        <f t="shared" si="156"/>
        <v>0</v>
      </c>
      <c r="S400">
        <f t="shared" si="149"/>
        <v>33</v>
      </c>
      <c r="T400">
        <f t="shared" si="157"/>
        <v>395</v>
      </c>
      <c r="U400" s="49">
        <f t="shared" si="162"/>
        <v>11994</v>
      </c>
      <c r="V400" s="78">
        <f t="shared" si="158"/>
        <v>0</v>
      </c>
      <c r="W400" s="78">
        <f t="shared" ca="1" si="163"/>
        <v>0</v>
      </c>
      <c r="X400" s="78">
        <f>IFERROR(IF(OR(T400=0, U400&gt;=Refi_Origination_Date),0, PPMT(Mezz_I_Adj,'Loan Amort Table'!T400,Mezz_Amort_Periods,Mezz_Orig_Loan_Amount)),0)</f>
        <v>0</v>
      </c>
      <c r="Y400" s="78" cm="1">
        <f t="array" aca="1" ref="Y400" ca="1">IFERROR(_xlfn.IFS(U400&gt;=Refi_Origination_Date,0, Mezz_Amort = 0, -V400 * Mezz_I_Adj, 1, IPMT(Mezz_I_Adj,IF(T400 = 0, 1, T400),Mezz_Amort_Periods,Mezz_Orig_Loan_Amount)),0)</f>
        <v>0</v>
      </c>
      <c r="Z400" s="78">
        <f t="shared" si="164"/>
        <v>0</v>
      </c>
      <c r="AB400">
        <f t="shared" si="150"/>
        <v>33</v>
      </c>
      <c r="AC400">
        <f t="shared" si="159"/>
        <v>395</v>
      </c>
      <c r="AD400" s="49">
        <f t="shared" si="165"/>
        <v>11994</v>
      </c>
      <c r="AE400" s="78">
        <f t="shared" si="160"/>
        <v>0</v>
      </c>
      <c r="AF400" s="78">
        <f t="shared" ca="1" si="166"/>
        <v>0</v>
      </c>
      <c r="AG400" s="78">
        <f ca="1">IFERROR(IF(AC400=0,0, PPMT(Refi_I_Adj,'Loan Amort Table'!AC400,Refi_Amort_Periods,Refi_Orig_Loan_Amount)),0)</f>
        <v>0</v>
      </c>
      <c r="AH400" s="78">
        <f t="shared" ca="1" si="151"/>
        <v>0</v>
      </c>
      <c r="AI400" s="78">
        <f t="shared" ca="1" si="167"/>
        <v>0</v>
      </c>
    </row>
    <row r="401" spans="1:35" x14ac:dyDescent="0.25">
      <c r="A401">
        <f t="shared" si="147"/>
        <v>33</v>
      </c>
      <c r="B401">
        <f t="shared" si="152"/>
        <v>396</v>
      </c>
      <c r="C401" s="49">
        <f t="shared" si="146"/>
        <v>12024</v>
      </c>
      <c r="D401" s="78">
        <f>IF(C401&gt;EDATE(DATE(YEAR(SED_Origination_Date)+ SED_Amort, MONTH(SED_Origination_Date), DAY(SED_Origination_Date)),SED_Interest_Only),0,H400)</f>
        <v>0</v>
      </c>
      <c r="E401" s="78">
        <f t="shared" si="153"/>
        <v>0</v>
      </c>
      <c r="F401" s="78">
        <f>IFERROR(IF(OR(B401=0, C401&gt;=Refi_Origination_Date),0, PPMT(SED_I_Adj,'Loan Amort Table'!B401,SED_Amort_Periods,SED_Orig_Loan_Amount)),0)</f>
        <v>0</v>
      </c>
      <c r="G401" s="78" cm="1">
        <f t="array" ref="G401">IFERROR(_xlfn.IFS(C401&gt;=Refi_Origination_Date, 0, SED_Amort = 0, -D401 * SED_I_Adj, 1, IPMT(SED_I_Adj,IF(B401 = 0, 1, B401),SED_Amort_Periods,SED_Orig_Loan_Amount)),0)</f>
        <v>0</v>
      </c>
      <c r="H401" s="78">
        <f t="shared" si="168"/>
        <v>0</v>
      </c>
      <c r="J401">
        <f t="shared" si="148"/>
        <v>33</v>
      </c>
      <c r="K401">
        <f t="shared" si="154"/>
        <v>396</v>
      </c>
      <c r="L401" s="49">
        <f t="shared" si="161"/>
        <v>12024</v>
      </c>
      <c r="M401" s="78">
        <f>IF(L401&gt;EDATE(DATE(YEAR(NEW_Origination_Date)+ NEW_Amort, MONTH(NEW_Origination_Date), DAY(NEW_Origination_Date)),NEW_Interest_Only),0,Q400)</f>
        <v>0</v>
      </c>
      <c r="N401" s="78">
        <f t="shared" si="155"/>
        <v>0</v>
      </c>
      <c r="O401" s="78">
        <f>IFERROR(IF(K401=0,0, PPMT(NEW_I_Adj,'Loan Amort Table'!K401,NEW_Amort_Periods,NEW_Orig_Loan_Amount)),0)</f>
        <v>0</v>
      </c>
      <c r="P401" s="78">
        <f>IFERROR(IF(NEW_Amort = 0, -M401* NEW_I_Adj,IPMT(NEW_I_Adj,IF(K401 = 0, 1, K401),NEW_Amort_Periods,NEW_Orig_Loan_Amount)),0)</f>
        <v>0</v>
      </c>
      <c r="Q401" s="78">
        <f t="shared" si="156"/>
        <v>0</v>
      </c>
      <c r="S401">
        <f t="shared" si="149"/>
        <v>33</v>
      </c>
      <c r="T401">
        <f t="shared" si="157"/>
        <v>396</v>
      </c>
      <c r="U401" s="49">
        <f t="shared" si="162"/>
        <v>12024</v>
      </c>
      <c r="V401" s="78">
        <f t="shared" si="158"/>
        <v>0</v>
      </c>
      <c r="W401" s="78">
        <f t="shared" ca="1" si="163"/>
        <v>0</v>
      </c>
      <c r="X401" s="78">
        <f>IFERROR(IF(OR(T401=0, U401&gt;=Refi_Origination_Date),0, PPMT(Mezz_I_Adj,'Loan Amort Table'!T401,Mezz_Amort_Periods,Mezz_Orig_Loan_Amount)),0)</f>
        <v>0</v>
      </c>
      <c r="Y401" s="78" cm="1">
        <f t="array" aca="1" ref="Y401" ca="1">IFERROR(_xlfn.IFS(U401&gt;=Refi_Origination_Date,0, Mezz_Amort = 0, -V401 * Mezz_I_Adj, 1, IPMT(Mezz_I_Adj,IF(T401 = 0, 1, T401),Mezz_Amort_Periods,Mezz_Orig_Loan_Amount)),0)</f>
        <v>0</v>
      </c>
      <c r="Z401" s="78">
        <f t="shared" si="164"/>
        <v>0</v>
      </c>
      <c r="AB401">
        <f t="shared" si="150"/>
        <v>33</v>
      </c>
      <c r="AC401">
        <f t="shared" si="159"/>
        <v>396</v>
      </c>
      <c r="AD401" s="49">
        <f t="shared" si="165"/>
        <v>12024</v>
      </c>
      <c r="AE401" s="78">
        <f t="shared" si="160"/>
        <v>0</v>
      </c>
      <c r="AF401" s="78">
        <f t="shared" ca="1" si="166"/>
        <v>0</v>
      </c>
      <c r="AG401" s="78">
        <f ca="1">IFERROR(IF(AC401=0,0, PPMT(Refi_I_Adj,'Loan Amort Table'!AC401,Refi_Amort_Periods,Refi_Orig_Loan_Amount)),0)</f>
        <v>0</v>
      </c>
      <c r="AH401" s="78">
        <f t="shared" ca="1" si="151"/>
        <v>0</v>
      </c>
      <c r="AI401" s="78">
        <f t="shared" ca="1" si="167"/>
        <v>0</v>
      </c>
    </row>
    <row r="402" spans="1:35" x14ac:dyDescent="0.25">
      <c r="A402">
        <f t="shared" si="147"/>
        <v>34</v>
      </c>
      <c r="B402">
        <f t="shared" si="152"/>
        <v>397</v>
      </c>
      <c r="C402" s="49">
        <f t="shared" si="146"/>
        <v>12055</v>
      </c>
      <c r="D402" s="78">
        <f>IF(C402&gt;EDATE(DATE(YEAR(SED_Origination_Date)+ SED_Amort, MONTH(SED_Origination_Date), DAY(SED_Origination_Date)),SED_Interest_Only),0,H401)</f>
        <v>0</v>
      </c>
      <c r="E402" s="78">
        <f t="shared" si="153"/>
        <v>0</v>
      </c>
      <c r="F402" s="78">
        <f>IFERROR(IF(OR(B402=0, C402&gt;=Refi_Origination_Date),0, PPMT(SED_I_Adj,'Loan Amort Table'!B402,SED_Amort_Periods,SED_Orig_Loan_Amount)),0)</f>
        <v>0</v>
      </c>
      <c r="G402" s="78" cm="1">
        <f t="array" ref="G402">IFERROR(_xlfn.IFS(C402&gt;=Refi_Origination_Date, 0, SED_Amort = 0, -D402 * SED_I_Adj, 1, IPMT(SED_I_Adj,IF(B402 = 0, 1, B402),SED_Amort_Periods,SED_Orig_Loan_Amount)),0)</f>
        <v>0</v>
      </c>
      <c r="H402" s="78">
        <f t="shared" si="168"/>
        <v>0</v>
      </c>
      <c r="J402">
        <f t="shared" si="148"/>
        <v>34</v>
      </c>
      <c r="K402">
        <f t="shared" si="154"/>
        <v>397</v>
      </c>
      <c r="L402" s="49">
        <f t="shared" si="161"/>
        <v>12055</v>
      </c>
      <c r="M402" s="78">
        <f>IF(L402&gt;EDATE(DATE(YEAR(NEW_Origination_Date)+ NEW_Amort, MONTH(NEW_Origination_Date), DAY(NEW_Origination_Date)),NEW_Interest_Only),0,Q401)</f>
        <v>0</v>
      </c>
      <c r="N402" s="78">
        <f t="shared" si="155"/>
        <v>0</v>
      </c>
      <c r="O402" s="78">
        <f>IFERROR(IF(K402=0,0, PPMT(NEW_I_Adj,'Loan Amort Table'!K402,NEW_Amort_Periods,NEW_Orig_Loan_Amount)),0)</f>
        <v>0</v>
      </c>
      <c r="P402" s="78">
        <f>IFERROR(IF(NEW_Amort = 0, -M402* NEW_I_Adj,IPMT(NEW_I_Adj,IF(K402 = 0, 1, K402),NEW_Amort_Periods,NEW_Orig_Loan_Amount)),0)</f>
        <v>0</v>
      </c>
      <c r="Q402" s="78">
        <f t="shared" si="156"/>
        <v>0</v>
      </c>
      <c r="S402">
        <f t="shared" si="149"/>
        <v>34</v>
      </c>
      <c r="T402">
        <f t="shared" si="157"/>
        <v>397</v>
      </c>
      <c r="U402" s="49">
        <f t="shared" si="162"/>
        <v>12055</v>
      </c>
      <c r="V402" s="78">
        <f t="shared" si="158"/>
        <v>0</v>
      </c>
      <c r="W402" s="78">
        <f t="shared" ca="1" si="163"/>
        <v>0</v>
      </c>
      <c r="X402" s="78">
        <f>IFERROR(IF(OR(T402=0, U402&gt;=Refi_Origination_Date),0, PPMT(Mezz_I_Adj,'Loan Amort Table'!T402,Mezz_Amort_Periods,Mezz_Orig_Loan_Amount)),0)</f>
        <v>0</v>
      </c>
      <c r="Y402" s="78" cm="1">
        <f t="array" aca="1" ref="Y402" ca="1">IFERROR(_xlfn.IFS(U402&gt;=Refi_Origination_Date,0, Mezz_Amort = 0, -V402 * Mezz_I_Adj, 1, IPMT(Mezz_I_Adj,IF(T402 = 0, 1, T402),Mezz_Amort_Periods,Mezz_Orig_Loan_Amount)),0)</f>
        <v>0</v>
      </c>
      <c r="Z402" s="78">
        <f t="shared" si="164"/>
        <v>0</v>
      </c>
      <c r="AB402">
        <f t="shared" si="150"/>
        <v>34</v>
      </c>
      <c r="AC402">
        <f t="shared" si="159"/>
        <v>397</v>
      </c>
      <c r="AD402" s="49">
        <f t="shared" si="165"/>
        <v>12055</v>
      </c>
      <c r="AE402" s="78">
        <f t="shared" si="160"/>
        <v>0</v>
      </c>
      <c r="AF402" s="78">
        <f t="shared" ca="1" si="166"/>
        <v>0</v>
      </c>
      <c r="AG402" s="78">
        <f ca="1">IFERROR(IF(AC402=0,0, PPMT(Refi_I_Adj,'Loan Amort Table'!AC402,Refi_Amort_Periods,Refi_Orig_Loan_Amount)),0)</f>
        <v>0</v>
      </c>
      <c r="AH402" s="78">
        <f t="shared" ca="1" si="151"/>
        <v>0</v>
      </c>
      <c r="AI402" s="78">
        <f t="shared" ca="1" si="167"/>
        <v>0</v>
      </c>
    </row>
    <row r="403" spans="1:35" x14ac:dyDescent="0.25">
      <c r="A403">
        <f t="shared" si="147"/>
        <v>34</v>
      </c>
      <c r="B403">
        <f t="shared" si="152"/>
        <v>398</v>
      </c>
      <c r="C403" s="49">
        <f t="shared" si="146"/>
        <v>12086</v>
      </c>
      <c r="D403" s="78">
        <f>IF(C403&gt;EDATE(DATE(YEAR(SED_Origination_Date)+ SED_Amort, MONTH(SED_Origination_Date), DAY(SED_Origination_Date)),SED_Interest_Only),0,H402)</f>
        <v>0</v>
      </c>
      <c r="E403" s="78">
        <f t="shared" si="153"/>
        <v>0</v>
      </c>
      <c r="F403" s="78">
        <f>IFERROR(IF(OR(B403=0, C403&gt;=Refi_Origination_Date),0, PPMT(SED_I_Adj,'Loan Amort Table'!B403,SED_Amort_Periods,SED_Orig_Loan_Amount)),0)</f>
        <v>0</v>
      </c>
      <c r="G403" s="78" cm="1">
        <f t="array" ref="G403">IFERROR(_xlfn.IFS(C403&gt;=Refi_Origination_Date, 0, SED_Amort = 0, -D403 * SED_I_Adj, 1, IPMT(SED_I_Adj,IF(B403 = 0, 1, B403),SED_Amort_Periods,SED_Orig_Loan_Amount)),0)</f>
        <v>0</v>
      </c>
      <c r="H403" s="78">
        <f t="shared" si="168"/>
        <v>0</v>
      </c>
      <c r="J403">
        <f t="shared" si="148"/>
        <v>34</v>
      </c>
      <c r="K403">
        <f t="shared" si="154"/>
        <v>398</v>
      </c>
      <c r="L403" s="49">
        <f t="shared" si="161"/>
        <v>12086</v>
      </c>
      <c r="M403" s="78">
        <f>IF(L403&gt;EDATE(DATE(YEAR(NEW_Origination_Date)+ NEW_Amort, MONTH(NEW_Origination_Date), DAY(NEW_Origination_Date)),NEW_Interest_Only),0,Q402)</f>
        <v>0</v>
      </c>
      <c r="N403" s="78">
        <f t="shared" si="155"/>
        <v>0</v>
      </c>
      <c r="O403" s="78">
        <f>IFERROR(IF(K403=0,0, PPMT(NEW_I_Adj,'Loan Amort Table'!K403,NEW_Amort_Periods,NEW_Orig_Loan_Amount)),0)</f>
        <v>0</v>
      </c>
      <c r="P403" s="78">
        <f>IFERROR(IF(NEW_Amort = 0, -M403* NEW_I_Adj,IPMT(NEW_I_Adj,IF(K403 = 0, 1, K403),NEW_Amort_Periods,NEW_Orig_Loan_Amount)),0)</f>
        <v>0</v>
      </c>
      <c r="Q403" s="78">
        <f t="shared" si="156"/>
        <v>0</v>
      </c>
      <c r="S403">
        <f t="shared" si="149"/>
        <v>34</v>
      </c>
      <c r="T403">
        <f t="shared" si="157"/>
        <v>398</v>
      </c>
      <c r="U403" s="49">
        <f t="shared" si="162"/>
        <v>12086</v>
      </c>
      <c r="V403" s="78">
        <f t="shared" si="158"/>
        <v>0</v>
      </c>
      <c r="W403" s="78">
        <f t="shared" ca="1" si="163"/>
        <v>0</v>
      </c>
      <c r="X403" s="78">
        <f>IFERROR(IF(OR(T403=0, U403&gt;=Refi_Origination_Date),0, PPMT(Mezz_I_Adj,'Loan Amort Table'!T403,Mezz_Amort_Periods,Mezz_Orig_Loan_Amount)),0)</f>
        <v>0</v>
      </c>
      <c r="Y403" s="78" cm="1">
        <f t="array" aca="1" ref="Y403" ca="1">IFERROR(_xlfn.IFS(U403&gt;=Refi_Origination_Date,0, Mezz_Amort = 0, -V403 * Mezz_I_Adj, 1, IPMT(Mezz_I_Adj,IF(T403 = 0, 1, T403),Mezz_Amort_Periods,Mezz_Orig_Loan_Amount)),0)</f>
        <v>0</v>
      </c>
      <c r="Z403" s="78">
        <f t="shared" si="164"/>
        <v>0</v>
      </c>
      <c r="AB403">
        <f t="shared" si="150"/>
        <v>34</v>
      </c>
      <c r="AC403">
        <f t="shared" si="159"/>
        <v>398</v>
      </c>
      <c r="AD403" s="49">
        <f t="shared" si="165"/>
        <v>12086</v>
      </c>
      <c r="AE403" s="78">
        <f t="shared" si="160"/>
        <v>0</v>
      </c>
      <c r="AF403" s="78">
        <f t="shared" ca="1" si="166"/>
        <v>0</v>
      </c>
      <c r="AG403" s="78">
        <f ca="1">IFERROR(IF(AC403=0,0, PPMT(Refi_I_Adj,'Loan Amort Table'!AC403,Refi_Amort_Periods,Refi_Orig_Loan_Amount)),0)</f>
        <v>0</v>
      </c>
      <c r="AH403" s="78">
        <f t="shared" ca="1" si="151"/>
        <v>0</v>
      </c>
      <c r="AI403" s="78">
        <f t="shared" ca="1" si="167"/>
        <v>0</v>
      </c>
    </row>
    <row r="404" spans="1:35" x14ac:dyDescent="0.25">
      <c r="A404">
        <f t="shared" si="147"/>
        <v>34</v>
      </c>
      <c r="B404">
        <f t="shared" si="152"/>
        <v>399</v>
      </c>
      <c r="C404" s="49">
        <f t="shared" si="146"/>
        <v>12114</v>
      </c>
      <c r="D404" s="78">
        <f>IF(C404&gt;EDATE(DATE(YEAR(SED_Origination_Date)+ SED_Amort, MONTH(SED_Origination_Date), DAY(SED_Origination_Date)),SED_Interest_Only),0,H403)</f>
        <v>0</v>
      </c>
      <c r="E404" s="78">
        <f t="shared" si="153"/>
        <v>0</v>
      </c>
      <c r="F404" s="78">
        <f>IFERROR(IF(OR(B404=0, C404&gt;=Refi_Origination_Date),0, PPMT(SED_I_Adj,'Loan Amort Table'!B404,SED_Amort_Periods,SED_Orig_Loan_Amount)),0)</f>
        <v>0</v>
      </c>
      <c r="G404" s="78" cm="1">
        <f t="array" ref="G404">IFERROR(_xlfn.IFS(C404&gt;=Refi_Origination_Date, 0, SED_Amort = 0, -D404 * SED_I_Adj, 1, IPMT(SED_I_Adj,IF(B404 = 0, 1, B404),SED_Amort_Periods,SED_Orig_Loan_Amount)),0)</f>
        <v>0</v>
      </c>
      <c r="H404" s="78">
        <f t="shared" si="168"/>
        <v>0</v>
      </c>
      <c r="J404">
        <f t="shared" si="148"/>
        <v>34</v>
      </c>
      <c r="K404">
        <f t="shared" si="154"/>
        <v>399</v>
      </c>
      <c r="L404" s="49">
        <f t="shared" si="161"/>
        <v>12114</v>
      </c>
      <c r="M404" s="78">
        <f>IF(L404&gt;EDATE(DATE(YEAR(NEW_Origination_Date)+ NEW_Amort, MONTH(NEW_Origination_Date), DAY(NEW_Origination_Date)),NEW_Interest_Only),0,Q403)</f>
        <v>0</v>
      </c>
      <c r="N404" s="78">
        <f t="shared" si="155"/>
        <v>0</v>
      </c>
      <c r="O404" s="78">
        <f>IFERROR(IF(K404=0,0, PPMT(NEW_I_Adj,'Loan Amort Table'!K404,NEW_Amort_Periods,NEW_Orig_Loan_Amount)),0)</f>
        <v>0</v>
      </c>
      <c r="P404" s="78">
        <f>IFERROR(IF(NEW_Amort = 0, -M404* NEW_I_Adj,IPMT(NEW_I_Adj,IF(K404 = 0, 1, K404),NEW_Amort_Periods,NEW_Orig_Loan_Amount)),0)</f>
        <v>0</v>
      </c>
      <c r="Q404" s="78">
        <f t="shared" si="156"/>
        <v>0</v>
      </c>
      <c r="S404">
        <f t="shared" si="149"/>
        <v>34</v>
      </c>
      <c r="T404">
        <f t="shared" si="157"/>
        <v>399</v>
      </c>
      <c r="U404" s="49">
        <f t="shared" si="162"/>
        <v>12114</v>
      </c>
      <c r="V404" s="78">
        <f t="shared" si="158"/>
        <v>0</v>
      </c>
      <c r="W404" s="78">
        <f t="shared" ca="1" si="163"/>
        <v>0</v>
      </c>
      <c r="X404" s="78">
        <f>IFERROR(IF(OR(T404=0, U404&gt;=Refi_Origination_Date),0, PPMT(Mezz_I_Adj,'Loan Amort Table'!T404,Mezz_Amort_Periods,Mezz_Orig_Loan_Amount)),0)</f>
        <v>0</v>
      </c>
      <c r="Y404" s="78" cm="1">
        <f t="array" aca="1" ref="Y404" ca="1">IFERROR(_xlfn.IFS(U404&gt;=Refi_Origination_Date,0, Mezz_Amort = 0, -V404 * Mezz_I_Adj, 1, IPMT(Mezz_I_Adj,IF(T404 = 0, 1, T404),Mezz_Amort_Periods,Mezz_Orig_Loan_Amount)),0)</f>
        <v>0</v>
      </c>
      <c r="Z404" s="78">
        <f t="shared" si="164"/>
        <v>0</v>
      </c>
      <c r="AB404">
        <f t="shared" si="150"/>
        <v>34</v>
      </c>
      <c r="AC404">
        <f t="shared" si="159"/>
        <v>399</v>
      </c>
      <c r="AD404" s="49">
        <f t="shared" si="165"/>
        <v>12114</v>
      </c>
      <c r="AE404" s="78">
        <f t="shared" si="160"/>
        <v>0</v>
      </c>
      <c r="AF404" s="78">
        <f t="shared" ca="1" si="166"/>
        <v>0</v>
      </c>
      <c r="AG404" s="78">
        <f ca="1">IFERROR(IF(AC404=0,0, PPMT(Refi_I_Adj,'Loan Amort Table'!AC404,Refi_Amort_Periods,Refi_Orig_Loan_Amount)),0)</f>
        <v>0</v>
      </c>
      <c r="AH404" s="78">
        <f t="shared" ca="1" si="151"/>
        <v>0</v>
      </c>
      <c r="AI404" s="78">
        <f t="shared" ca="1" si="167"/>
        <v>0</v>
      </c>
    </row>
    <row r="405" spans="1:35" x14ac:dyDescent="0.25">
      <c r="A405">
        <f t="shared" si="147"/>
        <v>34</v>
      </c>
      <c r="B405">
        <f t="shared" si="152"/>
        <v>400</v>
      </c>
      <c r="C405" s="49">
        <f t="shared" si="146"/>
        <v>12145</v>
      </c>
      <c r="D405" s="78">
        <f>IF(C405&gt;EDATE(DATE(YEAR(SED_Origination_Date)+ SED_Amort, MONTH(SED_Origination_Date), DAY(SED_Origination_Date)),SED_Interest_Only),0,H404)</f>
        <v>0</v>
      </c>
      <c r="E405" s="78">
        <f t="shared" si="153"/>
        <v>0</v>
      </c>
      <c r="F405" s="78">
        <f>IFERROR(IF(OR(B405=0, C405&gt;=Refi_Origination_Date),0, PPMT(SED_I_Adj,'Loan Amort Table'!B405,SED_Amort_Periods,SED_Orig_Loan_Amount)),0)</f>
        <v>0</v>
      </c>
      <c r="G405" s="78" cm="1">
        <f t="array" ref="G405">IFERROR(_xlfn.IFS(C405&gt;=Refi_Origination_Date, 0, SED_Amort = 0, -D405 * SED_I_Adj, 1, IPMT(SED_I_Adj,IF(B405 = 0, 1, B405),SED_Amort_Periods,SED_Orig_Loan_Amount)),0)</f>
        <v>0</v>
      </c>
      <c r="H405" s="78">
        <f t="shared" si="168"/>
        <v>0</v>
      </c>
      <c r="J405">
        <f t="shared" si="148"/>
        <v>34</v>
      </c>
      <c r="K405">
        <f t="shared" si="154"/>
        <v>400</v>
      </c>
      <c r="L405" s="49">
        <f t="shared" si="161"/>
        <v>12145</v>
      </c>
      <c r="M405" s="78">
        <f>IF(L405&gt;EDATE(DATE(YEAR(NEW_Origination_Date)+ NEW_Amort, MONTH(NEW_Origination_Date), DAY(NEW_Origination_Date)),NEW_Interest_Only),0,Q404)</f>
        <v>0</v>
      </c>
      <c r="N405" s="78">
        <f t="shared" si="155"/>
        <v>0</v>
      </c>
      <c r="O405" s="78">
        <f>IFERROR(IF(K405=0,0, PPMT(NEW_I_Adj,'Loan Amort Table'!K405,NEW_Amort_Periods,NEW_Orig_Loan_Amount)),0)</f>
        <v>0</v>
      </c>
      <c r="P405" s="78">
        <f>IFERROR(IF(NEW_Amort = 0, -M405* NEW_I_Adj,IPMT(NEW_I_Adj,IF(K405 = 0, 1, K405),NEW_Amort_Periods,NEW_Orig_Loan_Amount)),0)</f>
        <v>0</v>
      </c>
      <c r="Q405" s="78">
        <f t="shared" si="156"/>
        <v>0</v>
      </c>
      <c r="S405">
        <f t="shared" si="149"/>
        <v>34</v>
      </c>
      <c r="T405">
        <f t="shared" si="157"/>
        <v>400</v>
      </c>
      <c r="U405" s="49">
        <f t="shared" si="162"/>
        <v>12145</v>
      </c>
      <c r="V405" s="78">
        <f t="shared" si="158"/>
        <v>0</v>
      </c>
      <c r="W405" s="78">
        <f t="shared" ca="1" si="163"/>
        <v>0</v>
      </c>
      <c r="X405" s="78">
        <f>IFERROR(IF(OR(T405=0, U405&gt;=Refi_Origination_Date),0, PPMT(Mezz_I_Adj,'Loan Amort Table'!T405,Mezz_Amort_Periods,Mezz_Orig_Loan_Amount)),0)</f>
        <v>0</v>
      </c>
      <c r="Y405" s="78" cm="1">
        <f t="array" aca="1" ref="Y405" ca="1">IFERROR(_xlfn.IFS(U405&gt;=Refi_Origination_Date,0, Mezz_Amort = 0, -V405 * Mezz_I_Adj, 1, IPMT(Mezz_I_Adj,IF(T405 = 0, 1, T405),Mezz_Amort_Periods,Mezz_Orig_Loan_Amount)),0)</f>
        <v>0</v>
      </c>
      <c r="Z405" s="78">
        <f t="shared" si="164"/>
        <v>0</v>
      </c>
      <c r="AB405">
        <f t="shared" si="150"/>
        <v>34</v>
      </c>
      <c r="AC405">
        <f t="shared" si="159"/>
        <v>400</v>
      </c>
      <c r="AD405" s="49">
        <f t="shared" si="165"/>
        <v>12145</v>
      </c>
      <c r="AE405" s="78">
        <f t="shared" si="160"/>
        <v>0</v>
      </c>
      <c r="AF405" s="78">
        <f t="shared" ca="1" si="166"/>
        <v>0</v>
      </c>
      <c r="AG405" s="78">
        <f ca="1">IFERROR(IF(AC405=0,0, PPMT(Refi_I_Adj,'Loan Amort Table'!AC405,Refi_Amort_Periods,Refi_Orig_Loan_Amount)),0)</f>
        <v>0</v>
      </c>
      <c r="AH405" s="78">
        <f t="shared" ca="1" si="151"/>
        <v>0</v>
      </c>
      <c r="AI405" s="78">
        <f t="shared" ca="1" si="167"/>
        <v>0</v>
      </c>
    </row>
    <row r="406" spans="1:35" x14ac:dyDescent="0.25">
      <c r="A406">
        <f t="shared" si="147"/>
        <v>34</v>
      </c>
      <c r="B406">
        <f t="shared" si="152"/>
        <v>401</v>
      </c>
      <c r="C406" s="49">
        <f t="shared" si="146"/>
        <v>12175</v>
      </c>
      <c r="D406" s="78">
        <f>IF(C406&gt;EDATE(DATE(YEAR(SED_Origination_Date)+ SED_Amort, MONTH(SED_Origination_Date), DAY(SED_Origination_Date)),SED_Interest_Only),0,H405)</f>
        <v>0</v>
      </c>
      <c r="E406" s="78">
        <f t="shared" si="153"/>
        <v>0</v>
      </c>
      <c r="F406" s="78">
        <f>IFERROR(IF(OR(B406=0, C406&gt;=Refi_Origination_Date),0, PPMT(SED_I_Adj,'Loan Amort Table'!B406,SED_Amort_Periods,SED_Orig_Loan_Amount)),0)</f>
        <v>0</v>
      </c>
      <c r="G406" s="78" cm="1">
        <f t="array" ref="G406">IFERROR(_xlfn.IFS(C406&gt;=Refi_Origination_Date, 0, SED_Amort = 0, -D406 * SED_I_Adj, 1, IPMT(SED_I_Adj,IF(B406 = 0, 1, B406),SED_Amort_Periods,SED_Orig_Loan_Amount)),0)</f>
        <v>0</v>
      </c>
      <c r="H406" s="78">
        <f t="shared" si="168"/>
        <v>0</v>
      </c>
      <c r="J406">
        <f t="shared" si="148"/>
        <v>34</v>
      </c>
      <c r="K406">
        <f t="shared" si="154"/>
        <v>401</v>
      </c>
      <c r="L406" s="49">
        <f t="shared" si="161"/>
        <v>12175</v>
      </c>
      <c r="M406" s="78">
        <f>IF(L406&gt;EDATE(DATE(YEAR(NEW_Origination_Date)+ NEW_Amort, MONTH(NEW_Origination_Date), DAY(NEW_Origination_Date)),NEW_Interest_Only),0,Q405)</f>
        <v>0</v>
      </c>
      <c r="N406" s="78">
        <f t="shared" si="155"/>
        <v>0</v>
      </c>
      <c r="O406" s="78">
        <f>IFERROR(IF(K406=0,0, PPMT(NEW_I_Adj,'Loan Amort Table'!K406,NEW_Amort_Periods,NEW_Orig_Loan_Amount)),0)</f>
        <v>0</v>
      </c>
      <c r="P406" s="78">
        <f>IFERROR(IF(NEW_Amort = 0, -M406* NEW_I_Adj,IPMT(NEW_I_Adj,IF(K406 = 0, 1, K406),NEW_Amort_Periods,NEW_Orig_Loan_Amount)),0)</f>
        <v>0</v>
      </c>
      <c r="Q406" s="78">
        <f t="shared" si="156"/>
        <v>0</v>
      </c>
      <c r="S406">
        <f t="shared" si="149"/>
        <v>34</v>
      </c>
      <c r="T406">
        <f t="shared" si="157"/>
        <v>401</v>
      </c>
      <c r="U406" s="49">
        <f t="shared" si="162"/>
        <v>12175</v>
      </c>
      <c r="V406" s="78">
        <f t="shared" si="158"/>
        <v>0</v>
      </c>
      <c r="W406" s="78">
        <f t="shared" ca="1" si="163"/>
        <v>0</v>
      </c>
      <c r="X406" s="78">
        <f>IFERROR(IF(OR(T406=0, U406&gt;=Refi_Origination_Date),0, PPMT(Mezz_I_Adj,'Loan Amort Table'!T406,Mezz_Amort_Periods,Mezz_Orig_Loan_Amount)),0)</f>
        <v>0</v>
      </c>
      <c r="Y406" s="78" cm="1">
        <f t="array" aca="1" ref="Y406" ca="1">IFERROR(_xlfn.IFS(U406&gt;=Refi_Origination_Date,0, Mezz_Amort = 0, -V406 * Mezz_I_Adj, 1, IPMT(Mezz_I_Adj,IF(T406 = 0, 1, T406),Mezz_Amort_Periods,Mezz_Orig_Loan_Amount)),0)</f>
        <v>0</v>
      </c>
      <c r="Z406" s="78">
        <f t="shared" si="164"/>
        <v>0</v>
      </c>
      <c r="AB406">
        <f t="shared" si="150"/>
        <v>34</v>
      </c>
      <c r="AC406">
        <f t="shared" si="159"/>
        <v>401</v>
      </c>
      <c r="AD406" s="49">
        <f t="shared" si="165"/>
        <v>12175</v>
      </c>
      <c r="AE406" s="78">
        <f t="shared" si="160"/>
        <v>0</v>
      </c>
      <c r="AF406" s="78">
        <f t="shared" ca="1" si="166"/>
        <v>0</v>
      </c>
      <c r="AG406" s="78">
        <f ca="1">IFERROR(IF(AC406=0,0, PPMT(Refi_I_Adj,'Loan Amort Table'!AC406,Refi_Amort_Periods,Refi_Orig_Loan_Amount)),0)</f>
        <v>0</v>
      </c>
      <c r="AH406" s="78">
        <f t="shared" ca="1" si="151"/>
        <v>0</v>
      </c>
      <c r="AI406" s="78">
        <f t="shared" ca="1" si="167"/>
        <v>0</v>
      </c>
    </row>
    <row r="407" spans="1:35" x14ac:dyDescent="0.25">
      <c r="A407">
        <f t="shared" si="147"/>
        <v>34</v>
      </c>
      <c r="B407">
        <f t="shared" si="152"/>
        <v>402</v>
      </c>
      <c r="C407" s="49">
        <f t="shared" si="146"/>
        <v>12206</v>
      </c>
      <c r="D407" s="78">
        <f>IF(C407&gt;EDATE(DATE(YEAR(SED_Origination_Date)+ SED_Amort, MONTH(SED_Origination_Date), DAY(SED_Origination_Date)),SED_Interest_Only),0,H406)</f>
        <v>0</v>
      </c>
      <c r="E407" s="78">
        <f t="shared" si="153"/>
        <v>0</v>
      </c>
      <c r="F407" s="78">
        <f>IFERROR(IF(OR(B407=0, C407&gt;=Refi_Origination_Date),0, PPMT(SED_I_Adj,'Loan Amort Table'!B407,SED_Amort_Periods,SED_Orig_Loan_Amount)),0)</f>
        <v>0</v>
      </c>
      <c r="G407" s="78" cm="1">
        <f t="array" ref="G407">IFERROR(_xlfn.IFS(C407&gt;=Refi_Origination_Date, 0, SED_Amort = 0, -D407 * SED_I_Adj, 1, IPMT(SED_I_Adj,IF(B407 = 0, 1, B407),SED_Amort_Periods,SED_Orig_Loan_Amount)),0)</f>
        <v>0</v>
      </c>
      <c r="H407" s="78">
        <f t="shared" si="168"/>
        <v>0</v>
      </c>
      <c r="J407">
        <f t="shared" si="148"/>
        <v>34</v>
      </c>
      <c r="K407">
        <f t="shared" si="154"/>
        <v>402</v>
      </c>
      <c r="L407" s="49">
        <f t="shared" si="161"/>
        <v>12206</v>
      </c>
      <c r="M407" s="78">
        <f>IF(L407&gt;EDATE(DATE(YEAR(NEW_Origination_Date)+ NEW_Amort, MONTH(NEW_Origination_Date), DAY(NEW_Origination_Date)),NEW_Interest_Only),0,Q406)</f>
        <v>0</v>
      </c>
      <c r="N407" s="78">
        <f t="shared" si="155"/>
        <v>0</v>
      </c>
      <c r="O407" s="78">
        <f>IFERROR(IF(K407=0,0, PPMT(NEW_I_Adj,'Loan Amort Table'!K407,NEW_Amort_Periods,NEW_Orig_Loan_Amount)),0)</f>
        <v>0</v>
      </c>
      <c r="P407" s="78">
        <f>IFERROR(IF(NEW_Amort = 0, -M407* NEW_I_Adj,IPMT(NEW_I_Adj,IF(K407 = 0, 1, K407),NEW_Amort_Periods,NEW_Orig_Loan_Amount)),0)</f>
        <v>0</v>
      </c>
      <c r="Q407" s="78">
        <f t="shared" si="156"/>
        <v>0</v>
      </c>
      <c r="S407">
        <f t="shared" si="149"/>
        <v>34</v>
      </c>
      <c r="T407">
        <f t="shared" si="157"/>
        <v>402</v>
      </c>
      <c r="U407" s="49">
        <f t="shared" si="162"/>
        <v>12206</v>
      </c>
      <c r="V407" s="78">
        <f t="shared" si="158"/>
        <v>0</v>
      </c>
      <c r="W407" s="78">
        <f t="shared" ca="1" si="163"/>
        <v>0</v>
      </c>
      <c r="X407" s="78">
        <f>IFERROR(IF(OR(T407=0, U407&gt;=Refi_Origination_Date),0, PPMT(Mezz_I_Adj,'Loan Amort Table'!T407,Mezz_Amort_Periods,Mezz_Orig_Loan_Amount)),0)</f>
        <v>0</v>
      </c>
      <c r="Y407" s="78" cm="1">
        <f t="array" aca="1" ref="Y407" ca="1">IFERROR(_xlfn.IFS(U407&gt;=Refi_Origination_Date,0, Mezz_Amort = 0, -V407 * Mezz_I_Adj, 1, IPMT(Mezz_I_Adj,IF(T407 = 0, 1, T407),Mezz_Amort_Periods,Mezz_Orig_Loan_Amount)),0)</f>
        <v>0</v>
      </c>
      <c r="Z407" s="78">
        <f t="shared" si="164"/>
        <v>0</v>
      </c>
      <c r="AB407">
        <f t="shared" si="150"/>
        <v>34</v>
      </c>
      <c r="AC407">
        <f t="shared" si="159"/>
        <v>402</v>
      </c>
      <c r="AD407" s="49">
        <f t="shared" si="165"/>
        <v>12206</v>
      </c>
      <c r="AE407" s="78">
        <f t="shared" si="160"/>
        <v>0</v>
      </c>
      <c r="AF407" s="78">
        <f t="shared" ca="1" si="166"/>
        <v>0</v>
      </c>
      <c r="AG407" s="78">
        <f ca="1">IFERROR(IF(AC407=0,0, PPMT(Refi_I_Adj,'Loan Amort Table'!AC407,Refi_Amort_Periods,Refi_Orig_Loan_Amount)),0)</f>
        <v>0</v>
      </c>
      <c r="AH407" s="78">
        <f t="shared" ca="1" si="151"/>
        <v>0</v>
      </c>
      <c r="AI407" s="78">
        <f t="shared" ca="1" si="167"/>
        <v>0</v>
      </c>
    </row>
    <row r="408" spans="1:35" x14ac:dyDescent="0.25">
      <c r="A408">
        <f t="shared" si="147"/>
        <v>34</v>
      </c>
      <c r="B408">
        <f t="shared" si="152"/>
        <v>403</v>
      </c>
      <c r="C408" s="49">
        <f t="shared" si="146"/>
        <v>12236</v>
      </c>
      <c r="D408" s="78">
        <f>IF(C408&gt;EDATE(DATE(YEAR(SED_Origination_Date)+ SED_Amort, MONTH(SED_Origination_Date), DAY(SED_Origination_Date)),SED_Interest_Only),0,H407)</f>
        <v>0</v>
      </c>
      <c r="E408" s="78">
        <f t="shared" si="153"/>
        <v>0</v>
      </c>
      <c r="F408" s="78">
        <f>IFERROR(IF(OR(B408=0, C408&gt;=Refi_Origination_Date),0, PPMT(SED_I_Adj,'Loan Amort Table'!B408,SED_Amort_Periods,SED_Orig_Loan_Amount)),0)</f>
        <v>0</v>
      </c>
      <c r="G408" s="78" cm="1">
        <f t="array" ref="G408">IFERROR(_xlfn.IFS(C408&gt;=Refi_Origination_Date, 0, SED_Amort = 0, -D408 * SED_I_Adj, 1, IPMT(SED_I_Adj,IF(B408 = 0, 1, B408),SED_Amort_Periods,SED_Orig_Loan_Amount)),0)</f>
        <v>0</v>
      </c>
      <c r="H408" s="78">
        <f t="shared" si="168"/>
        <v>0</v>
      </c>
      <c r="J408">
        <f t="shared" si="148"/>
        <v>34</v>
      </c>
      <c r="K408">
        <f t="shared" si="154"/>
        <v>403</v>
      </c>
      <c r="L408" s="49">
        <f t="shared" si="161"/>
        <v>12236</v>
      </c>
      <c r="M408" s="78">
        <f>IF(L408&gt;EDATE(DATE(YEAR(NEW_Origination_Date)+ NEW_Amort, MONTH(NEW_Origination_Date), DAY(NEW_Origination_Date)),NEW_Interest_Only),0,Q407)</f>
        <v>0</v>
      </c>
      <c r="N408" s="78">
        <f t="shared" si="155"/>
        <v>0</v>
      </c>
      <c r="O408" s="78">
        <f>IFERROR(IF(K408=0,0, PPMT(NEW_I_Adj,'Loan Amort Table'!K408,NEW_Amort_Periods,NEW_Orig_Loan_Amount)),0)</f>
        <v>0</v>
      </c>
      <c r="P408" s="78">
        <f>IFERROR(IF(NEW_Amort = 0, -M408* NEW_I_Adj,IPMT(NEW_I_Adj,IF(K408 = 0, 1, K408),NEW_Amort_Periods,NEW_Orig_Loan_Amount)),0)</f>
        <v>0</v>
      </c>
      <c r="Q408" s="78">
        <f t="shared" si="156"/>
        <v>0</v>
      </c>
      <c r="S408">
        <f t="shared" si="149"/>
        <v>34</v>
      </c>
      <c r="T408">
        <f t="shared" si="157"/>
        <v>403</v>
      </c>
      <c r="U408" s="49">
        <f t="shared" si="162"/>
        <v>12236</v>
      </c>
      <c r="V408" s="78">
        <f t="shared" si="158"/>
        <v>0</v>
      </c>
      <c r="W408" s="78">
        <f t="shared" ca="1" si="163"/>
        <v>0</v>
      </c>
      <c r="X408" s="78">
        <f>IFERROR(IF(OR(T408=0, U408&gt;=Refi_Origination_Date),0, PPMT(Mezz_I_Adj,'Loan Amort Table'!T408,Mezz_Amort_Periods,Mezz_Orig_Loan_Amount)),0)</f>
        <v>0</v>
      </c>
      <c r="Y408" s="78" cm="1">
        <f t="array" aca="1" ref="Y408" ca="1">IFERROR(_xlfn.IFS(U408&gt;=Refi_Origination_Date,0, Mezz_Amort = 0, -V408 * Mezz_I_Adj, 1, IPMT(Mezz_I_Adj,IF(T408 = 0, 1, T408),Mezz_Amort_Periods,Mezz_Orig_Loan_Amount)),0)</f>
        <v>0</v>
      </c>
      <c r="Z408" s="78">
        <f t="shared" si="164"/>
        <v>0</v>
      </c>
      <c r="AB408">
        <f t="shared" si="150"/>
        <v>34</v>
      </c>
      <c r="AC408">
        <f t="shared" si="159"/>
        <v>403</v>
      </c>
      <c r="AD408" s="49">
        <f t="shared" si="165"/>
        <v>12236</v>
      </c>
      <c r="AE408" s="78">
        <f t="shared" si="160"/>
        <v>0</v>
      </c>
      <c r="AF408" s="78">
        <f t="shared" ca="1" si="166"/>
        <v>0</v>
      </c>
      <c r="AG408" s="78">
        <f ca="1">IFERROR(IF(AC408=0,0, PPMT(Refi_I_Adj,'Loan Amort Table'!AC408,Refi_Amort_Periods,Refi_Orig_Loan_Amount)),0)</f>
        <v>0</v>
      </c>
      <c r="AH408" s="78">
        <f t="shared" ca="1" si="151"/>
        <v>0</v>
      </c>
      <c r="AI408" s="78">
        <f t="shared" ca="1" si="167"/>
        <v>0</v>
      </c>
    </row>
    <row r="409" spans="1:35" x14ac:dyDescent="0.25">
      <c r="A409">
        <f t="shared" si="147"/>
        <v>34</v>
      </c>
      <c r="B409">
        <f t="shared" si="152"/>
        <v>404</v>
      </c>
      <c r="C409" s="49">
        <f t="shared" si="146"/>
        <v>12267</v>
      </c>
      <c r="D409" s="78">
        <f>IF(C409&gt;EDATE(DATE(YEAR(SED_Origination_Date)+ SED_Amort, MONTH(SED_Origination_Date), DAY(SED_Origination_Date)),SED_Interest_Only),0,H408)</f>
        <v>0</v>
      </c>
      <c r="E409" s="78">
        <f t="shared" si="153"/>
        <v>0</v>
      </c>
      <c r="F409" s="78">
        <f>IFERROR(IF(OR(B409=0, C409&gt;=Refi_Origination_Date),0, PPMT(SED_I_Adj,'Loan Amort Table'!B409,SED_Amort_Periods,SED_Orig_Loan_Amount)),0)</f>
        <v>0</v>
      </c>
      <c r="G409" s="78" cm="1">
        <f t="array" ref="G409">IFERROR(_xlfn.IFS(C409&gt;=Refi_Origination_Date, 0, SED_Amort = 0, -D409 * SED_I_Adj, 1, IPMT(SED_I_Adj,IF(B409 = 0, 1, B409),SED_Amort_Periods,SED_Orig_Loan_Amount)),0)</f>
        <v>0</v>
      </c>
      <c r="H409" s="78">
        <f t="shared" si="168"/>
        <v>0</v>
      </c>
      <c r="J409">
        <f t="shared" si="148"/>
        <v>34</v>
      </c>
      <c r="K409">
        <f t="shared" si="154"/>
        <v>404</v>
      </c>
      <c r="L409" s="49">
        <f t="shared" si="161"/>
        <v>12267</v>
      </c>
      <c r="M409" s="78">
        <f>IF(L409&gt;EDATE(DATE(YEAR(NEW_Origination_Date)+ NEW_Amort, MONTH(NEW_Origination_Date), DAY(NEW_Origination_Date)),NEW_Interest_Only),0,Q408)</f>
        <v>0</v>
      </c>
      <c r="N409" s="78">
        <f t="shared" si="155"/>
        <v>0</v>
      </c>
      <c r="O409" s="78">
        <f>IFERROR(IF(K409=0,0, PPMT(NEW_I_Adj,'Loan Amort Table'!K409,NEW_Amort_Periods,NEW_Orig_Loan_Amount)),0)</f>
        <v>0</v>
      </c>
      <c r="P409" s="78">
        <f>IFERROR(IF(NEW_Amort = 0, -M409* NEW_I_Adj,IPMT(NEW_I_Adj,IF(K409 = 0, 1, K409),NEW_Amort_Periods,NEW_Orig_Loan_Amount)),0)</f>
        <v>0</v>
      </c>
      <c r="Q409" s="78">
        <f t="shared" si="156"/>
        <v>0</v>
      </c>
      <c r="S409">
        <f t="shared" si="149"/>
        <v>34</v>
      </c>
      <c r="T409">
        <f t="shared" si="157"/>
        <v>404</v>
      </c>
      <c r="U409" s="49">
        <f t="shared" si="162"/>
        <v>12267</v>
      </c>
      <c r="V409" s="78">
        <f t="shared" si="158"/>
        <v>0</v>
      </c>
      <c r="W409" s="78">
        <f t="shared" ca="1" si="163"/>
        <v>0</v>
      </c>
      <c r="X409" s="78">
        <f>IFERROR(IF(OR(T409=0, U409&gt;=Refi_Origination_Date),0, PPMT(Mezz_I_Adj,'Loan Amort Table'!T409,Mezz_Amort_Periods,Mezz_Orig_Loan_Amount)),0)</f>
        <v>0</v>
      </c>
      <c r="Y409" s="78" cm="1">
        <f t="array" aca="1" ref="Y409" ca="1">IFERROR(_xlfn.IFS(U409&gt;=Refi_Origination_Date,0, Mezz_Amort = 0, -V409 * Mezz_I_Adj, 1, IPMT(Mezz_I_Adj,IF(T409 = 0, 1, T409),Mezz_Amort_Periods,Mezz_Orig_Loan_Amount)),0)</f>
        <v>0</v>
      </c>
      <c r="Z409" s="78">
        <f t="shared" si="164"/>
        <v>0</v>
      </c>
      <c r="AB409">
        <f t="shared" si="150"/>
        <v>34</v>
      </c>
      <c r="AC409">
        <f t="shared" si="159"/>
        <v>404</v>
      </c>
      <c r="AD409" s="49">
        <f t="shared" si="165"/>
        <v>12267</v>
      </c>
      <c r="AE409" s="78">
        <f t="shared" si="160"/>
        <v>0</v>
      </c>
      <c r="AF409" s="78">
        <f t="shared" ca="1" si="166"/>
        <v>0</v>
      </c>
      <c r="AG409" s="78">
        <f ca="1">IFERROR(IF(AC409=0,0, PPMT(Refi_I_Adj,'Loan Amort Table'!AC409,Refi_Amort_Periods,Refi_Orig_Loan_Amount)),0)</f>
        <v>0</v>
      </c>
      <c r="AH409" s="78">
        <f t="shared" ca="1" si="151"/>
        <v>0</v>
      </c>
      <c r="AI409" s="78">
        <f t="shared" ca="1" si="167"/>
        <v>0</v>
      </c>
    </row>
    <row r="410" spans="1:35" x14ac:dyDescent="0.25">
      <c r="A410">
        <f t="shared" si="147"/>
        <v>34</v>
      </c>
      <c r="B410">
        <f t="shared" si="152"/>
        <v>405</v>
      </c>
      <c r="C410" s="49">
        <f t="shared" si="146"/>
        <v>12298</v>
      </c>
      <c r="D410" s="78">
        <f>IF(C410&gt;EDATE(DATE(YEAR(SED_Origination_Date)+ SED_Amort, MONTH(SED_Origination_Date), DAY(SED_Origination_Date)),SED_Interest_Only),0,H409)</f>
        <v>0</v>
      </c>
      <c r="E410" s="78">
        <f t="shared" si="153"/>
        <v>0</v>
      </c>
      <c r="F410" s="78">
        <f>IFERROR(IF(OR(B410=0, C410&gt;=Refi_Origination_Date),0, PPMT(SED_I_Adj,'Loan Amort Table'!B410,SED_Amort_Periods,SED_Orig_Loan_Amount)),0)</f>
        <v>0</v>
      </c>
      <c r="G410" s="78" cm="1">
        <f t="array" ref="G410">IFERROR(_xlfn.IFS(C410&gt;=Refi_Origination_Date, 0, SED_Amort = 0, -D410 * SED_I_Adj, 1, IPMT(SED_I_Adj,IF(B410 = 0, 1, B410),SED_Amort_Periods,SED_Orig_Loan_Amount)),0)</f>
        <v>0</v>
      </c>
      <c r="H410" s="78">
        <f t="shared" si="168"/>
        <v>0</v>
      </c>
      <c r="J410">
        <f t="shared" si="148"/>
        <v>34</v>
      </c>
      <c r="K410">
        <f t="shared" si="154"/>
        <v>405</v>
      </c>
      <c r="L410" s="49">
        <f t="shared" si="161"/>
        <v>12298</v>
      </c>
      <c r="M410" s="78">
        <f>IF(L410&gt;EDATE(DATE(YEAR(NEW_Origination_Date)+ NEW_Amort, MONTH(NEW_Origination_Date), DAY(NEW_Origination_Date)),NEW_Interest_Only),0,Q409)</f>
        <v>0</v>
      </c>
      <c r="N410" s="78">
        <f t="shared" si="155"/>
        <v>0</v>
      </c>
      <c r="O410" s="78">
        <f>IFERROR(IF(K410=0,0, PPMT(NEW_I_Adj,'Loan Amort Table'!K410,NEW_Amort_Periods,NEW_Orig_Loan_Amount)),0)</f>
        <v>0</v>
      </c>
      <c r="P410" s="78">
        <f>IFERROR(IF(NEW_Amort = 0, -M410* NEW_I_Adj,IPMT(NEW_I_Adj,IF(K410 = 0, 1, K410),NEW_Amort_Periods,NEW_Orig_Loan_Amount)),0)</f>
        <v>0</v>
      </c>
      <c r="Q410" s="78">
        <f t="shared" si="156"/>
        <v>0</v>
      </c>
      <c r="S410">
        <f t="shared" si="149"/>
        <v>34</v>
      </c>
      <c r="T410">
        <f t="shared" si="157"/>
        <v>405</v>
      </c>
      <c r="U410" s="49">
        <f t="shared" si="162"/>
        <v>12298</v>
      </c>
      <c r="V410" s="78">
        <f t="shared" si="158"/>
        <v>0</v>
      </c>
      <c r="W410" s="78">
        <f t="shared" ca="1" si="163"/>
        <v>0</v>
      </c>
      <c r="X410" s="78">
        <f>IFERROR(IF(OR(T410=0, U410&gt;=Refi_Origination_Date),0, PPMT(Mezz_I_Adj,'Loan Amort Table'!T410,Mezz_Amort_Periods,Mezz_Orig_Loan_Amount)),0)</f>
        <v>0</v>
      </c>
      <c r="Y410" s="78" cm="1">
        <f t="array" aca="1" ref="Y410" ca="1">IFERROR(_xlfn.IFS(U410&gt;=Refi_Origination_Date,0, Mezz_Amort = 0, -V410 * Mezz_I_Adj, 1, IPMT(Mezz_I_Adj,IF(T410 = 0, 1, T410),Mezz_Amort_Periods,Mezz_Orig_Loan_Amount)),0)</f>
        <v>0</v>
      </c>
      <c r="Z410" s="78">
        <f t="shared" si="164"/>
        <v>0</v>
      </c>
      <c r="AB410">
        <f t="shared" si="150"/>
        <v>34</v>
      </c>
      <c r="AC410">
        <f t="shared" si="159"/>
        <v>405</v>
      </c>
      <c r="AD410" s="49">
        <f t="shared" si="165"/>
        <v>12298</v>
      </c>
      <c r="AE410" s="78">
        <f t="shared" si="160"/>
        <v>0</v>
      </c>
      <c r="AF410" s="78">
        <f t="shared" ca="1" si="166"/>
        <v>0</v>
      </c>
      <c r="AG410" s="78">
        <f ca="1">IFERROR(IF(AC410=0,0, PPMT(Refi_I_Adj,'Loan Amort Table'!AC410,Refi_Amort_Periods,Refi_Orig_Loan_Amount)),0)</f>
        <v>0</v>
      </c>
      <c r="AH410" s="78">
        <f t="shared" ca="1" si="151"/>
        <v>0</v>
      </c>
      <c r="AI410" s="78">
        <f t="shared" ca="1" si="167"/>
        <v>0</v>
      </c>
    </row>
    <row r="411" spans="1:35" x14ac:dyDescent="0.25">
      <c r="A411">
        <f t="shared" si="147"/>
        <v>34</v>
      </c>
      <c r="B411">
        <f t="shared" si="152"/>
        <v>406</v>
      </c>
      <c r="C411" s="49">
        <f t="shared" si="146"/>
        <v>12328</v>
      </c>
      <c r="D411" s="78">
        <f>IF(C411&gt;EDATE(DATE(YEAR(SED_Origination_Date)+ SED_Amort, MONTH(SED_Origination_Date), DAY(SED_Origination_Date)),SED_Interest_Only),0,H410)</f>
        <v>0</v>
      </c>
      <c r="E411" s="78">
        <f t="shared" si="153"/>
        <v>0</v>
      </c>
      <c r="F411" s="78">
        <f>IFERROR(IF(OR(B411=0, C411&gt;=Refi_Origination_Date),0, PPMT(SED_I_Adj,'Loan Amort Table'!B411,SED_Amort_Periods,SED_Orig_Loan_Amount)),0)</f>
        <v>0</v>
      </c>
      <c r="G411" s="78" cm="1">
        <f t="array" ref="G411">IFERROR(_xlfn.IFS(C411&gt;=Refi_Origination_Date, 0, SED_Amort = 0, -D411 * SED_I_Adj, 1, IPMT(SED_I_Adj,IF(B411 = 0, 1, B411),SED_Amort_Periods,SED_Orig_Loan_Amount)),0)</f>
        <v>0</v>
      </c>
      <c r="H411" s="78">
        <f t="shared" si="168"/>
        <v>0</v>
      </c>
      <c r="J411">
        <f t="shared" si="148"/>
        <v>34</v>
      </c>
      <c r="K411">
        <f t="shared" si="154"/>
        <v>406</v>
      </c>
      <c r="L411" s="49">
        <f t="shared" si="161"/>
        <v>12328</v>
      </c>
      <c r="M411" s="78">
        <f>IF(L411&gt;EDATE(DATE(YEAR(NEW_Origination_Date)+ NEW_Amort, MONTH(NEW_Origination_Date), DAY(NEW_Origination_Date)),NEW_Interest_Only),0,Q410)</f>
        <v>0</v>
      </c>
      <c r="N411" s="78">
        <f t="shared" si="155"/>
        <v>0</v>
      </c>
      <c r="O411" s="78">
        <f>IFERROR(IF(K411=0,0, PPMT(NEW_I_Adj,'Loan Amort Table'!K411,NEW_Amort_Periods,NEW_Orig_Loan_Amount)),0)</f>
        <v>0</v>
      </c>
      <c r="P411" s="78">
        <f>IFERROR(IF(NEW_Amort = 0, -M411* NEW_I_Adj,IPMT(NEW_I_Adj,IF(K411 = 0, 1, K411),NEW_Amort_Periods,NEW_Orig_Loan_Amount)),0)</f>
        <v>0</v>
      </c>
      <c r="Q411" s="78">
        <f t="shared" si="156"/>
        <v>0</v>
      </c>
      <c r="S411">
        <f t="shared" si="149"/>
        <v>34</v>
      </c>
      <c r="T411">
        <f t="shared" si="157"/>
        <v>406</v>
      </c>
      <c r="U411" s="49">
        <f t="shared" si="162"/>
        <v>12328</v>
      </c>
      <c r="V411" s="78">
        <f t="shared" si="158"/>
        <v>0</v>
      </c>
      <c r="W411" s="78">
        <f t="shared" ca="1" si="163"/>
        <v>0</v>
      </c>
      <c r="X411" s="78">
        <f>IFERROR(IF(OR(T411=0, U411&gt;=Refi_Origination_Date),0, PPMT(Mezz_I_Adj,'Loan Amort Table'!T411,Mezz_Amort_Periods,Mezz_Orig_Loan_Amount)),0)</f>
        <v>0</v>
      </c>
      <c r="Y411" s="78" cm="1">
        <f t="array" aca="1" ref="Y411" ca="1">IFERROR(_xlfn.IFS(U411&gt;=Refi_Origination_Date,0, Mezz_Amort = 0, -V411 * Mezz_I_Adj, 1, IPMT(Mezz_I_Adj,IF(T411 = 0, 1, T411),Mezz_Amort_Periods,Mezz_Orig_Loan_Amount)),0)</f>
        <v>0</v>
      </c>
      <c r="Z411" s="78">
        <f t="shared" si="164"/>
        <v>0</v>
      </c>
      <c r="AB411">
        <f t="shared" si="150"/>
        <v>34</v>
      </c>
      <c r="AC411">
        <f t="shared" si="159"/>
        <v>406</v>
      </c>
      <c r="AD411" s="49">
        <f t="shared" si="165"/>
        <v>12328</v>
      </c>
      <c r="AE411" s="78">
        <f t="shared" si="160"/>
        <v>0</v>
      </c>
      <c r="AF411" s="78">
        <f t="shared" ca="1" si="166"/>
        <v>0</v>
      </c>
      <c r="AG411" s="78">
        <f ca="1">IFERROR(IF(AC411=0,0, PPMT(Refi_I_Adj,'Loan Amort Table'!AC411,Refi_Amort_Periods,Refi_Orig_Loan_Amount)),0)</f>
        <v>0</v>
      </c>
      <c r="AH411" s="78">
        <f t="shared" ca="1" si="151"/>
        <v>0</v>
      </c>
      <c r="AI411" s="78">
        <f t="shared" ca="1" si="167"/>
        <v>0</v>
      </c>
    </row>
    <row r="412" spans="1:35" x14ac:dyDescent="0.25">
      <c r="A412">
        <f t="shared" si="147"/>
        <v>34</v>
      </c>
      <c r="B412">
        <f t="shared" si="152"/>
        <v>407</v>
      </c>
      <c r="C412" s="49">
        <f t="shared" si="146"/>
        <v>12359</v>
      </c>
      <c r="D412" s="78">
        <f>IF(C412&gt;EDATE(DATE(YEAR(SED_Origination_Date)+ SED_Amort, MONTH(SED_Origination_Date), DAY(SED_Origination_Date)),SED_Interest_Only),0,H411)</f>
        <v>0</v>
      </c>
      <c r="E412" s="78">
        <f t="shared" si="153"/>
        <v>0</v>
      </c>
      <c r="F412" s="78">
        <f>IFERROR(IF(OR(B412=0, C412&gt;=Refi_Origination_Date),0, PPMT(SED_I_Adj,'Loan Amort Table'!B412,SED_Amort_Periods,SED_Orig_Loan_Amount)),0)</f>
        <v>0</v>
      </c>
      <c r="G412" s="78" cm="1">
        <f t="array" ref="G412">IFERROR(_xlfn.IFS(C412&gt;=Refi_Origination_Date, 0, SED_Amort = 0, -D412 * SED_I_Adj, 1, IPMT(SED_I_Adj,IF(B412 = 0, 1, B412),SED_Amort_Periods,SED_Orig_Loan_Amount)),0)</f>
        <v>0</v>
      </c>
      <c r="H412" s="78">
        <f t="shared" si="168"/>
        <v>0</v>
      </c>
      <c r="J412">
        <f t="shared" si="148"/>
        <v>34</v>
      </c>
      <c r="K412">
        <f t="shared" si="154"/>
        <v>407</v>
      </c>
      <c r="L412" s="49">
        <f t="shared" si="161"/>
        <v>12359</v>
      </c>
      <c r="M412" s="78">
        <f>IF(L412&gt;EDATE(DATE(YEAR(NEW_Origination_Date)+ NEW_Amort, MONTH(NEW_Origination_Date), DAY(NEW_Origination_Date)),NEW_Interest_Only),0,Q411)</f>
        <v>0</v>
      </c>
      <c r="N412" s="78">
        <f t="shared" si="155"/>
        <v>0</v>
      </c>
      <c r="O412" s="78">
        <f>IFERROR(IF(K412=0,0, PPMT(NEW_I_Adj,'Loan Amort Table'!K412,NEW_Amort_Periods,NEW_Orig_Loan_Amount)),0)</f>
        <v>0</v>
      </c>
      <c r="P412" s="78">
        <f>IFERROR(IF(NEW_Amort = 0, -M412* NEW_I_Adj,IPMT(NEW_I_Adj,IF(K412 = 0, 1, K412),NEW_Amort_Periods,NEW_Orig_Loan_Amount)),0)</f>
        <v>0</v>
      </c>
      <c r="Q412" s="78">
        <f t="shared" si="156"/>
        <v>0</v>
      </c>
      <c r="S412">
        <f t="shared" si="149"/>
        <v>34</v>
      </c>
      <c r="T412">
        <f t="shared" si="157"/>
        <v>407</v>
      </c>
      <c r="U412" s="49">
        <f t="shared" si="162"/>
        <v>12359</v>
      </c>
      <c r="V412" s="78">
        <f t="shared" si="158"/>
        <v>0</v>
      </c>
      <c r="W412" s="78">
        <f t="shared" ca="1" si="163"/>
        <v>0</v>
      </c>
      <c r="X412" s="78">
        <f>IFERROR(IF(OR(T412=0, U412&gt;=Refi_Origination_Date),0, PPMT(Mezz_I_Adj,'Loan Amort Table'!T412,Mezz_Amort_Periods,Mezz_Orig_Loan_Amount)),0)</f>
        <v>0</v>
      </c>
      <c r="Y412" s="78" cm="1">
        <f t="array" aca="1" ref="Y412" ca="1">IFERROR(_xlfn.IFS(U412&gt;=Refi_Origination_Date,0, Mezz_Amort = 0, -V412 * Mezz_I_Adj, 1, IPMT(Mezz_I_Adj,IF(T412 = 0, 1, T412),Mezz_Amort_Periods,Mezz_Orig_Loan_Amount)),0)</f>
        <v>0</v>
      </c>
      <c r="Z412" s="78">
        <f t="shared" si="164"/>
        <v>0</v>
      </c>
      <c r="AB412">
        <f t="shared" si="150"/>
        <v>34</v>
      </c>
      <c r="AC412">
        <f t="shared" si="159"/>
        <v>407</v>
      </c>
      <c r="AD412" s="49">
        <f t="shared" si="165"/>
        <v>12359</v>
      </c>
      <c r="AE412" s="78">
        <f t="shared" si="160"/>
        <v>0</v>
      </c>
      <c r="AF412" s="78">
        <f t="shared" ca="1" si="166"/>
        <v>0</v>
      </c>
      <c r="AG412" s="78">
        <f ca="1">IFERROR(IF(AC412=0,0, PPMT(Refi_I_Adj,'Loan Amort Table'!AC412,Refi_Amort_Periods,Refi_Orig_Loan_Amount)),0)</f>
        <v>0</v>
      </c>
      <c r="AH412" s="78">
        <f t="shared" ca="1" si="151"/>
        <v>0</v>
      </c>
      <c r="AI412" s="78">
        <f t="shared" ca="1" si="167"/>
        <v>0</v>
      </c>
    </row>
    <row r="413" spans="1:35" x14ac:dyDescent="0.25">
      <c r="A413">
        <f t="shared" si="147"/>
        <v>34</v>
      </c>
      <c r="B413">
        <f t="shared" si="152"/>
        <v>408</v>
      </c>
      <c r="C413" s="49">
        <f t="shared" si="146"/>
        <v>12389</v>
      </c>
      <c r="D413" s="78">
        <f>IF(C413&gt;EDATE(DATE(YEAR(SED_Origination_Date)+ SED_Amort, MONTH(SED_Origination_Date), DAY(SED_Origination_Date)),SED_Interest_Only),0,H412)</f>
        <v>0</v>
      </c>
      <c r="E413" s="78">
        <f t="shared" si="153"/>
        <v>0</v>
      </c>
      <c r="F413" s="78">
        <f>IFERROR(IF(OR(B413=0, C413&gt;=Refi_Origination_Date),0, PPMT(SED_I_Adj,'Loan Amort Table'!B413,SED_Amort_Periods,SED_Orig_Loan_Amount)),0)</f>
        <v>0</v>
      </c>
      <c r="G413" s="78" cm="1">
        <f t="array" ref="G413">IFERROR(_xlfn.IFS(C413&gt;=Refi_Origination_Date, 0, SED_Amort = 0, -D413 * SED_I_Adj, 1, IPMT(SED_I_Adj,IF(B413 = 0, 1, B413),SED_Amort_Periods,SED_Orig_Loan_Amount)),0)</f>
        <v>0</v>
      </c>
      <c r="H413" s="78">
        <f t="shared" si="168"/>
        <v>0</v>
      </c>
      <c r="J413">
        <f t="shared" si="148"/>
        <v>34</v>
      </c>
      <c r="K413">
        <f t="shared" si="154"/>
        <v>408</v>
      </c>
      <c r="L413" s="49">
        <f t="shared" si="161"/>
        <v>12389</v>
      </c>
      <c r="M413" s="78">
        <f>IF(L413&gt;EDATE(DATE(YEAR(NEW_Origination_Date)+ NEW_Amort, MONTH(NEW_Origination_Date), DAY(NEW_Origination_Date)),NEW_Interest_Only),0,Q412)</f>
        <v>0</v>
      </c>
      <c r="N413" s="78">
        <f t="shared" si="155"/>
        <v>0</v>
      </c>
      <c r="O413" s="78">
        <f>IFERROR(IF(K413=0,0, PPMT(NEW_I_Adj,'Loan Amort Table'!K413,NEW_Amort_Periods,NEW_Orig_Loan_Amount)),0)</f>
        <v>0</v>
      </c>
      <c r="P413" s="78">
        <f>IFERROR(IF(NEW_Amort = 0, -M413* NEW_I_Adj,IPMT(NEW_I_Adj,IF(K413 = 0, 1, K413),NEW_Amort_Periods,NEW_Orig_Loan_Amount)),0)</f>
        <v>0</v>
      </c>
      <c r="Q413" s="78">
        <f t="shared" si="156"/>
        <v>0</v>
      </c>
      <c r="S413">
        <f t="shared" si="149"/>
        <v>34</v>
      </c>
      <c r="T413">
        <f t="shared" si="157"/>
        <v>408</v>
      </c>
      <c r="U413" s="49">
        <f t="shared" si="162"/>
        <v>12389</v>
      </c>
      <c r="V413" s="78">
        <f t="shared" si="158"/>
        <v>0</v>
      </c>
      <c r="W413" s="78">
        <f t="shared" ca="1" si="163"/>
        <v>0</v>
      </c>
      <c r="X413" s="78">
        <f>IFERROR(IF(OR(T413=0, U413&gt;=Refi_Origination_Date),0, PPMT(Mezz_I_Adj,'Loan Amort Table'!T413,Mezz_Amort_Periods,Mezz_Orig_Loan_Amount)),0)</f>
        <v>0</v>
      </c>
      <c r="Y413" s="78" cm="1">
        <f t="array" aca="1" ref="Y413" ca="1">IFERROR(_xlfn.IFS(U413&gt;=Refi_Origination_Date,0, Mezz_Amort = 0, -V413 * Mezz_I_Adj, 1, IPMT(Mezz_I_Adj,IF(T413 = 0, 1, T413),Mezz_Amort_Periods,Mezz_Orig_Loan_Amount)),0)</f>
        <v>0</v>
      </c>
      <c r="Z413" s="78">
        <f t="shared" si="164"/>
        <v>0</v>
      </c>
      <c r="AB413">
        <f t="shared" si="150"/>
        <v>34</v>
      </c>
      <c r="AC413">
        <f t="shared" si="159"/>
        <v>408</v>
      </c>
      <c r="AD413" s="49">
        <f t="shared" si="165"/>
        <v>12389</v>
      </c>
      <c r="AE413" s="78">
        <f t="shared" si="160"/>
        <v>0</v>
      </c>
      <c r="AF413" s="78">
        <f t="shared" ca="1" si="166"/>
        <v>0</v>
      </c>
      <c r="AG413" s="78">
        <f ca="1">IFERROR(IF(AC413=0,0, PPMT(Refi_I_Adj,'Loan Amort Table'!AC413,Refi_Amort_Periods,Refi_Orig_Loan_Amount)),0)</f>
        <v>0</v>
      </c>
      <c r="AH413" s="78">
        <f t="shared" ca="1" si="151"/>
        <v>0</v>
      </c>
      <c r="AI413" s="78">
        <f t="shared" ca="1" si="167"/>
        <v>0</v>
      </c>
    </row>
    <row r="414" spans="1:35" x14ac:dyDescent="0.25">
      <c r="A414">
        <f t="shared" si="147"/>
        <v>35</v>
      </c>
      <c r="B414">
        <f t="shared" si="152"/>
        <v>409</v>
      </c>
      <c r="C414" s="49">
        <f t="shared" si="146"/>
        <v>12420</v>
      </c>
      <c r="D414" s="78">
        <f>IF(C414&gt;EDATE(DATE(YEAR(SED_Origination_Date)+ SED_Amort, MONTH(SED_Origination_Date), DAY(SED_Origination_Date)),SED_Interest_Only),0,H413)</f>
        <v>0</v>
      </c>
      <c r="E414" s="78">
        <f t="shared" si="153"/>
        <v>0</v>
      </c>
      <c r="F414" s="78">
        <f>IFERROR(IF(OR(B414=0, C414&gt;=Refi_Origination_Date),0, PPMT(SED_I_Adj,'Loan Amort Table'!B414,SED_Amort_Periods,SED_Orig_Loan_Amount)),0)</f>
        <v>0</v>
      </c>
      <c r="G414" s="78" cm="1">
        <f t="array" ref="G414">IFERROR(_xlfn.IFS(C414&gt;=Refi_Origination_Date, 0, SED_Amort = 0, -D414 * SED_I_Adj, 1, IPMT(SED_I_Adj,IF(B414 = 0, 1, B414),SED_Amort_Periods,SED_Orig_Loan_Amount)),0)</f>
        <v>0</v>
      </c>
      <c r="H414" s="78">
        <f t="shared" si="168"/>
        <v>0</v>
      </c>
      <c r="J414">
        <f t="shared" si="148"/>
        <v>35</v>
      </c>
      <c r="K414">
        <f t="shared" si="154"/>
        <v>409</v>
      </c>
      <c r="L414" s="49">
        <f t="shared" si="161"/>
        <v>12420</v>
      </c>
      <c r="M414" s="78">
        <f>IF(L414&gt;EDATE(DATE(YEAR(NEW_Origination_Date)+ NEW_Amort, MONTH(NEW_Origination_Date), DAY(NEW_Origination_Date)),NEW_Interest_Only),0,Q413)</f>
        <v>0</v>
      </c>
      <c r="N414" s="78">
        <f t="shared" si="155"/>
        <v>0</v>
      </c>
      <c r="O414" s="78">
        <f>IFERROR(IF(K414=0,0, PPMT(NEW_I_Adj,'Loan Amort Table'!K414,NEW_Amort_Periods,NEW_Orig_Loan_Amount)),0)</f>
        <v>0</v>
      </c>
      <c r="P414" s="78">
        <f>IFERROR(IF(NEW_Amort = 0, -M414* NEW_I_Adj,IPMT(NEW_I_Adj,IF(K414 = 0, 1, K414),NEW_Amort_Periods,NEW_Orig_Loan_Amount)),0)</f>
        <v>0</v>
      </c>
      <c r="Q414" s="78">
        <f t="shared" si="156"/>
        <v>0</v>
      </c>
      <c r="S414">
        <f t="shared" si="149"/>
        <v>35</v>
      </c>
      <c r="T414">
        <f t="shared" si="157"/>
        <v>409</v>
      </c>
      <c r="U414" s="49">
        <f t="shared" si="162"/>
        <v>12420</v>
      </c>
      <c r="V414" s="78">
        <f t="shared" si="158"/>
        <v>0</v>
      </c>
      <c r="W414" s="78">
        <f t="shared" ca="1" si="163"/>
        <v>0</v>
      </c>
      <c r="X414" s="78">
        <f>IFERROR(IF(OR(T414=0, U414&gt;=Refi_Origination_Date),0, PPMT(Mezz_I_Adj,'Loan Amort Table'!T414,Mezz_Amort_Periods,Mezz_Orig_Loan_Amount)),0)</f>
        <v>0</v>
      </c>
      <c r="Y414" s="78" cm="1">
        <f t="array" aca="1" ref="Y414" ca="1">IFERROR(_xlfn.IFS(U414&gt;=Refi_Origination_Date,0, Mezz_Amort = 0, -V414 * Mezz_I_Adj, 1, IPMT(Mezz_I_Adj,IF(T414 = 0, 1, T414),Mezz_Amort_Periods,Mezz_Orig_Loan_Amount)),0)</f>
        <v>0</v>
      </c>
      <c r="Z414" s="78">
        <f t="shared" si="164"/>
        <v>0</v>
      </c>
      <c r="AB414">
        <f t="shared" si="150"/>
        <v>35</v>
      </c>
      <c r="AC414">
        <f t="shared" si="159"/>
        <v>409</v>
      </c>
      <c r="AD414" s="49">
        <f t="shared" si="165"/>
        <v>12420</v>
      </c>
      <c r="AE414" s="78">
        <f t="shared" si="160"/>
        <v>0</v>
      </c>
      <c r="AF414" s="78">
        <f t="shared" ca="1" si="166"/>
        <v>0</v>
      </c>
      <c r="AG414" s="78">
        <f ca="1">IFERROR(IF(AC414=0,0, PPMT(Refi_I_Adj,'Loan Amort Table'!AC414,Refi_Amort_Periods,Refi_Orig_Loan_Amount)),0)</f>
        <v>0</v>
      </c>
      <c r="AH414" s="78">
        <f t="shared" ca="1" si="151"/>
        <v>0</v>
      </c>
      <c r="AI414" s="78">
        <f t="shared" ca="1" si="167"/>
        <v>0</v>
      </c>
    </row>
    <row r="415" spans="1:35" x14ac:dyDescent="0.25">
      <c r="A415">
        <f t="shared" si="147"/>
        <v>35</v>
      </c>
      <c r="B415">
        <f t="shared" si="152"/>
        <v>410</v>
      </c>
      <c r="C415" s="49">
        <f t="shared" si="146"/>
        <v>12451</v>
      </c>
      <c r="D415" s="78">
        <f>IF(C415&gt;EDATE(DATE(YEAR(SED_Origination_Date)+ SED_Amort, MONTH(SED_Origination_Date), DAY(SED_Origination_Date)),SED_Interest_Only),0,H414)</f>
        <v>0</v>
      </c>
      <c r="E415" s="78">
        <f t="shared" si="153"/>
        <v>0</v>
      </c>
      <c r="F415" s="78">
        <f>IFERROR(IF(OR(B415=0, C415&gt;=Refi_Origination_Date),0, PPMT(SED_I_Adj,'Loan Amort Table'!B415,SED_Amort_Periods,SED_Orig_Loan_Amount)),0)</f>
        <v>0</v>
      </c>
      <c r="G415" s="78" cm="1">
        <f t="array" ref="G415">IFERROR(_xlfn.IFS(C415&gt;=Refi_Origination_Date, 0, SED_Amort = 0, -D415 * SED_I_Adj, 1, IPMT(SED_I_Adj,IF(B415 = 0, 1, B415),SED_Amort_Periods,SED_Orig_Loan_Amount)),0)</f>
        <v>0</v>
      </c>
      <c r="H415" s="78">
        <f t="shared" si="168"/>
        <v>0</v>
      </c>
      <c r="J415">
        <f t="shared" si="148"/>
        <v>35</v>
      </c>
      <c r="K415">
        <f t="shared" si="154"/>
        <v>410</v>
      </c>
      <c r="L415" s="49">
        <f t="shared" si="161"/>
        <v>12451</v>
      </c>
      <c r="M415" s="78">
        <f>IF(L415&gt;EDATE(DATE(YEAR(NEW_Origination_Date)+ NEW_Amort, MONTH(NEW_Origination_Date), DAY(NEW_Origination_Date)),NEW_Interest_Only),0,Q414)</f>
        <v>0</v>
      </c>
      <c r="N415" s="78">
        <f t="shared" si="155"/>
        <v>0</v>
      </c>
      <c r="O415" s="78">
        <f>IFERROR(IF(K415=0,0, PPMT(NEW_I_Adj,'Loan Amort Table'!K415,NEW_Amort_Periods,NEW_Orig_Loan_Amount)),0)</f>
        <v>0</v>
      </c>
      <c r="P415" s="78">
        <f>IFERROR(IF(NEW_Amort = 0, -M415* NEW_I_Adj,IPMT(NEW_I_Adj,IF(K415 = 0, 1, K415),NEW_Amort_Periods,NEW_Orig_Loan_Amount)),0)</f>
        <v>0</v>
      </c>
      <c r="Q415" s="78">
        <f t="shared" si="156"/>
        <v>0</v>
      </c>
      <c r="S415">
        <f t="shared" si="149"/>
        <v>35</v>
      </c>
      <c r="T415">
        <f t="shared" si="157"/>
        <v>410</v>
      </c>
      <c r="U415" s="49">
        <f t="shared" si="162"/>
        <v>12451</v>
      </c>
      <c r="V415" s="78">
        <f t="shared" si="158"/>
        <v>0</v>
      </c>
      <c r="W415" s="78">
        <f t="shared" ca="1" si="163"/>
        <v>0</v>
      </c>
      <c r="X415" s="78">
        <f>IFERROR(IF(OR(T415=0, U415&gt;=Refi_Origination_Date),0, PPMT(Mezz_I_Adj,'Loan Amort Table'!T415,Mezz_Amort_Periods,Mezz_Orig_Loan_Amount)),0)</f>
        <v>0</v>
      </c>
      <c r="Y415" s="78" cm="1">
        <f t="array" aca="1" ref="Y415" ca="1">IFERROR(_xlfn.IFS(U415&gt;=Refi_Origination_Date,0, Mezz_Amort = 0, -V415 * Mezz_I_Adj, 1, IPMT(Mezz_I_Adj,IF(T415 = 0, 1, T415),Mezz_Amort_Periods,Mezz_Orig_Loan_Amount)),0)</f>
        <v>0</v>
      </c>
      <c r="Z415" s="78">
        <f t="shared" si="164"/>
        <v>0</v>
      </c>
      <c r="AB415">
        <f t="shared" si="150"/>
        <v>35</v>
      </c>
      <c r="AC415">
        <f t="shared" si="159"/>
        <v>410</v>
      </c>
      <c r="AD415" s="49">
        <f t="shared" si="165"/>
        <v>12451</v>
      </c>
      <c r="AE415" s="78">
        <f t="shared" si="160"/>
        <v>0</v>
      </c>
      <c r="AF415" s="78">
        <f t="shared" ca="1" si="166"/>
        <v>0</v>
      </c>
      <c r="AG415" s="78">
        <f ca="1">IFERROR(IF(AC415=0,0, PPMT(Refi_I_Adj,'Loan Amort Table'!AC415,Refi_Amort_Periods,Refi_Orig_Loan_Amount)),0)</f>
        <v>0</v>
      </c>
      <c r="AH415" s="78">
        <f t="shared" ca="1" si="151"/>
        <v>0</v>
      </c>
      <c r="AI415" s="78">
        <f t="shared" ca="1" si="167"/>
        <v>0</v>
      </c>
    </row>
    <row r="416" spans="1:35" x14ac:dyDescent="0.25">
      <c r="A416">
        <f t="shared" si="147"/>
        <v>35</v>
      </c>
      <c r="B416">
        <f t="shared" si="152"/>
        <v>411</v>
      </c>
      <c r="C416" s="49">
        <f t="shared" si="146"/>
        <v>12479</v>
      </c>
      <c r="D416" s="78">
        <f>IF(C416&gt;EDATE(DATE(YEAR(SED_Origination_Date)+ SED_Amort, MONTH(SED_Origination_Date), DAY(SED_Origination_Date)),SED_Interest_Only),0,H415)</f>
        <v>0</v>
      </c>
      <c r="E416" s="78">
        <f t="shared" si="153"/>
        <v>0</v>
      </c>
      <c r="F416" s="78">
        <f>IFERROR(IF(OR(B416=0, C416&gt;=Refi_Origination_Date),0, PPMT(SED_I_Adj,'Loan Amort Table'!B416,SED_Amort_Periods,SED_Orig_Loan_Amount)),0)</f>
        <v>0</v>
      </c>
      <c r="G416" s="78" cm="1">
        <f t="array" ref="G416">IFERROR(_xlfn.IFS(C416&gt;=Refi_Origination_Date, 0, SED_Amort = 0, -D416 * SED_I_Adj, 1, IPMT(SED_I_Adj,IF(B416 = 0, 1, B416),SED_Amort_Periods,SED_Orig_Loan_Amount)),0)</f>
        <v>0</v>
      </c>
      <c r="H416" s="78">
        <f t="shared" si="168"/>
        <v>0</v>
      </c>
      <c r="J416">
        <f t="shared" si="148"/>
        <v>35</v>
      </c>
      <c r="K416">
        <f t="shared" si="154"/>
        <v>411</v>
      </c>
      <c r="L416" s="49">
        <f t="shared" si="161"/>
        <v>12479</v>
      </c>
      <c r="M416" s="78">
        <f>IF(L416&gt;EDATE(DATE(YEAR(NEW_Origination_Date)+ NEW_Amort, MONTH(NEW_Origination_Date), DAY(NEW_Origination_Date)),NEW_Interest_Only),0,Q415)</f>
        <v>0</v>
      </c>
      <c r="N416" s="78">
        <f t="shared" si="155"/>
        <v>0</v>
      </c>
      <c r="O416" s="78">
        <f>IFERROR(IF(K416=0,0, PPMT(NEW_I_Adj,'Loan Amort Table'!K416,NEW_Amort_Periods,NEW_Orig_Loan_Amount)),0)</f>
        <v>0</v>
      </c>
      <c r="P416" s="78">
        <f>IFERROR(IF(NEW_Amort = 0, -M416* NEW_I_Adj,IPMT(NEW_I_Adj,IF(K416 = 0, 1, K416),NEW_Amort_Periods,NEW_Orig_Loan_Amount)),0)</f>
        <v>0</v>
      </c>
      <c r="Q416" s="78">
        <f t="shared" si="156"/>
        <v>0</v>
      </c>
      <c r="S416">
        <f t="shared" si="149"/>
        <v>35</v>
      </c>
      <c r="T416">
        <f t="shared" si="157"/>
        <v>411</v>
      </c>
      <c r="U416" s="49">
        <f t="shared" si="162"/>
        <v>12479</v>
      </c>
      <c r="V416" s="78">
        <f t="shared" si="158"/>
        <v>0</v>
      </c>
      <c r="W416" s="78">
        <f t="shared" ca="1" si="163"/>
        <v>0</v>
      </c>
      <c r="X416" s="78">
        <f>IFERROR(IF(OR(T416=0, U416&gt;=Refi_Origination_Date),0, PPMT(Mezz_I_Adj,'Loan Amort Table'!T416,Mezz_Amort_Periods,Mezz_Orig_Loan_Amount)),0)</f>
        <v>0</v>
      </c>
      <c r="Y416" s="78" cm="1">
        <f t="array" aca="1" ref="Y416" ca="1">IFERROR(_xlfn.IFS(U416&gt;=Refi_Origination_Date,0, Mezz_Amort = 0, -V416 * Mezz_I_Adj, 1, IPMT(Mezz_I_Adj,IF(T416 = 0, 1, T416),Mezz_Amort_Periods,Mezz_Orig_Loan_Amount)),0)</f>
        <v>0</v>
      </c>
      <c r="Z416" s="78">
        <f t="shared" si="164"/>
        <v>0</v>
      </c>
      <c r="AB416">
        <f t="shared" si="150"/>
        <v>35</v>
      </c>
      <c r="AC416">
        <f t="shared" si="159"/>
        <v>411</v>
      </c>
      <c r="AD416" s="49">
        <f t="shared" si="165"/>
        <v>12479</v>
      </c>
      <c r="AE416" s="78">
        <f t="shared" si="160"/>
        <v>0</v>
      </c>
      <c r="AF416" s="78">
        <f t="shared" ca="1" si="166"/>
        <v>0</v>
      </c>
      <c r="AG416" s="78">
        <f ca="1">IFERROR(IF(AC416=0,0, PPMT(Refi_I_Adj,'Loan Amort Table'!AC416,Refi_Amort_Periods,Refi_Orig_Loan_Amount)),0)</f>
        <v>0</v>
      </c>
      <c r="AH416" s="78">
        <f t="shared" ca="1" si="151"/>
        <v>0</v>
      </c>
      <c r="AI416" s="78">
        <f t="shared" ca="1" si="167"/>
        <v>0</v>
      </c>
    </row>
    <row r="417" spans="1:35" x14ac:dyDescent="0.25">
      <c r="A417">
        <f t="shared" si="147"/>
        <v>35</v>
      </c>
      <c r="B417">
        <f t="shared" si="152"/>
        <v>412</v>
      </c>
      <c r="C417" s="49">
        <f t="shared" si="146"/>
        <v>12510</v>
      </c>
      <c r="D417" s="78">
        <f>IF(C417&gt;EDATE(DATE(YEAR(SED_Origination_Date)+ SED_Amort, MONTH(SED_Origination_Date), DAY(SED_Origination_Date)),SED_Interest_Only),0,H416)</f>
        <v>0</v>
      </c>
      <c r="E417" s="78">
        <f t="shared" si="153"/>
        <v>0</v>
      </c>
      <c r="F417" s="78">
        <f>IFERROR(IF(OR(B417=0, C417&gt;=Refi_Origination_Date),0, PPMT(SED_I_Adj,'Loan Amort Table'!B417,SED_Amort_Periods,SED_Orig_Loan_Amount)),0)</f>
        <v>0</v>
      </c>
      <c r="G417" s="78" cm="1">
        <f t="array" ref="G417">IFERROR(_xlfn.IFS(C417&gt;=Refi_Origination_Date, 0, SED_Amort = 0, -D417 * SED_I_Adj, 1, IPMT(SED_I_Adj,IF(B417 = 0, 1, B417),SED_Amort_Periods,SED_Orig_Loan_Amount)),0)</f>
        <v>0</v>
      </c>
      <c r="H417" s="78">
        <f t="shared" si="168"/>
        <v>0</v>
      </c>
      <c r="J417">
        <f t="shared" si="148"/>
        <v>35</v>
      </c>
      <c r="K417">
        <f t="shared" si="154"/>
        <v>412</v>
      </c>
      <c r="L417" s="49">
        <f t="shared" si="161"/>
        <v>12510</v>
      </c>
      <c r="M417" s="78">
        <f>IF(L417&gt;EDATE(DATE(YEAR(NEW_Origination_Date)+ NEW_Amort, MONTH(NEW_Origination_Date), DAY(NEW_Origination_Date)),NEW_Interest_Only),0,Q416)</f>
        <v>0</v>
      </c>
      <c r="N417" s="78">
        <f t="shared" si="155"/>
        <v>0</v>
      </c>
      <c r="O417" s="78">
        <f>IFERROR(IF(K417=0,0, PPMT(NEW_I_Adj,'Loan Amort Table'!K417,NEW_Amort_Periods,NEW_Orig_Loan_Amount)),0)</f>
        <v>0</v>
      </c>
      <c r="P417" s="78">
        <f>IFERROR(IF(NEW_Amort = 0, -M417* NEW_I_Adj,IPMT(NEW_I_Adj,IF(K417 = 0, 1, K417),NEW_Amort_Periods,NEW_Orig_Loan_Amount)),0)</f>
        <v>0</v>
      </c>
      <c r="Q417" s="78">
        <f t="shared" si="156"/>
        <v>0</v>
      </c>
      <c r="S417">
        <f t="shared" si="149"/>
        <v>35</v>
      </c>
      <c r="T417">
        <f t="shared" si="157"/>
        <v>412</v>
      </c>
      <c r="U417" s="49">
        <f t="shared" si="162"/>
        <v>12510</v>
      </c>
      <c r="V417" s="78">
        <f t="shared" si="158"/>
        <v>0</v>
      </c>
      <c r="W417" s="78">
        <f t="shared" ca="1" si="163"/>
        <v>0</v>
      </c>
      <c r="X417" s="78">
        <f>IFERROR(IF(OR(T417=0, U417&gt;=Refi_Origination_Date),0, PPMT(Mezz_I_Adj,'Loan Amort Table'!T417,Mezz_Amort_Periods,Mezz_Orig_Loan_Amount)),0)</f>
        <v>0</v>
      </c>
      <c r="Y417" s="78" cm="1">
        <f t="array" aca="1" ref="Y417" ca="1">IFERROR(_xlfn.IFS(U417&gt;=Refi_Origination_Date,0, Mezz_Amort = 0, -V417 * Mezz_I_Adj, 1, IPMT(Mezz_I_Adj,IF(T417 = 0, 1, T417),Mezz_Amort_Periods,Mezz_Orig_Loan_Amount)),0)</f>
        <v>0</v>
      </c>
      <c r="Z417" s="78">
        <f t="shared" si="164"/>
        <v>0</v>
      </c>
      <c r="AB417">
        <f t="shared" si="150"/>
        <v>35</v>
      </c>
      <c r="AC417">
        <f t="shared" si="159"/>
        <v>412</v>
      </c>
      <c r="AD417" s="49">
        <f t="shared" si="165"/>
        <v>12510</v>
      </c>
      <c r="AE417" s="78">
        <f t="shared" si="160"/>
        <v>0</v>
      </c>
      <c r="AF417" s="78">
        <f t="shared" ca="1" si="166"/>
        <v>0</v>
      </c>
      <c r="AG417" s="78">
        <f ca="1">IFERROR(IF(AC417=0,0, PPMT(Refi_I_Adj,'Loan Amort Table'!AC417,Refi_Amort_Periods,Refi_Orig_Loan_Amount)),0)</f>
        <v>0</v>
      </c>
      <c r="AH417" s="78">
        <f t="shared" ca="1" si="151"/>
        <v>0</v>
      </c>
      <c r="AI417" s="78">
        <f t="shared" ca="1" si="167"/>
        <v>0</v>
      </c>
    </row>
    <row r="418" spans="1:35" x14ac:dyDescent="0.25">
      <c r="A418">
        <f t="shared" si="147"/>
        <v>35</v>
      </c>
      <c r="B418">
        <f t="shared" si="152"/>
        <v>413</v>
      </c>
      <c r="C418" s="49">
        <f t="shared" si="146"/>
        <v>12540</v>
      </c>
      <c r="D418" s="78">
        <f>IF(C418&gt;EDATE(DATE(YEAR(SED_Origination_Date)+ SED_Amort, MONTH(SED_Origination_Date), DAY(SED_Origination_Date)),SED_Interest_Only),0,H417)</f>
        <v>0</v>
      </c>
      <c r="E418" s="78">
        <f t="shared" si="153"/>
        <v>0</v>
      </c>
      <c r="F418" s="78">
        <f>IFERROR(IF(OR(B418=0, C418&gt;=Refi_Origination_Date),0, PPMT(SED_I_Adj,'Loan Amort Table'!B418,SED_Amort_Periods,SED_Orig_Loan_Amount)),0)</f>
        <v>0</v>
      </c>
      <c r="G418" s="78" cm="1">
        <f t="array" ref="G418">IFERROR(_xlfn.IFS(C418&gt;=Refi_Origination_Date, 0, SED_Amort = 0, -D418 * SED_I_Adj, 1, IPMT(SED_I_Adj,IF(B418 = 0, 1, B418),SED_Amort_Periods,SED_Orig_Loan_Amount)),0)</f>
        <v>0</v>
      </c>
      <c r="H418" s="78">
        <f t="shared" si="168"/>
        <v>0</v>
      </c>
      <c r="J418">
        <f t="shared" si="148"/>
        <v>35</v>
      </c>
      <c r="K418">
        <f t="shared" si="154"/>
        <v>413</v>
      </c>
      <c r="L418" s="49">
        <f t="shared" si="161"/>
        <v>12540</v>
      </c>
      <c r="M418" s="78">
        <f>IF(L418&gt;EDATE(DATE(YEAR(NEW_Origination_Date)+ NEW_Amort, MONTH(NEW_Origination_Date), DAY(NEW_Origination_Date)),NEW_Interest_Only),0,Q417)</f>
        <v>0</v>
      </c>
      <c r="N418" s="78">
        <f t="shared" si="155"/>
        <v>0</v>
      </c>
      <c r="O418" s="78">
        <f>IFERROR(IF(K418=0,0, PPMT(NEW_I_Adj,'Loan Amort Table'!K418,NEW_Amort_Periods,NEW_Orig_Loan_Amount)),0)</f>
        <v>0</v>
      </c>
      <c r="P418" s="78">
        <f>IFERROR(IF(NEW_Amort = 0, -M418* NEW_I_Adj,IPMT(NEW_I_Adj,IF(K418 = 0, 1, K418),NEW_Amort_Periods,NEW_Orig_Loan_Amount)),0)</f>
        <v>0</v>
      </c>
      <c r="Q418" s="78">
        <f t="shared" si="156"/>
        <v>0</v>
      </c>
      <c r="S418">
        <f t="shared" si="149"/>
        <v>35</v>
      </c>
      <c r="T418">
        <f t="shared" si="157"/>
        <v>413</v>
      </c>
      <c r="U418" s="49">
        <f t="shared" si="162"/>
        <v>12540</v>
      </c>
      <c r="V418" s="78">
        <f t="shared" si="158"/>
        <v>0</v>
      </c>
      <c r="W418" s="78">
        <f t="shared" ca="1" si="163"/>
        <v>0</v>
      </c>
      <c r="X418" s="78">
        <f>IFERROR(IF(OR(T418=0, U418&gt;=Refi_Origination_Date),0, PPMT(Mezz_I_Adj,'Loan Amort Table'!T418,Mezz_Amort_Periods,Mezz_Orig_Loan_Amount)),0)</f>
        <v>0</v>
      </c>
      <c r="Y418" s="78" cm="1">
        <f t="array" aca="1" ref="Y418" ca="1">IFERROR(_xlfn.IFS(U418&gt;=Refi_Origination_Date,0, Mezz_Amort = 0, -V418 * Mezz_I_Adj, 1, IPMT(Mezz_I_Adj,IF(T418 = 0, 1, T418),Mezz_Amort_Periods,Mezz_Orig_Loan_Amount)),0)</f>
        <v>0</v>
      </c>
      <c r="Z418" s="78">
        <f t="shared" si="164"/>
        <v>0</v>
      </c>
      <c r="AB418">
        <f t="shared" si="150"/>
        <v>35</v>
      </c>
      <c r="AC418">
        <f t="shared" si="159"/>
        <v>413</v>
      </c>
      <c r="AD418" s="49">
        <f t="shared" si="165"/>
        <v>12540</v>
      </c>
      <c r="AE418" s="78">
        <f t="shared" si="160"/>
        <v>0</v>
      </c>
      <c r="AF418" s="78">
        <f t="shared" ca="1" si="166"/>
        <v>0</v>
      </c>
      <c r="AG418" s="78">
        <f ca="1">IFERROR(IF(AC418=0,0, PPMT(Refi_I_Adj,'Loan Amort Table'!AC418,Refi_Amort_Periods,Refi_Orig_Loan_Amount)),0)</f>
        <v>0</v>
      </c>
      <c r="AH418" s="78">
        <f t="shared" ca="1" si="151"/>
        <v>0</v>
      </c>
      <c r="AI418" s="78">
        <f t="shared" ca="1" si="167"/>
        <v>0</v>
      </c>
    </row>
    <row r="419" spans="1:35" x14ac:dyDescent="0.25">
      <c r="A419">
        <f t="shared" si="147"/>
        <v>35</v>
      </c>
      <c r="B419">
        <f t="shared" si="152"/>
        <v>414</v>
      </c>
      <c r="C419" s="49">
        <f t="shared" si="146"/>
        <v>12571</v>
      </c>
      <c r="D419" s="78">
        <f>IF(C419&gt;EDATE(DATE(YEAR(SED_Origination_Date)+ SED_Amort, MONTH(SED_Origination_Date), DAY(SED_Origination_Date)),SED_Interest_Only),0,H418)</f>
        <v>0</v>
      </c>
      <c r="E419" s="78">
        <f t="shared" si="153"/>
        <v>0</v>
      </c>
      <c r="F419" s="78">
        <f>IFERROR(IF(OR(B419=0, C419&gt;=Refi_Origination_Date),0, PPMT(SED_I_Adj,'Loan Amort Table'!B419,SED_Amort_Periods,SED_Orig_Loan_Amount)),0)</f>
        <v>0</v>
      </c>
      <c r="G419" s="78" cm="1">
        <f t="array" ref="G419">IFERROR(_xlfn.IFS(C419&gt;=Refi_Origination_Date, 0, SED_Amort = 0, -D419 * SED_I_Adj, 1, IPMT(SED_I_Adj,IF(B419 = 0, 1, B419),SED_Amort_Periods,SED_Orig_Loan_Amount)),0)</f>
        <v>0</v>
      </c>
      <c r="H419" s="78">
        <f t="shared" si="168"/>
        <v>0</v>
      </c>
      <c r="J419">
        <f t="shared" si="148"/>
        <v>35</v>
      </c>
      <c r="K419">
        <f t="shared" si="154"/>
        <v>414</v>
      </c>
      <c r="L419" s="49">
        <f t="shared" si="161"/>
        <v>12571</v>
      </c>
      <c r="M419" s="78">
        <f>IF(L419&gt;EDATE(DATE(YEAR(NEW_Origination_Date)+ NEW_Amort, MONTH(NEW_Origination_Date), DAY(NEW_Origination_Date)),NEW_Interest_Only),0,Q418)</f>
        <v>0</v>
      </c>
      <c r="N419" s="78">
        <f t="shared" si="155"/>
        <v>0</v>
      </c>
      <c r="O419" s="78">
        <f>IFERROR(IF(K419=0,0, PPMT(NEW_I_Adj,'Loan Amort Table'!K419,NEW_Amort_Periods,NEW_Orig_Loan_Amount)),0)</f>
        <v>0</v>
      </c>
      <c r="P419" s="78">
        <f>IFERROR(IF(NEW_Amort = 0, -M419* NEW_I_Adj,IPMT(NEW_I_Adj,IF(K419 = 0, 1, K419),NEW_Amort_Periods,NEW_Orig_Loan_Amount)),0)</f>
        <v>0</v>
      </c>
      <c r="Q419" s="78">
        <f t="shared" si="156"/>
        <v>0</v>
      </c>
      <c r="S419">
        <f t="shared" si="149"/>
        <v>35</v>
      </c>
      <c r="T419">
        <f t="shared" si="157"/>
        <v>414</v>
      </c>
      <c r="U419" s="49">
        <f t="shared" si="162"/>
        <v>12571</v>
      </c>
      <c r="V419" s="78">
        <f t="shared" si="158"/>
        <v>0</v>
      </c>
      <c r="W419" s="78">
        <f t="shared" ca="1" si="163"/>
        <v>0</v>
      </c>
      <c r="X419" s="78">
        <f>IFERROR(IF(OR(T419=0, U419&gt;=Refi_Origination_Date),0, PPMT(Mezz_I_Adj,'Loan Amort Table'!T419,Mezz_Amort_Periods,Mezz_Orig_Loan_Amount)),0)</f>
        <v>0</v>
      </c>
      <c r="Y419" s="78" cm="1">
        <f t="array" aca="1" ref="Y419" ca="1">IFERROR(_xlfn.IFS(U419&gt;=Refi_Origination_Date,0, Mezz_Amort = 0, -V419 * Mezz_I_Adj, 1, IPMT(Mezz_I_Adj,IF(T419 = 0, 1, T419),Mezz_Amort_Periods,Mezz_Orig_Loan_Amount)),0)</f>
        <v>0</v>
      </c>
      <c r="Z419" s="78">
        <f t="shared" si="164"/>
        <v>0</v>
      </c>
      <c r="AB419">
        <f t="shared" si="150"/>
        <v>35</v>
      </c>
      <c r="AC419">
        <f t="shared" si="159"/>
        <v>414</v>
      </c>
      <c r="AD419" s="49">
        <f t="shared" si="165"/>
        <v>12571</v>
      </c>
      <c r="AE419" s="78">
        <f t="shared" si="160"/>
        <v>0</v>
      </c>
      <c r="AF419" s="78">
        <f t="shared" ca="1" si="166"/>
        <v>0</v>
      </c>
      <c r="AG419" s="78">
        <f ca="1">IFERROR(IF(AC419=0,0, PPMT(Refi_I_Adj,'Loan Amort Table'!AC419,Refi_Amort_Periods,Refi_Orig_Loan_Amount)),0)</f>
        <v>0</v>
      </c>
      <c r="AH419" s="78">
        <f t="shared" ca="1" si="151"/>
        <v>0</v>
      </c>
      <c r="AI419" s="78">
        <f t="shared" ca="1" si="167"/>
        <v>0</v>
      </c>
    </row>
    <row r="420" spans="1:35" x14ac:dyDescent="0.25">
      <c r="A420">
        <f t="shared" si="147"/>
        <v>35</v>
      </c>
      <c r="B420">
        <f t="shared" si="152"/>
        <v>415</v>
      </c>
      <c r="C420" s="49">
        <f t="shared" si="146"/>
        <v>12601</v>
      </c>
      <c r="D420" s="78">
        <f>IF(C420&gt;EDATE(DATE(YEAR(SED_Origination_Date)+ SED_Amort, MONTH(SED_Origination_Date), DAY(SED_Origination_Date)),SED_Interest_Only),0,H419)</f>
        <v>0</v>
      </c>
      <c r="E420" s="78">
        <f t="shared" si="153"/>
        <v>0</v>
      </c>
      <c r="F420" s="78">
        <f>IFERROR(IF(OR(B420=0, C420&gt;=Refi_Origination_Date),0, PPMT(SED_I_Adj,'Loan Amort Table'!B420,SED_Amort_Periods,SED_Orig_Loan_Amount)),0)</f>
        <v>0</v>
      </c>
      <c r="G420" s="78" cm="1">
        <f t="array" ref="G420">IFERROR(_xlfn.IFS(C420&gt;=Refi_Origination_Date, 0, SED_Amort = 0, -D420 * SED_I_Adj, 1, IPMT(SED_I_Adj,IF(B420 = 0, 1, B420),SED_Amort_Periods,SED_Orig_Loan_Amount)),0)</f>
        <v>0</v>
      </c>
      <c r="H420" s="78">
        <f t="shared" si="168"/>
        <v>0</v>
      </c>
      <c r="J420">
        <f t="shared" si="148"/>
        <v>35</v>
      </c>
      <c r="K420">
        <f t="shared" si="154"/>
        <v>415</v>
      </c>
      <c r="L420" s="49">
        <f t="shared" si="161"/>
        <v>12601</v>
      </c>
      <c r="M420" s="78">
        <f>IF(L420&gt;EDATE(DATE(YEAR(NEW_Origination_Date)+ NEW_Amort, MONTH(NEW_Origination_Date), DAY(NEW_Origination_Date)),NEW_Interest_Only),0,Q419)</f>
        <v>0</v>
      </c>
      <c r="N420" s="78">
        <f t="shared" si="155"/>
        <v>0</v>
      </c>
      <c r="O420" s="78">
        <f>IFERROR(IF(K420=0,0, PPMT(NEW_I_Adj,'Loan Amort Table'!K420,NEW_Amort_Periods,NEW_Orig_Loan_Amount)),0)</f>
        <v>0</v>
      </c>
      <c r="P420" s="78">
        <f>IFERROR(IF(NEW_Amort = 0, -M420* NEW_I_Adj,IPMT(NEW_I_Adj,IF(K420 = 0, 1, K420),NEW_Amort_Periods,NEW_Orig_Loan_Amount)),0)</f>
        <v>0</v>
      </c>
      <c r="Q420" s="78">
        <f t="shared" si="156"/>
        <v>0</v>
      </c>
      <c r="S420">
        <f t="shared" si="149"/>
        <v>35</v>
      </c>
      <c r="T420">
        <f t="shared" si="157"/>
        <v>415</v>
      </c>
      <c r="U420" s="49">
        <f t="shared" si="162"/>
        <v>12601</v>
      </c>
      <c r="V420" s="78">
        <f t="shared" si="158"/>
        <v>0</v>
      </c>
      <c r="W420" s="78">
        <f t="shared" ca="1" si="163"/>
        <v>0</v>
      </c>
      <c r="X420" s="78">
        <f>IFERROR(IF(OR(T420=0, U420&gt;=Refi_Origination_Date),0, PPMT(Mezz_I_Adj,'Loan Amort Table'!T420,Mezz_Amort_Periods,Mezz_Orig_Loan_Amount)),0)</f>
        <v>0</v>
      </c>
      <c r="Y420" s="78" cm="1">
        <f t="array" aca="1" ref="Y420" ca="1">IFERROR(_xlfn.IFS(U420&gt;=Refi_Origination_Date,0, Mezz_Amort = 0, -V420 * Mezz_I_Adj, 1, IPMT(Mezz_I_Adj,IF(T420 = 0, 1, T420),Mezz_Amort_Periods,Mezz_Orig_Loan_Amount)),0)</f>
        <v>0</v>
      </c>
      <c r="Z420" s="78">
        <f t="shared" si="164"/>
        <v>0</v>
      </c>
      <c r="AB420">
        <f t="shared" si="150"/>
        <v>35</v>
      </c>
      <c r="AC420">
        <f t="shared" si="159"/>
        <v>415</v>
      </c>
      <c r="AD420" s="49">
        <f t="shared" si="165"/>
        <v>12601</v>
      </c>
      <c r="AE420" s="78">
        <f t="shared" si="160"/>
        <v>0</v>
      </c>
      <c r="AF420" s="78">
        <f t="shared" ca="1" si="166"/>
        <v>0</v>
      </c>
      <c r="AG420" s="78">
        <f ca="1">IFERROR(IF(AC420=0,0, PPMT(Refi_I_Adj,'Loan Amort Table'!AC420,Refi_Amort_Periods,Refi_Orig_Loan_Amount)),0)</f>
        <v>0</v>
      </c>
      <c r="AH420" s="78">
        <f t="shared" ca="1" si="151"/>
        <v>0</v>
      </c>
      <c r="AI420" s="78">
        <f t="shared" ca="1" si="167"/>
        <v>0</v>
      </c>
    </row>
    <row r="421" spans="1:35" x14ac:dyDescent="0.25">
      <c r="A421">
        <f t="shared" si="147"/>
        <v>35</v>
      </c>
      <c r="B421">
        <f t="shared" si="152"/>
        <v>416</v>
      </c>
      <c r="C421" s="49">
        <f t="shared" si="146"/>
        <v>12632</v>
      </c>
      <c r="D421" s="78">
        <f>IF(C421&gt;EDATE(DATE(YEAR(SED_Origination_Date)+ SED_Amort, MONTH(SED_Origination_Date), DAY(SED_Origination_Date)),SED_Interest_Only),0,H420)</f>
        <v>0</v>
      </c>
      <c r="E421" s="78">
        <f t="shared" si="153"/>
        <v>0</v>
      </c>
      <c r="F421" s="78">
        <f>IFERROR(IF(OR(B421=0, C421&gt;=Refi_Origination_Date),0, PPMT(SED_I_Adj,'Loan Amort Table'!B421,SED_Amort_Periods,SED_Orig_Loan_Amount)),0)</f>
        <v>0</v>
      </c>
      <c r="G421" s="78" cm="1">
        <f t="array" ref="G421">IFERROR(_xlfn.IFS(C421&gt;=Refi_Origination_Date, 0, SED_Amort = 0, -D421 * SED_I_Adj, 1, IPMT(SED_I_Adj,IF(B421 = 0, 1, B421),SED_Amort_Periods,SED_Orig_Loan_Amount)),0)</f>
        <v>0</v>
      </c>
      <c r="H421" s="78">
        <f t="shared" si="168"/>
        <v>0</v>
      </c>
      <c r="J421">
        <f t="shared" si="148"/>
        <v>35</v>
      </c>
      <c r="K421">
        <f t="shared" si="154"/>
        <v>416</v>
      </c>
      <c r="L421" s="49">
        <f t="shared" si="161"/>
        <v>12632</v>
      </c>
      <c r="M421" s="78">
        <f>IF(L421&gt;EDATE(DATE(YEAR(NEW_Origination_Date)+ NEW_Amort, MONTH(NEW_Origination_Date), DAY(NEW_Origination_Date)),NEW_Interest_Only),0,Q420)</f>
        <v>0</v>
      </c>
      <c r="N421" s="78">
        <f t="shared" si="155"/>
        <v>0</v>
      </c>
      <c r="O421" s="78">
        <f>IFERROR(IF(K421=0,0, PPMT(NEW_I_Adj,'Loan Amort Table'!K421,NEW_Amort_Periods,NEW_Orig_Loan_Amount)),0)</f>
        <v>0</v>
      </c>
      <c r="P421" s="78">
        <f>IFERROR(IF(NEW_Amort = 0, -M421* NEW_I_Adj,IPMT(NEW_I_Adj,IF(K421 = 0, 1, K421),NEW_Amort_Periods,NEW_Orig_Loan_Amount)),0)</f>
        <v>0</v>
      </c>
      <c r="Q421" s="78">
        <f t="shared" si="156"/>
        <v>0</v>
      </c>
      <c r="S421">
        <f t="shared" si="149"/>
        <v>35</v>
      </c>
      <c r="T421">
        <f t="shared" si="157"/>
        <v>416</v>
      </c>
      <c r="U421" s="49">
        <f t="shared" si="162"/>
        <v>12632</v>
      </c>
      <c r="V421" s="78">
        <f t="shared" si="158"/>
        <v>0</v>
      </c>
      <c r="W421" s="78">
        <f t="shared" ca="1" si="163"/>
        <v>0</v>
      </c>
      <c r="X421" s="78">
        <f>IFERROR(IF(OR(T421=0, U421&gt;=Refi_Origination_Date),0, PPMT(Mezz_I_Adj,'Loan Amort Table'!T421,Mezz_Amort_Periods,Mezz_Orig_Loan_Amount)),0)</f>
        <v>0</v>
      </c>
      <c r="Y421" s="78" cm="1">
        <f t="array" aca="1" ref="Y421" ca="1">IFERROR(_xlfn.IFS(U421&gt;=Refi_Origination_Date,0, Mezz_Amort = 0, -V421 * Mezz_I_Adj, 1, IPMT(Mezz_I_Adj,IF(T421 = 0, 1, T421),Mezz_Amort_Periods,Mezz_Orig_Loan_Amount)),0)</f>
        <v>0</v>
      </c>
      <c r="Z421" s="78">
        <f t="shared" si="164"/>
        <v>0</v>
      </c>
      <c r="AB421">
        <f t="shared" si="150"/>
        <v>35</v>
      </c>
      <c r="AC421">
        <f t="shared" si="159"/>
        <v>416</v>
      </c>
      <c r="AD421" s="49">
        <f t="shared" si="165"/>
        <v>12632</v>
      </c>
      <c r="AE421" s="78">
        <f t="shared" si="160"/>
        <v>0</v>
      </c>
      <c r="AF421" s="78">
        <f t="shared" ca="1" si="166"/>
        <v>0</v>
      </c>
      <c r="AG421" s="78">
        <f ca="1">IFERROR(IF(AC421=0,0, PPMT(Refi_I_Adj,'Loan Amort Table'!AC421,Refi_Amort_Periods,Refi_Orig_Loan_Amount)),0)</f>
        <v>0</v>
      </c>
      <c r="AH421" s="78">
        <f t="shared" ca="1" si="151"/>
        <v>0</v>
      </c>
      <c r="AI421" s="78">
        <f t="shared" ca="1" si="167"/>
        <v>0</v>
      </c>
    </row>
    <row r="422" spans="1:35" x14ac:dyDescent="0.25">
      <c r="A422">
        <f t="shared" si="147"/>
        <v>35</v>
      </c>
      <c r="B422">
        <f t="shared" si="152"/>
        <v>417</v>
      </c>
      <c r="C422" s="49">
        <f t="shared" si="146"/>
        <v>12663</v>
      </c>
      <c r="D422" s="78">
        <f>IF(C422&gt;EDATE(DATE(YEAR(SED_Origination_Date)+ SED_Amort, MONTH(SED_Origination_Date), DAY(SED_Origination_Date)),SED_Interest_Only),0,H421)</f>
        <v>0</v>
      </c>
      <c r="E422" s="78">
        <f t="shared" si="153"/>
        <v>0</v>
      </c>
      <c r="F422" s="78">
        <f>IFERROR(IF(OR(B422=0, C422&gt;=Refi_Origination_Date),0, PPMT(SED_I_Adj,'Loan Amort Table'!B422,SED_Amort_Periods,SED_Orig_Loan_Amount)),0)</f>
        <v>0</v>
      </c>
      <c r="G422" s="78" cm="1">
        <f t="array" ref="G422">IFERROR(_xlfn.IFS(C422&gt;=Refi_Origination_Date, 0, SED_Amort = 0, -D422 * SED_I_Adj, 1, IPMT(SED_I_Adj,IF(B422 = 0, 1, B422),SED_Amort_Periods,SED_Orig_Loan_Amount)),0)</f>
        <v>0</v>
      </c>
      <c r="H422" s="78">
        <f t="shared" si="168"/>
        <v>0</v>
      </c>
      <c r="J422">
        <f t="shared" si="148"/>
        <v>35</v>
      </c>
      <c r="K422">
        <f t="shared" si="154"/>
        <v>417</v>
      </c>
      <c r="L422" s="49">
        <f t="shared" si="161"/>
        <v>12663</v>
      </c>
      <c r="M422" s="78">
        <f>IF(L422&gt;EDATE(DATE(YEAR(NEW_Origination_Date)+ NEW_Amort, MONTH(NEW_Origination_Date), DAY(NEW_Origination_Date)),NEW_Interest_Only),0,Q421)</f>
        <v>0</v>
      </c>
      <c r="N422" s="78">
        <f t="shared" si="155"/>
        <v>0</v>
      </c>
      <c r="O422" s="78">
        <f>IFERROR(IF(K422=0,0, PPMT(NEW_I_Adj,'Loan Amort Table'!K422,NEW_Amort_Periods,NEW_Orig_Loan_Amount)),0)</f>
        <v>0</v>
      </c>
      <c r="P422" s="78">
        <f>IFERROR(IF(NEW_Amort = 0, -M422* NEW_I_Adj,IPMT(NEW_I_Adj,IF(K422 = 0, 1, K422),NEW_Amort_Periods,NEW_Orig_Loan_Amount)),0)</f>
        <v>0</v>
      </c>
      <c r="Q422" s="78">
        <f t="shared" si="156"/>
        <v>0</v>
      </c>
      <c r="S422">
        <f t="shared" si="149"/>
        <v>35</v>
      </c>
      <c r="T422">
        <f t="shared" si="157"/>
        <v>417</v>
      </c>
      <c r="U422" s="49">
        <f t="shared" si="162"/>
        <v>12663</v>
      </c>
      <c r="V422" s="78">
        <f t="shared" si="158"/>
        <v>0</v>
      </c>
      <c r="W422" s="78">
        <f t="shared" ca="1" si="163"/>
        <v>0</v>
      </c>
      <c r="X422" s="78">
        <f>IFERROR(IF(OR(T422=0, U422&gt;=Refi_Origination_Date),0, PPMT(Mezz_I_Adj,'Loan Amort Table'!T422,Mezz_Amort_Periods,Mezz_Orig_Loan_Amount)),0)</f>
        <v>0</v>
      </c>
      <c r="Y422" s="78" cm="1">
        <f t="array" aca="1" ref="Y422" ca="1">IFERROR(_xlfn.IFS(U422&gt;=Refi_Origination_Date,0, Mezz_Amort = 0, -V422 * Mezz_I_Adj, 1, IPMT(Mezz_I_Adj,IF(T422 = 0, 1, T422),Mezz_Amort_Periods,Mezz_Orig_Loan_Amount)),0)</f>
        <v>0</v>
      </c>
      <c r="Z422" s="78">
        <f t="shared" si="164"/>
        <v>0</v>
      </c>
      <c r="AB422">
        <f t="shared" si="150"/>
        <v>35</v>
      </c>
      <c r="AC422">
        <f t="shared" si="159"/>
        <v>417</v>
      </c>
      <c r="AD422" s="49">
        <f t="shared" si="165"/>
        <v>12663</v>
      </c>
      <c r="AE422" s="78">
        <f t="shared" si="160"/>
        <v>0</v>
      </c>
      <c r="AF422" s="78">
        <f t="shared" ca="1" si="166"/>
        <v>0</v>
      </c>
      <c r="AG422" s="78">
        <f ca="1">IFERROR(IF(AC422=0,0, PPMT(Refi_I_Adj,'Loan Amort Table'!AC422,Refi_Amort_Periods,Refi_Orig_Loan_Amount)),0)</f>
        <v>0</v>
      </c>
      <c r="AH422" s="78">
        <f t="shared" ca="1" si="151"/>
        <v>0</v>
      </c>
      <c r="AI422" s="78">
        <f t="shared" ca="1" si="167"/>
        <v>0</v>
      </c>
    </row>
    <row r="423" spans="1:35" x14ac:dyDescent="0.25">
      <c r="A423">
        <f t="shared" si="147"/>
        <v>35</v>
      </c>
      <c r="B423">
        <f t="shared" si="152"/>
        <v>418</v>
      </c>
      <c r="C423" s="49">
        <f t="shared" si="146"/>
        <v>12693</v>
      </c>
      <c r="D423" s="78">
        <f>IF(C423&gt;EDATE(DATE(YEAR(SED_Origination_Date)+ SED_Amort, MONTH(SED_Origination_Date), DAY(SED_Origination_Date)),SED_Interest_Only),0,H422)</f>
        <v>0</v>
      </c>
      <c r="E423" s="78">
        <f t="shared" si="153"/>
        <v>0</v>
      </c>
      <c r="F423" s="78">
        <f>IFERROR(IF(OR(B423=0, C423&gt;=Refi_Origination_Date),0, PPMT(SED_I_Adj,'Loan Amort Table'!B423,SED_Amort_Periods,SED_Orig_Loan_Amount)),0)</f>
        <v>0</v>
      </c>
      <c r="G423" s="78" cm="1">
        <f t="array" ref="G423">IFERROR(_xlfn.IFS(C423&gt;=Refi_Origination_Date, 0, SED_Amort = 0, -D423 * SED_I_Adj, 1, IPMT(SED_I_Adj,IF(B423 = 0, 1, B423),SED_Amort_Periods,SED_Orig_Loan_Amount)),0)</f>
        <v>0</v>
      </c>
      <c r="H423" s="78">
        <f t="shared" si="168"/>
        <v>0</v>
      </c>
      <c r="J423">
        <f t="shared" si="148"/>
        <v>35</v>
      </c>
      <c r="K423">
        <f t="shared" si="154"/>
        <v>418</v>
      </c>
      <c r="L423" s="49">
        <f t="shared" si="161"/>
        <v>12693</v>
      </c>
      <c r="M423" s="78">
        <f>IF(L423&gt;EDATE(DATE(YEAR(NEW_Origination_Date)+ NEW_Amort, MONTH(NEW_Origination_Date), DAY(NEW_Origination_Date)),NEW_Interest_Only),0,Q422)</f>
        <v>0</v>
      </c>
      <c r="N423" s="78">
        <f t="shared" si="155"/>
        <v>0</v>
      </c>
      <c r="O423" s="78">
        <f>IFERROR(IF(K423=0,0, PPMT(NEW_I_Adj,'Loan Amort Table'!K423,NEW_Amort_Periods,NEW_Orig_Loan_Amount)),0)</f>
        <v>0</v>
      </c>
      <c r="P423" s="78">
        <f>IFERROR(IF(NEW_Amort = 0, -M423* NEW_I_Adj,IPMT(NEW_I_Adj,IF(K423 = 0, 1, K423),NEW_Amort_Periods,NEW_Orig_Loan_Amount)),0)</f>
        <v>0</v>
      </c>
      <c r="Q423" s="78">
        <f t="shared" si="156"/>
        <v>0</v>
      </c>
      <c r="S423">
        <f t="shared" si="149"/>
        <v>35</v>
      </c>
      <c r="T423">
        <f t="shared" si="157"/>
        <v>418</v>
      </c>
      <c r="U423" s="49">
        <f t="shared" si="162"/>
        <v>12693</v>
      </c>
      <c r="V423" s="78">
        <f t="shared" si="158"/>
        <v>0</v>
      </c>
      <c r="W423" s="78">
        <f t="shared" ca="1" si="163"/>
        <v>0</v>
      </c>
      <c r="X423" s="78">
        <f>IFERROR(IF(OR(T423=0, U423&gt;=Refi_Origination_Date),0, PPMT(Mezz_I_Adj,'Loan Amort Table'!T423,Mezz_Amort_Periods,Mezz_Orig_Loan_Amount)),0)</f>
        <v>0</v>
      </c>
      <c r="Y423" s="78" cm="1">
        <f t="array" aca="1" ref="Y423" ca="1">IFERROR(_xlfn.IFS(U423&gt;=Refi_Origination_Date,0, Mezz_Amort = 0, -V423 * Mezz_I_Adj, 1, IPMT(Mezz_I_Adj,IF(T423 = 0, 1, T423),Mezz_Amort_Periods,Mezz_Orig_Loan_Amount)),0)</f>
        <v>0</v>
      </c>
      <c r="Z423" s="78">
        <f t="shared" si="164"/>
        <v>0</v>
      </c>
      <c r="AB423">
        <f t="shared" si="150"/>
        <v>35</v>
      </c>
      <c r="AC423">
        <f t="shared" si="159"/>
        <v>418</v>
      </c>
      <c r="AD423" s="49">
        <f t="shared" si="165"/>
        <v>12693</v>
      </c>
      <c r="AE423" s="78">
        <f t="shared" si="160"/>
        <v>0</v>
      </c>
      <c r="AF423" s="78">
        <f t="shared" ca="1" si="166"/>
        <v>0</v>
      </c>
      <c r="AG423" s="78">
        <f ca="1">IFERROR(IF(AC423=0,0, PPMT(Refi_I_Adj,'Loan Amort Table'!AC423,Refi_Amort_Periods,Refi_Orig_Loan_Amount)),0)</f>
        <v>0</v>
      </c>
      <c r="AH423" s="78">
        <f t="shared" ca="1" si="151"/>
        <v>0</v>
      </c>
      <c r="AI423" s="78">
        <f t="shared" ca="1" si="167"/>
        <v>0</v>
      </c>
    </row>
    <row r="424" spans="1:35" x14ac:dyDescent="0.25">
      <c r="A424">
        <f t="shared" si="147"/>
        <v>35</v>
      </c>
      <c r="B424">
        <f t="shared" si="152"/>
        <v>419</v>
      </c>
      <c r="C424" s="49">
        <f t="shared" si="146"/>
        <v>12724</v>
      </c>
      <c r="D424" s="78">
        <f>IF(C424&gt;EDATE(DATE(YEAR(SED_Origination_Date)+ SED_Amort, MONTH(SED_Origination_Date), DAY(SED_Origination_Date)),SED_Interest_Only),0,H423)</f>
        <v>0</v>
      </c>
      <c r="E424" s="78">
        <f t="shared" si="153"/>
        <v>0</v>
      </c>
      <c r="F424" s="78">
        <f>IFERROR(IF(OR(B424=0, C424&gt;=Refi_Origination_Date),0, PPMT(SED_I_Adj,'Loan Amort Table'!B424,SED_Amort_Periods,SED_Orig_Loan_Amount)),0)</f>
        <v>0</v>
      </c>
      <c r="G424" s="78" cm="1">
        <f t="array" ref="G424">IFERROR(_xlfn.IFS(C424&gt;=Refi_Origination_Date, 0, SED_Amort = 0, -D424 * SED_I_Adj, 1, IPMT(SED_I_Adj,IF(B424 = 0, 1, B424),SED_Amort_Periods,SED_Orig_Loan_Amount)),0)</f>
        <v>0</v>
      </c>
      <c r="H424" s="78">
        <f t="shared" si="168"/>
        <v>0</v>
      </c>
      <c r="J424">
        <f t="shared" si="148"/>
        <v>35</v>
      </c>
      <c r="K424">
        <f t="shared" si="154"/>
        <v>419</v>
      </c>
      <c r="L424" s="49">
        <f t="shared" si="161"/>
        <v>12724</v>
      </c>
      <c r="M424" s="78">
        <f>IF(L424&gt;EDATE(DATE(YEAR(NEW_Origination_Date)+ NEW_Amort, MONTH(NEW_Origination_Date), DAY(NEW_Origination_Date)),NEW_Interest_Only),0,Q423)</f>
        <v>0</v>
      </c>
      <c r="N424" s="78">
        <f t="shared" si="155"/>
        <v>0</v>
      </c>
      <c r="O424" s="78">
        <f>IFERROR(IF(K424=0,0, PPMT(NEW_I_Adj,'Loan Amort Table'!K424,NEW_Amort_Periods,NEW_Orig_Loan_Amount)),0)</f>
        <v>0</v>
      </c>
      <c r="P424" s="78">
        <f>IFERROR(IF(NEW_Amort = 0, -M424* NEW_I_Adj,IPMT(NEW_I_Adj,IF(K424 = 0, 1, K424),NEW_Amort_Periods,NEW_Orig_Loan_Amount)),0)</f>
        <v>0</v>
      </c>
      <c r="Q424" s="78">
        <f t="shared" si="156"/>
        <v>0</v>
      </c>
      <c r="S424">
        <f t="shared" si="149"/>
        <v>35</v>
      </c>
      <c r="T424">
        <f t="shared" si="157"/>
        <v>419</v>
      </c>
      <c r="U424" s="49">
        <f t="shared" si="162"/>
        <v>12724</v>
      </c>
      <c r="V424" s="78">
        <f t="shared" si="158"/>
        <v>0</v>
      </c>
      <c r="W424" s="78">
        <f t="shared" ca="1" si="163"/>
        <v>0</v>
      </c>
      <c r="X424" s="78">
        <f>IFERROR(IF(OR(T424=0, U424&gt;=Refi_Origination_Date),0, PPMT(Mezz_I_Adj,'Loan Amort Table'!T424,Mezz_Amort_Periods,Mezz_Orig_Loan_Amount)),0)</f>
        <v>0</v>
      </c>
      <c r="Y424" s="78" cm="1">
        <f t="array" aca="1" ref="Y424" ca="1">IFERROR(_xlfn.IFS(U424&gt;=Refi_Origination_Date,0, Mezz_Amort = 0, -V424 * Mezz_I_Adj, 1, IPMT(Mezz_I_Adj,IF(T424 = 0, 1, T424),Mezz_Amort_Periods,Mezz_Orig_Loan_Amount)),0)</f>
        <v>0</v>
      </c>
      <c r="Z424" s="78">
        <f t="shared" si="164"/>
        <v>0</v>
      </c>
      <c r="AB424">
        <f t="shared" si="150"/>
        <v>35</v>
      </c>
      <c r="AC424">
        <f t="shared" si="159"/>
        <v>419</v>
      </c>
      <c r="AD424" s="49">
        <f t="shared" si="165"/>
        <v>12724</v>
      </c>
      <c r="AE424" s="78">
        <f t="shared" si="160"/>
        <v>0</v>
      </c>
      <c r="AF424" s="78">
        <f t="shared" ca="1" si="166"/>
        <v>0</v>
      </c>
      <c r="AG424" s="78">
        <f ca="1">IFERROR(IF(AC424=0,0, PPMT(Refi_I_Adj,'Loan Amort Table'!AC424,Refi_Amort_Periods,Refi_Orig_Loan_Amount)),0)</f>
        <v>0</v>
      </c>
      <c r="AH424" s="78">
        <f t="shared" ca="1" si="151"/>
        <v>0</v>
      </c>
      <c r="AI424" s="78">
        <f t="shared" ca="1" si="167"/>
        <v>0</v>
      </c>
    </row>
    <row r="425" spans="1:35" x14ac:dyDescent="0.25">
      <c r="A425">
        <f t="shared" si="147"/>
        <v>35</v>
      </c>
      <c r="B425">
        <f t="shared" si="152"/>
        <v>420</v>
      </c>
      <c r="C425" s="49">
        <f t="shared" si="146"/>
        <v>12754</v>
      </c>
      <c r="D425" s="78">
        <f>IF(C425&gt;EDATE(DATE(YEAR(SED_Origination_Date)+ SED_Amort, MONTH(SED_Origination_Date), DAY(SED_Origination_Date)),SED_Interest_Only),0,H424)</f>
        <v>0</v>
      </c>
      <c r="E425" s="78">
        <f t="shared" si="153"/>
        <v>0</v>
      </c>
      <c r="F425" s="78">
        <f>IFERROR(IF(OR(B425=0, C425&gt;=Refi_Origination_Date),0, PPMT(SED_I_Adj,'Loan Amort Table'!B425,SED_Amort_Periods,SED_Orig_Loan_Amount)),0)</f>
        <v>0</v>
      </c>
      <c r="G425" s="78" cm="1">
        <f t="array" ref="G425">IFERROR(_xlfn.IFS(C425&gt;=Refi_Origination_Date, 0, SED_Amort = 0, -D425 * SED_I_Adj, 1, IPMT(SED_I_Adj,IF(B425 = 0, 1, B425),SED_Amort_Periods,SED_Orig_Loan_Amount)),0)</f>
        <v>0</v>
      </c>
      <c r="H425" s="78">
        <f t="shared" si="168"/>
        <v>0</v>
      </c>
      <c r="J425">
        <f t="shared" si="148"/>
        <v>35</v>
      </c>
      <c r="K425">
        <f t="shared" si="154"/>
        <v>420</v>
      </c>
      <c r="L425" s="49">
        <f t="shared" si="161"/>
        <v>12754</v>
      </c>
      <c r="M425" s="78">
        <f>IF(L425&gt;EDATE(DATE(YEAR(NEW_Origination_Date)+ NEW_Amort, MONTH(NEW_Origination_Date), DAY(NEW_Origination_Date)),NEW_Interest_Only),0,Q424)</f>
        <v>0</v>
      </c>
      <c r="N425" s="78">
        <f t="shared" si="155"/>
        <v>0</v>
      </c>
      <c r="O425" s="78">
        <f>IFERROR(IF(K425=0,0, PPMT(NEW_I_Adj,'Loan Amort Table'!K425,NEW_Amort_Periods,NEW_Orig_Loan_Amount)),0)</f>
        <v>0</v>
      </c>
      <c r="P425" s="78">
        <f>IFERROR(IF(NEW_Amort = 0, -M425* NEW_I_Adj,IPMT(NEW_I_Adj,IF(K425 = 0, 1, K425),NEW_Amort_Periods,NEW_Orig_Loan_Amount)),0)</f>
        <v>0</v>
      </c>
      <c r="Q425" s="78">
        <f t="shared" si="156"/>
        <v>0</v>
      </c>
      <c r="S425">
        <f t="shared" si="149"/>
        <v>35</v>
      </c>
      <c r="T425">
        <f t="shared" si="157"/>
        <v>420</v>
      </c>
      <c r="U425" s="49">
        <f t="shared" si="162"/>
        <v>12754</v>
      </c>
      <c r="V425" s="78">
        <f t="shared" si="158"/>
        <v>0</v>
      </c>
      <c r="W425" s="78">
        <f t="shared" ca="1" si="163"/>
        <v>0</v>
      </c>
      <c r="X425" s="78">
        <f>IFERROR(IF(OR(T425=0, U425&gt;=Refi_Origination_Date),0, PPMT(Mezz_I_Adj,'Loan Amort Table'!T425,Mezz_Amort_Periods,Mezz_Orig_Loan_Amount)),0)</f>
        <v>0</v>
      </c>
      <c r="Y425" s="78" cm="1">
        <f t="array" aca="1" ref="Y425" ca="1">IFERROR(_xlfn.IFS(U425&gt;=Refi_Origination_Date,0, Mezz_Amort = 0, -V425 * Mezz_I_Adj, 1, IPMT(Mezz_I_Adj,IF(T425 = 0, 1, T425),Mezz_Amort_Periods,Mezz_Orig_Loan_Amount)),0)</f>
        <v>0</v>
      </c>
      <c r="Z425" s="78">
        <f t="shared" si="164"/>
        <v>0</v>
      </c>
      <c r="AB425">
        <f t="shared" si="150"/>
        <v>35</v>
      </c>
      <c r="AC425">
        <f t="shared" si="159"/>
        <v>420</v>
      </c>
      <c r="AD425" s="49">
        <f t="shared" si="165"/>
        <v>12754</v>
      </c>
      <c r="AE425" s="78">
        <f t="shared" si="160"/>
        <v>0</v>
      </c>
      <c r="AF425" s="78">
        <f t="shared" ca="1" si="166"/>
        <v>0</v>
      </c>
      <c r="AG425" s="78">
        <f ca="1">IFERROR(IF(AC425=0,0, PPMT(Refi_I_Adj,'Loan Amort Table'!AC425,Refi_Amort_Periods,Refi_Orig_Loan_Amount)),0)</f>
        <v>0</v>
      </c>
      <c r="AH425" s="78">
        <f t="shared" ca="1" si="151"/>
        <v>0</v>
      </c>
      <c r="AI425" s="78">
        <f t="shared" ca="1" si="167"/>
        <v>0</v>
      </c>
    </row>
    <row r="426" spans="1:35" x14ac:dyDescent="0.25">
      <c r="A426">
        <f t="shared" si="147"/>
        <v>36</v>
      </c>
      <c r="B426">
        <f t="shared" si="152"/>
        <v>421</v>
      </c>
      <c r="C426" s="49">
        <f t="shared" si="146"/>
        <v>12785</v>
      </c>
      <c r="D426" s="78">
        <f>IF(C426&gt;EDATE(DATE(YEAR(SED_Origination_Date)+ SED_Amort, MONTH(SED_Origination_Date), DAY(SED_Origination_Date)),SED_Interest_Only),0,H425)</f>
        <v>0</v>
      </c>
      <c r="E426" s="78">
        <f t="shared" si="153"/>
        <v>0</v>
      </c>
      <c r="F426" s="78">
        <f>IFERROR(IF(OR(B426=0, C426&gt;=Refi_Origination_Date),0, PPMT(SED_I_Adj,'Loan Amort Table'!B426,SED_Amort_Periods,SED_Orig_Loan_Amount)),0)</f>
        <v>0</v>
      </c>
      <c r="G426" s="78" cm="1">
        <f t="array" ref="G426">IFERROR(_xlfn.IFS(C426&gt;=Refi_Origination_Date, 0, SED_Amort = 0, -D426 * SED_I_Adj, 1, IPMT(SED_I_Adj,IF(B426 = 0, 1, B426),SED_Amort_Periods,SED_Orig_Loan_Amount)),0)</f>
        <v>0</v>
      </c>
      <c r="H426" s="78">
        <f t="shared" si="168"/>
        <v>0</v>
      </c>
      <c r="J426">
        <f t="shared" si="148"/>
        <v>36</v>
      </c>
      <c r="K426">
        <f t="shared" si="154"/>
        <v>421</v>
      </c>
      <c r="L426" s="49">
        <f t="shared" si="161"/>
        <v>12785</v>
      </c>
      <c r="M426" s="78">
        <f>IF(L426&gt;EDATE(DATE(YEAR(NEW_Origination_Date)+ NEW_Amort, MONTH(NEW_Origination_Date), DAY(NEW_Origination_Date)),NEW_Interest_Only),0,Q425)</f>
        <v>0</v>
      </c>
      <c r="N426" s="78">
        <f t="shared" si="155"/>
        <v>0</v>
      </c>
      <c r="O426" s="78">
        <f>IFERROR(IF(K426=0,0, PPMT(NEW_I_Adj,'Loan Amort Table'!K426,NEW_Amort_Periods,NEW_Orig_Loan_Amount)),0)</f>
        <v>0</v>
      </c>
      <c r="P426" s="78">
        <f>IFERROR(IF(NEW_Amort = 0, -M426* NEW_I_Adj,IPMT(NEW_I_Adj,IF(K426 = 0, 1, K426),NEW_Amort_Periods,NEW_Orig_Loan_Amount)),0)</f>
        <v>0</v>
      </c>
      <c r="Q426" s="78">
        <f t="shared" si="156"/>
        <v>0</v>
      </c>
      <c r="S426">
        <f t="shared" si="149"/>
        <v>36</v>
      </c>
      <c r="T426">
        <f t="shared" si="157"/>
        <v>421</v>
      </c>
      <c r="U426" s="49">
        <f t="shared" si="162"/>
        <v>12785</v>
      </c>
      <c r="V426" s="78">
        <f t="shared" si="158"/>
        <v>0</v>
      </c>
      <c r="W426" s="78">
        <f t="shared" ca="1" si="163"/>
        <v>0</v>
      </c>
      <c r="X426" s="78">
        <f>IFERROR(IF(OR(T426=0, U426&gt;=Refi_Origination_Date),0, PPMT(Mezz_I_Adj,'Loan Amort Table'!T426,Mezz_Amort_Periods,Mezz_Orig_Loan_Amount)),0)</f>
        <v>0</v>
      </c>
      <c r="Y426" s="78" cm="1">
        <f t="array" aca="1" ref="Y426" ca="1">IFERROR(_xlfn.IFS(U426&gt;=Refi_Origination_Date,0, Mezz_Amort = 0, -V426 * Mezz_I_Adj, 1, IPMT(Mezz_I_Adj,IF(T426 = 0, 1, T426),Mezz_Amort_Periods,Mezz_Orig_Loan_Amount)),0)</f>
        <v>0</v>
      </c>
      <c r="Z426" s="78">
        <f t="shared" si="164"/>
        <v>0</v>
      </c>
      <c r="AB426">
        <f t="shared" si="150"/>
        <v>36</v>
      </c>
      <c r="AC426">
        <f t="shared" si="159"/>
        <v>421</v>
      </c>
      <c r="AD426" s="49">
        <f t="shared" si="165"/>
        <v>12785</v>
      </c>
      <c r="AE426" s="78">
        <f t="shared" si="160"/>
        <v>0</v>
      </c>
      <c r="AF426" s="78">
        <f t="shared" ca="1" si="166"/>
        <v>0</v>
      </c>
      <c r="AG426" s="78">
        <f ca="1">IFERROR(IF(AC426=0,0, PPMT(Refi_I_Adj,'Loan Amort Table'!AC426,Refi_Amort_Periods,Refi_Orig_Loan_Amount)),0)</f>
        <v>0</v>
      </c>
      <c r="AH426" s="78">
        <f t="shared" ca="1" si="151"/>
        <v>0</v>
      </c>
      <c r="AI426" s="78">
        <f t="shared" ca="1" si="167"/>
        <v>0</v>
      </c>
    </row>
    <row r="427" spans="1:35" x14ac:dyDescent="0.25">
      <c r="A427">
        <f t="shared" si="147"/>
        <v>36</v>
      </c>
      <c r="B427">
        <f t="shared" si="152"/>
        <v>422</v>
      </c>
      <c r="C427" s="49">
        <f t="shared" si="146"/>
        <v>12816</v>
      </c>
      <c r="D427" s="78">
        <f>IF(C427&gt;EDATE(DATE(YEAR(SED_Origination_Date)+ SED_Amort, MONTH(SED_Origination_Date), DAY(SED_Origination_Date)),SED_Interest_Only),0,H426)</f>
        <v>0</v>
      </c>
      <c r="E427" s="78">
        <f t="shared" si="153"/>
        <v>0</v>
      </c>
      <c r="F427" s="78">
        <f>IFERROR(IF(OR(B427=0, C427&gt;=Refi_Origination_Date),0, PPMT(SED_I_Adj,'Loan Amort Table'!B427,SED_Amort_Periods,SED_Orig_Loan_Amount)),0)</f>
        <v>0</v>
      </c>
      <c r="G427" s="78" cm="1">
        <f t="array" ref="G427">IFERROR(_xlfn.IFS(C427&gt;=Refi_Origination_Date, 0, SED_Amort = 0, -D427 * SED_I_Adj, 1, IPMT(SED_I_Adj,IF(B427 = 0, 1, B427),SED_Amort_Periods,SED_Orig_Loan_Amount)),0)</f>
        <v>0</v>
      </c>
      <c r="H427" s="78">
        <f t="shared" si="168"/>
        <v>0</v>
      </c>
      <c r="J427">
        <f t="shared" si="148"/>
        <v>36</v>
      </c>
      <c r="K427">
        <f t="shared" si="154"/>
        <v>422</v>
      </c>
      <c r="L427" s="49">
        <f t="shared" si="161"/>
        <v>12816</v>
      </c>
      <c r="M427" s="78">
        <f>IF(L427&gt;EDATE(DATE(YEAR(NEW_Origination_Date)+ NEW_Amort, MONTH(NEW_Origination_Date), DAY(NEW_Origination_Date)),NEW_Interest_Only),0,Q426)</f>
        <v>0</v>
      </c>
      <c r="N427" s="78">
        <f t="shared" si="155"/>
        <v>0</v>
      </c>
      <c r="O427" s="78">
        <f>IFERROR(IF(K427=0,0, PPMT(NEW_I_Adj,'Loan Amort Table'!K427,NEW_Amort_Periods,NEW_Orig_Loan_Amount)),0)</f>
        <v>0</v>
      </c>
      <c r="P427" s="78">
        <f>IFERROR(IF(NEW_Amort = 0, -M427* NEW_I_Adj,IPMT(NEW_I_Adj,IF(K427 = 0, 1, K427),NEW_Amort_Periods,NEW_Orig_Loan_Amount)),0)</f>
        <v>0</v>
      </c>
      <c r="Q427" s="78">
        <f t="shared" si="156"/>
        <v>0</v>
      </c>
      <c r="S427">
        <f t="shared" si="149"/>
        <v>36</v>
      </c>
      <c r="T427">
        <f t="shared" si="157"/>
        <v>422</v>
      </c>
      <c r="U427" s="49">
        <f t="shared" si="162"/>
        <v>12816</v>
      </c>
      <c r="V427" s="78">
        <f t="shared" si="158"/>
        <v>0</v>
      </c>
      <c r="W427" s="78">
        <f t="shared" ca="1" si="163"/>
        <v>0</v>
      </c>
      <c r="X427" s="78">
        <f>IFERROR(IF(OR(T427=0, U427&gt;=Refi_Origination_Date),0, PPMT(Mezz_I_Adj,'Loan Amort Table'!T427,Mezz_Amort_Periods,Mezz_Orig_Loan_Amount)),0)</f>
        <v>0</v>
      </c>
      <c r="Y427" s="78" cm="1">
        <f t="array" aca="1" ref="Y427" ca="1">IFERROR(_xlfn.IFS(U427&gt;=Refi_Origination_Date,0, Mezz_Amort = 0, -V427 * Mezz_I_Adj, 1, IPMT(Mezz_I_Adj,IF(T427 = 0, 1, T427),Mezz_Amort_Periods,Mezz_Orig_Loan_Amount)),0)</f>
        <v>0</v>
      </c>
      <c r="Z427" s="78">
        <f t="shared" si="164"/>
        <v>0</v>
      </c>
      <c r="AB427">
        <f t="shared" si="150"/>
        <v>36</v>
      </c>
      <c r="AC427">
        <f t="shared" si="159"/>
        <v>422</v>
      </c>
      <c r="AD427" s="49">
        <f t="shared" si="165"/>
        <v>12816</v>
      </c>
      <c r="AE427" s="78">
        <f t="shared" si="160"/>
        <v>0</v>
      </c>
      <c r="AF427" s="78">
        <f t="shared" ca="1" si="166"/>
        <v>0</v>
      </c>
      <c r="AG427" s="78">
        <f ca="1">IFERROR(IF(AC427=0,0, PPMT(Refi_I_Adj,'Loan Amort Table'!AC427,Refi_Amort_Periods,Refi_Orig_Loan_Amount)),0)</f>
        <v>0</v>
      </c>
      <c r="AH427" s="78">
        <f t="shared" ca="1" si="151"/>
        <v>0</v>
      </c>
      <c r="AI427" s="78">
        <f t="shared" ca="1" si="167"/>
        <v>0</v>
      </c>
    </row>
    <row r="428" spans="1:35" x14ac:dyDescent="0.25">
      <c r="A428">
        <f t="shared" si="147"/>
        <v>36</v>
      </c>
      <c r="B428">
        <f t="shared" si="152"/>
        <v>423</v>
      </c>
      <c r="C428" s="49">
        <f t="shared" si="146"/>
        <v>12844</v>
      </c>
      <c r="D428" s="78">
        <f>IF(C428&gt;EDATE(DATE(YEAR(SED_Origination_Date)+ SED_Amort, MONTH(SED_Origination_Date), DAY(SED_Origination_Date)),SED_Interest_Only),0,H427)</f>
        <v>0</v>
      </c>
      <c r="E428" s="78">
        <f t="shared" si="153"/>
        <v>0</v>
      </c>
      <c r="F428" s="78">
        <f>IFERROR(IF(OR(B428=0, C428&gt;=Refi_Origination_Date),0, PPMT(SED_I_Adj,'Loan Amort Table'!B428,SED_Amort_Periods,SED_Orig_Loan_Amount)),0)</f>
        <v>0</v>
      </c>
      <c r="G428" s="78" cm="1">
        <f t="array" ref="G428">IFERROR(_xlfn.IFS(C428&gt;=Refi_Origination_Date, 0, SED_Amort = 0, -D428 * SED_I_Adj, 1, IPMT(SED_I_Adj,IF(B428 = 0, 1, B428),SED_Amort_Periods,SED_Orig_Loan_Amount)),0)</f>
        <v>0</v>
      </c>
      <c r="H428" s="78">
        <f t="shared" si="168"/>
        <v>0</v>
      </c>
      <c r="J428">
        <f t="shared" si="148"/>
        <v>36</v>
      </c>
      <c r="K428">
        <f t="shared" si="154"/>
        <v>423</v>
      </c>
      <c r="L428" s="49">
        <f t="shared" si="161"/>
        <v>12844</v>
      </c>
      <c r="M428" s="78">
        <f>IF(L428&gt;EDATE(DATE(YEAR(NEW_Origination_Date)+ NEW_Amort, MONTH(NEW_Origination_Date), DAY(NEW_Origination_Date)),NEW_Interest_Only),0,Q427)</f>
        <v>0</v>
      </c>
      <c r="N428" s="78">
        <f t="shared" si="155"/>
        <v>0</v>
      </c>
      <c r="O428" s="78">
        <f>IFERROR(IF(K428=0,0, PPMT(NEW_I_Adj,'Loan Amort Table'!K428,NEW_Amort_Periods,NEW_Orig_Loan_Amount)),0)</f>
        <v>0</v>
      </c>
      <c r="P428" s="78">
        <f>IFERROR(IF(NEW_Amort = 0, -M428* NEW_I_Adj,IPMT(NEW_I_Adj,IF(K428 = 0, 1, K428),NEW_Amort_Periods,NEW_Orig_Loan_Amount)),0)</f>
        <v>0</v>
      </c>
      <c r="Q428" s="78">
        <f t="shared" si="156"/>
        <v>0</v>
      </c>
      <c r="S428">
        <f t="shared" si="149"/>
        <v>36</v>
      </c>
      <c r="T428">
        <f t="shared" si="157"/>
        <v>423</v>
      </c>
      <c r="U428" s="49">
        <f t="shared" si="162"/>
        <v>12844</v>
      </c>
      <c r="V428" s="78">
        <f t="shared" si="158"/>
        <v>0</v>
      </c>
      <c r="W428" s="78">
        <f t="shared" ca="1" si="163"/>
        <v>0</v>
      </c>
      <c r="X428" s="78">
        <f>IFERROR(IF(OR(T428=0, U428&gt;=Refi_Origination_Date),0, PPMT(Mezz_I_Adj,'Loan Amort Table'!T428,Mezz_Amort_Periods,Mezz_Orig_Loan_Amount)),0)</f>
        <v>0</v>
      </c>
      <c r="Y428" s="78" cm="1">
        <f t="array" aca="1" ref="Y428" ca="1">IFERROR(_xlfn.IFS(U428&gt;=Refi_Origination_Date,0, Mezz_Amort = 0, -V428 * Mezz_I_Adj, 1, IPMT(Mezz_I_Adj,IF(T428 = 0, 1, T428),Mezz_Amort_Periods,Mezz_Orig_Loan_Amount)),0)</f>
        <v>0</v>
      </c>
      <c r="Z428" s="78">
        <f t="shared" si="164"/>
        <v>0</v>
      </c>
      <c r="AB428">
        <f t="shared" si="150"/>
        <v>36</v>
      </c>
      <c r="AC428">
        <f t="shared" si="159"/>
        <v>423</v>
      </c>
      <c r="AD428" s="49">
        <f t="shared" si="165"/>
        <v>12844</v>
      </c>
      <c r="AE428" s="78">
        <f t="shared" si="160"/>
        <v>0</v>
      </c>
      <c r="AF428" s="78">
        <f t="shared" ca="1" si="166"/>
        <v>0</v>
      </c>
      <c r="AG428" s="78">
        <f ca="1">IFERROR(IF(AC428=0,0, PPMT(Refi_I_Adj,'Loan Amort Table'!AC428,Refi_Amort_Periods,Refi_Orig_Loan_Amount)),0)</f>
        <v>0</v>
      </c>
      <c r="AH428" s="78">
        <f t="shared" ca="1" si="151"/>
        <v>0</v>
      </c>
      <c r="AI428" s="78">
        <f t="shared" ca="1" si="167"/>
        <v>0</v>
      </c>
    </row>
    <row r="429" spans="1:35" x14ac:dyDescent="0.25">
      <c r="A429">
        <f t="shared" si="147"/>
        <v>36</v>
      </c>
      <c r="B429">
        <f t="shared" si="152"/>
        <v>424</v>
      </c>
      <c r="C429" s="49">
        <f t="shared" si="146"/>
        <v>12875</v>
      </c>
      <c r="D429" s="78">
        <f>IF(C429&gt;EDATE(DATE(YEAR(SED_Origination_Date)+ SED_Amort, MONTH(SED_Origination_Date), DAY(SED_Origination_Date)),SED_Interest_Only),0,H428)</f>
        <v>0</v>
      </c>
      <c r="E429" s="78">
        <f t="shared" si="153"/>
        <v>0</v>
      </c>
      <c r="F429" s="78">
        <f>IFERROR(IF(OR(B429=0, C429&gt;=Refi_Origination_Date),0, PPMT(SED_I_Adj,'Loan Amort Table'!B429,SED_Amort_Periods,SED_Orig_Loan_Amount)),0)</f>
        <v>0</v>
      </c>
      <c r="G429" s="78" cm="1">
        <f t="array" ref="G429">IFERROR(_xlfn.IFS(C429&gt;=Refi_Origination_Date, 0, SED_Amort = 0, -D429 * SED_I_Adj, 1, IPMT(SED_I_Adj,IF(B429 = 0, 1, B429),SED_Amort_Periods,SED_Orig_Loan_Amount)),0)</f>
        <v>0</v>
      </c>
      <c r="H429" s="78">
        <f t="shared" si="168"/>
        <v>0</v>
      </c>
      <c r="J429">
        <f t="shared" si="148"/>
        <v>36</v>
      </c>
      <c r="K429">
        <f t="shared" si="154"/>
        <v>424</v>
      </c>
      <c r="L429" s="49">
        <f t="shared" si="161"/>
        <v>12875</v>
      </c>
      <c r="M429" s="78">
        <f>IF(L429&gt;EDATE(DATE(YEAR(NEW_Origination_Date)+ NEW_Amort, MONTH(NEW_Origination_Date), DAY(NEW_Origination_Date)),NEW_Interest_Only),0,Q428)</f>
        <v>0</v>
      </c>
      <c r="N429" s="78">
        <f t="shared" si="155"/>
        <v>0</v>
      </c>
      <c r="O429" s="78">
        <f>IFERROR(IF(K429=0,0, PPMT(NEW_I_Adj,'Loan Amort Table'!K429,NEW_Amort_Periods,NEW_Orig_Loan_Amount)),0)</f>
        <v>0</v>
      </c>
      <c r="P429" s="78">
        <f>IFERROR(IF(NEW_Amort = 0, -M429* NEW_I_Adj,IPMT(NEW_I_Adj,IF(K429 = 0, 1, K429),NEW_Amort_Periods,NEW_Orig_Loan_Amount)),0)</f>
        <v>0</v>
      </c>
      <c r="Q429" s="78">
        <f t="shared" si="156"/>
        <v>0</v>
      </c>
      <c r="S429">
        <f t="shared" si="149"/>
        <v>36</v>
      </c>
      <c r="T429">
        <f t="shared" si="157"/>
        <v>424</v>
      </c>
      <c r="U429" s="49">
        <f t="shared" si="162"/>
        <v>12875</v>
      </c>
      <c r="V429" s="78">
        <f t="shared" si="158"/>
        <v>0</v>
      </c>
      <c r="W429" s="78">
        <f t="shared" ca="1" si="163"/>
        <v>0</v>
      </c>
      <c r="X429" s="78">
        <f>IFERROR(IF(OR(T429=0, U429&gt;=Refi_Origination_Date),0, PPMT(Mezz_I_Adj,'Loan Amort Table'!T429,Mezz_Amort_Periods,Mezz_Orig_Loan_Amount)),0)</f>
        <v>0</v>
      </c>
      <c r="Y429" s="78" cm="1">
        <f t="array" aca="1" ref="Y429" ca="1">IFERROR(_xlfn.IFS(U429&gt;=Refi_Origination_Date,0, Mezz_Amort = 0, -V429 * Mezz_I_Adj, 1, IPMT(Mezz_I_Adj,IF(T429 = 0, 1, T429),Mezz_Amort_Periods,Mezz_Orig_Loan_Amount)),0)</f>
        <v>0</v>
      </c>
      <c r="Z429" s="78">
        <f t="shared" si="164"/>
        <v>0</v>
      </c>
      <c r="AB429">
        <f t="shared" si="150"/>
        <v>36</v>
      </c>
      <c r="AC429">
        <f t="shared" si="159"/>
        <v>424</v>
      </c>
      <c r="AD429" s="49">
        <f t="shared" si="165"/>
        <v>12875</v>
      </c>
      <c r="AE429" s="78">
        <f t="shared" si="160"/>
        <v>0</v>
      </c>
      <c r="AF429" s="78">
        <f t="shared" ca="1" si="166"/>
        <v>0</v>
      </c>
      <c r="AG429" s="78">
        <f ca="1">IFERROR(IF(AC429=0,0, PPMT(Refi_I_Adj,'Loan Amort Table'!AC429,Refi_Amort_Periods,Refi_Orig_Loan_Amount)),0)</f>
        <v>0</v>
      </c>
      <c r="AH429" s="78">
        <f t="shared" ca="1" si="151"/>
        <v>0</v>
      </c>
      <c r="AI429" s="78">
        <f t="shared" ca="1" si="167"/>
        <v>0</v>
      </c>
    </row>
    <row r="430" spans="1:35" x14ac:dyDescent="0.25">
      <c r="A430">
        <f t="shared" si="147"/>
        <v>36</v>
      </c>
      <c r="B430">
        <f t="shared" si="152"/>
        <v>425</v>
      </c>
      <c r="C430" s="49">
        <f t="shared" si="146"/>
        <v>12905</v>
      </c>
      <c r="D430" s="78">
        <f>IF(C430&gt;EDATE(DATE(YEAR(SED_Origination_Date)+ SED_Amort, MONTH(SED_Origination_Date), DAY(SED_Origination_Date)),SED_Interest_Only),0,H429)</f>
        <v>0</v>
      </c>
      <c r="E430" s="78">
        <f t="shared" si="153"/>
        <v>0</v>
      </c>
      <c r="F430" s="78">
        <f>IFERROR(IF(OR(B430=0, C430&gt;=Refi_Origination_Date),0, PPMT(SED_I_Adj,'Loan Amort Table'!B430,SED_Amort_Periods,SED_Orig_Loan_Amount)),0)</f>
        <v>0</v>
      </c>
      <c r="G430" s="78" cm="1">
        <f t="array" ref="G430">IFERROR(_xlfn.IFS(C430&gt;=Refi_Origination_Date, 0, SED_Amort = 0, -D430 * SED_I_Adj, 1, IPMT(SED_I_Adj,IF(B430 = 0, 1, B430),SED_Amort_Periods,SED_Orig_Loan_Amount)),0)</f>
        <v>0</v>
      </c>
      <c r="H430" s="78">
        <f t="shared" si="168"/>
        <v>0</v>
      </c>
      <c r="J430">
        <f t="shared" si="148"/>
        <v>36</v>
      </c>
      <c r="K430">
        <f t="shared" si="154"/>
        <v>425</v>
      </c>
      <c r="L430" s="49">
        <f t="shared" si="161"/>
        <v>12905</v>
      </c>
      <c r="M430" s="78">
        <f>IF(L430&gt;EDATE(DATE(YEAR(NEW_Origination_Date)+ NEW_Amort, MONTH(NEW_Origination_Date), DAY(NEW_Origination_Date)),NEW_Interest_Only),0,Q429)</f>
        <v>0</v>
      </c>
      <c r="N430" s="78">
        <f t="shared" si="155"/>
        <v>0</v>
      </c>
      <c r="O430" s="78">
        <f>IFERROR(IF(K430=0,0, PPMT(NEW_I_Adj,'Loan Amort Table'!K430,NEW_Amort_Periods,NEW_Orig_Loan_Amount)),0)</f>
        <v>0</v>
      </c>
      <c r="P430" s="78">
        <f>IFERROR(IF(NEW_Amort = 0, -M430* NEW_I_Adj,IPMT(NEW_I_Adj,IF(K430 = 0, 1, K430),NEW_Amort_Periods,NEW_Orig_Loan_Amount)),0)</f>
        <v>0</v>
      </c>
      <c r="Q430" s="78">
        <f t="shared" si="156"/>
        <v>0</v>
      </c>
      <c r="S430">
        <f t="shared" si="149"/>
        <v>36</v>
      </c>
      <c r="T430">
        <f t="shared" si="157"/>
        <v>425</v>
      </c>
      <c r="U430" s="49">
        <f t="shared" si="162"/>
        <v>12905</v>
      </c>
      <c r="V430" s="78">
        <f t="shared" si="158"/>
        <v>0</v>
      </c>
      <c r="W430" s="78">
        <f t="shared" ca="1" si="163"/>
        <v>0</v>
      </c>
      <c r="X430" s="78">
        <f>IFERROR(IF(OR(T430=0, U430&gt;=Refi_Origination_Date),0, PPMT(Mezz_I_Adj,'Loan Amort Table'!T430,Mezz_Amort_Periods,Mezz_Orig_Loan_Amount)),0)</f>
        <v>0</v>
      </c>
      <c r="Y430" s="78" cm="1">
        <f t="array" aca="1" ref="Y430" ca="1">IFERROR(_xlfn.IFS(U430&gt;=Refi_Origination_Date,0, Mezz_Amort = 0, -V430 * Mezz_I_Adj, 1, IPMT(Mezz_I_Adj,IF(T430 = 0, 1, T430),Mezz_Amort_Periods,Mezz_Orig_Loan_Amount)),0)</f>
        <v>0</v>
      </c>
      <c r="Z430" s="78">
        <f t="shared" si="164"/>
        <v>0</v>
      </c>
      <c r="AB430">
        <f t="shared" si="150"/>
        <v>36</v>
      </c>
      <c r="AC430">
        <f t="shared" si="159"/>
        <v>425</v>
      </c>
      <c r="AD430" s="49">
        <f t="shared" si="165"/>
        <v>12905</v>
      </c>
      <c r="AE430" s="78">
        <f t="shared" si="160"/>
        <v>0</v>
      </c>
      <c r="AF430" s="78">
        <f t="shared" ca="1" si="166"/>
        <v>0</v>
      </c>
      <c r="AG430" s="78">
        <f ca="1">IFERROR(IF(AC430=0,0, PPMT(Refi_I_Adj,'Loan Amort Table'!AC430,Refi_Amort_Periods,Refi_Orig_Loan_Amount)),0)</f>
        <v>0</v>
      </c>
      <c r="AH430" s="78">
        <f t="shared" ca="1" si="151"/>
        <v>0</v>
      </c>
      <c r="AI430" s="78">
        <f t="shared" ca="1" si="167"/>
        <v>0</v>
      </c>
    </row>
    <row r="431" spans="1:35" x14ac:dyDescent="0.25">
      <c r="A431">
        <f t="shared" si="147"/>
        <v>36</v>
      </c>
      <c r="B431">
        <f t="shared" si="152"/>
        <v>426</v>
      </c>
      <c r="C431" s="49">
        <f t="shared" si="146"/>
        <v>12936</v>
      </c>
      <c r="D431" s="78">
        <f>IF(C431&gt;EDATE(DATE(YEAR(SED_Origination_Date)+ SED_Amort, MONTH(SED_Origination_Date), DAY(SED_Origination_Date)),SED_Interest_Only),0,H430)</f>
        <v>0</v>
      </c>
      <c r="E431" s="78">
        <f t="shared" si="153"/>
        <v>0</v>
      </c>
      <c r="F431" s="78">
        <f>IFERROR(IF(OR(B431=0, C431&gt;=Refi_Origination_Date),0, PPMT(SED_I_Adj,'Loan Amort Table'!B431,SED_Amort_Periods,SED_Orig_Loan_Amount)),0)</f>
        <v>0</v>
      </c>
      <c r="G431" s="78" cm="1">
        <f t="array" ref="G431">IFERROR(_xlfn.IFS(C431&gt;=Refi_Origination_Date, 0, SED_Amort = 0, -D431 * SED_I_Adj, 1, IPMT(SED_I_Adj,IF(B431 = 0, 1, B431),SED_Amort_Periods,SED_Orig_Loan_Amount)),0)</f>
        <v>0</v>
      </c>
      <c r="H431" s="78">
        <f t="shared" si="168"/>
        <v>0</v>
      </c>
      <c r="J431">
        <f t="shared" si="148"/>
        <v>36</v>
      </c>
      <c r="K431">
        <f t="shared" si="154"/>
        <v>426</v>
      </c>
      <c r="L431" s="49">
        <f t="shared" si="161"/>
        <v>12936</v>
      </c>
      <c r="M431" s="78">
        <f>IF(L431&gt;EDATE(DATE(YEAR(NEW_Origination_Date)+ NEW_Amort, MONTH(NEW_Origination_Date), DAY(NEW_Origination_Date)),NEW_Interest_Only),0,Q430)</f>
        <v>0</v>
      </c>
      <c r="N431" s="78">
        <f t="shared" si="155"/>
        <v>0</v>
      </c>
      <c r="O431" s="78">
        <f>IFERROR(IF(K431=0,0, PPMT(NEW_I_Adj,'Loan Amort Table'!K431,NEW_Amort_Periods,NEW_Orig_Loan_Amount)),0)</f>
        <v>0</v>
      </c>
      <c r="P431" s="78">
        <f>IFERROR(IF(NEW_Amort = 0, -M431* NEW_I_Adj,IPMT(NEW_I_Adj,IF(K431 = 0, 1, K431),NEW_Amort_Periods,NEW_Orig_Loan_Amount)),0)</f>
        <v>0</v>
      </c>
      <c r="Q431" s="78">
        <f t="shared" si="156"/>
        <v>0</v>
      </c>
      <c r="S431">
        <f t="shared" si="149"/>
        <v>36</v>
      </c>
      <c r="T431">
        <f t="shared" si="157"/>
        <v>426</v>
      </c>
      <c r="U431" s="49">
        <f t="shared" si="162"/>
        <v>12936</v>
      </c>
      <c r="V431" s="78">
        <f t="shared" si="158"/>
        <v>0</v>
      </c>
      <c r="W431" s="78">
        <f t="shared" ca="1" si="163"/>
        <v>0</v>
      </c>
      <c r="X431" s="78">
        <f>IFERROR(IF(OR(T431=0, U431&gt;=Refi_Origination_Date),0, PPMT(Mezz_I_Adj,'Loan Amort Table'!T431,Mezz_Amort_Periods,Mezz_Orig_Loan_Amount)),0)</f>
        <v>0</v>
      </c>
      <c r="Y431" s="78" cm="1">
        <f t="array" aca="1" ref="Y431" ca="1">IFERROR(_xlfn.IFS(U431&gt;=Refi_Origination_Date,0, Mezz_Amort = 0, -V431 * Mezz_I_Adj, 1, IPMT(Mezz_I_Adj,IF(T431 = 0, 1, T431),Mezz_Amort_Periods,Mezz_Orig_Loan_Amount)),0)</f>
        <v>0</v>
      </c>
      <c r="Z431" s="78">
        <f t="shared" si="164"/>
        <v>0</v>
      </c>
      <c r="AB431">
        <f t="shared" si="150"/>
        <v>36</v>
      </c>
      <c r="AC431">
        <f t="shared" si="159"/>
        <v>426</v>
      </c>
      <c r="AD431" s="49">
        <f t="shared" si="165"/>
        <v>12936</v>
      </c>
      <c r="AE431" s="78">
        <f t="shared" si="160"/>
        <v>0</v>
      </c>
      <c r="AF431" s="78">
        <f t="shared" ca="1" si="166"/>
        <v>0</v>
      </c>
      <c r="AG431" s="78">
        <f ca="1">IFERROR(IF(AC431=0,0, PPMT(Refi_I_Adj,'Loan Amort Table'!AC431,Refi_Amort_Periods,Refi_Orig_Loan_Amount)),0)</f>
        <v>0</v>
      </c>
      <c r="AH431" s="78">
        <f t="shared" ca="1" si="151"/>
        <v>0</v>
      </c>
      <c r="AI431" s="78">
        <f t="shared" ca="1" si="167"/>
        <v>0</v>
      </c>
    </row>
    <row r="432" spans="1:35" x14ac:dyDescent="0.25">
      <c r="A432">
        <f t="shared" si="147"/>
        <v>36</v>
      </c>
      <c r="B432">
        <f t="shared" si="152"/>
        <v>427</v>
      </c>
      <c r="C432" s="49">
        <f t="shared" si="146"/>
        <v>12966</v>
      </c>
      <c r="D432" s="78">
        <f>IF(C432&gt;EDATE(DATE(YEAR(SED_Origination_Date)+ SED_Amort, MONTH(SED_Origination_Date), DAY(SED_Origination_Date)),SED_Interest_Only),0,H431)</f>
        <v>0</v>
      </c>
      <c r="E432" s="78">
        <f t="shared" si="153"/>
        <v>0</v>
      </c>
      <c r="F432" s="78">
        <f>IFERROR(IF(OR(B432=0, C432&gt;=Refi_Origination_Date),0, PPMT(SED_I_Adj,'Loan Amort Table'!B432,SED_Amort_Periods,SED_Orig_Loan_Amount)),0)</f>
        <v>0</v>
      </c>
      <c r="G432" s="78" cm="1">
        <f t="array" ref="G432">IFERROR(_xlfn.IFS(C432&gt;=Refi_Origination_Date, 0, SED_Amort = 0, -D432 * SED_I_Adj, 1, IPMT(SED_I_Adj,IF(B432 = 0, 1, B432),SED_Amort_Periods,SED_Orig_Loan_Amount)),0)</f>
        <v>0</v>
      </c>
      <c r="H432" s="78">
        <f t="shared" si="168"/>
        <v>0</v>
      </c>
      <c r="J432">
        <f t="shared" si="148"/>
        <v>36</v>
      </c>
      <c r="K432">
        <f t="shared" si="154"/>
        <v>427</v>
      </c>
      <c r="L432" s="49">
        <f t="shared" si="161"/>
        <v>12966</v>
      </c>
      <c r="M432" s="78">
        <f>IF(L432&gt;EDATE(DATE(YEAR(NEW_Origination_Date)+ NEW_Amort, MONTH(NEW_Origination_Date), DAY(NEW_Origination_Date)),NEW_Interest_Only),0,Q431)</f>
        <v>0</v>
      </c>
      <c r="N432" s="78">
        <f t="shared" si="155"/>
        <v>0</v>
      </c>
      <c r="O432" s="78">
        <f>IFERROR(IF(K432=0,0, PPMT(NEW_I_Adj,'Loan Amort Table'!K432,NEW_Amort_Periods,NEW_Orig_Loan_Amount)),0)</f>
        <v>0</v>
      </c>
      <c r="P432" s="78">
        <f>IFERROR(IF(NEW_Amort = 0, -M432* NEW_I_Adj,IPMT(NEW_I_Adj,IF(K432 = 0, 1, K432),NEW_Amort_Periods,NEW_Orig_Loan_Amount)),0)</f>
        <v>0</v>
      </c>
      <c r="Q432" s="78">
        <f t="shared" si="156"/>
        <v>0</v>
      </c>
      <c r="S432">
        <f t="shared" si="149"/>
        <v>36</v>
      </c>
      <c r="T432">
        <f t="shared" si="157"/>
        <v>427</v>
      </c>
      <c r="U432" s="49">
        <f t="shared" si="162"/>
        <v>12966</v>
      </c>
      <c r="V432" s="78">
        <f t="shared" si="158"/>
        <v>0</v>
      </c>
      <c r="W432" s="78">
        <f t="shared" ca="1" si="163"/>
        <v>0</v>
      </c>
      <c r="X432" s="78">
        <f>IFERROR(IF(OR(T432=0, U432&gt;=Refi_Origination_Date),0, PPMT(Mezz_I_Adj,'Loan Amort Table'!T432,Mezz_Amort_Periods,Mezz_Orig_Loan_Amount)),0)</f>
        <v>0</v>
      </c>
      <c r="Y432" s="78" cm="1">
        <f t="array" aca="1" ref="Y432" ca="1">IFERROR(_xlfn.IFS(U432&gt;=Refi_Origination_Date,0, Mezz_Amort = 0, -V432 * Mezz_I_Adj, 1, IPMT(Mezz_I_Adj,IF(T432 = 0, 1, T432),Mezz_Amort_Periods,Mezz_Orig_Loan_Amount)),0)</f>
        <v>0</v>
      </c>
      <c r="Z432" s="78">
        <f t="shared" si="164"/>
        <v>0</v>
      </c>
      <c r="AB432">
        <f t="shared" si="150"/>
        <v>36</v>
      </c>
      <c r="AC432">
        <f t="shared" si="159"/>
        <v>427</v>
      </c>
      <c r="AD432" s="49">
        <f t="shared" si="165"/>
        <v>12966</v>
      </c>
      <c r="AE432" s="78">
        <f t="shared" si="160"/>
        <v>0</v>
      </c>
      <c r="AF432" s="78">
        <f t="shared" ca="1" si="166"/>
        <v>0</v>
      </c>
      <c r="AG432" s="78">
        <f ca="1">IFERROR(IF(AC432=0,0, PPMT(Refi_I_Adj,'Loan Amort Table'!AC432,Refi_Amort_Periods,Refi_Orig_Loan_Amount)),0)</f>
        <v>0</v>
      </c>
      <c r="AH432" s="78">
        <f t="shared" ca="1" si="151"/>
        <v>0</v>
      </c>
      <c r="AI432" s="78">
        <f t="shared" ca="1" si="167"/>
        <v>0</v>
      </c>
    </row>
    <row r="433" spans="1:35" x14ac:dyDescent="0.25">
      <c r="A433">
        <f t="shared" si="147"/>
        <v>36</v>
      </c>
      <c r="B433">
        <f t="shared" si="152"/>
        <v>428</v>
      </c>
      <c r="C433" s="49">
        <f t="shared" si="146"/>
        <v>12997</v>
      </c>
      <c r="D433" s="78">
        <f>IF(C433&gt;EDATE(DATE(YEAR(SED_Origination_Date)+ SED_Amort, MONTH(SED_Origination_Date), DAY(SED_Origination_Date)),SED_Interest_Only),0,H432)</f>
        <v>0</v>
      </c>
      <c r="E433" s="78">
        <f t="shared" si="153"/>
        <v>0</v>
      </c>
      <c r="F433" s="78">
        <f>IFERROR(IF(OR(B433=0, C433&gt;=Refi_Origination_Date),0, PPMT(SED_I_Adj,'Loan Amort Table'!B433,SED_Amort_Periods,SED_Orig_Loan_Amount)),0)</f>
        <v>0</v>
      </c>
      <c r="G433" s="78" cm="1">
        <f t="array" ref="G433">IFERROR(_xlfn.IFS(C433&gt;=Refi_Origination_Date, 0, SED_Amort = 0, -D433 * SED_I_Adj, 1, IPMT(SED_I_Adj,IF(B433 = 0, 1, B433),SED_Amort_Periods,SED_Orig_Loan_Amount)),0)</f>
        <v>0</v>
      </c>
      <c r="H433" s="78">
        <f t="shared" si="168"/>
        <v>0</v>
      </c>
      <c r="J433">
        <f t="shared" si="148"/>
        <v>36</v>
      </c>
      <c r="K433">
        <f t="shared" si="154"/>
        <v>428</v>
      </c>
      <c r="L433" s="49">
        <f t="shared" si="161"/>
        <v>12997</v>
      </c>
      <c r="M433" s="78">
        <f>IF(L433&gt;EDATE(DATE(YEAR(NEW_Origination_Date)+ NEW_Amort, MONTH(NEW_Origination_Date), DAY(NEW_Origination_Date)),NEW_Interest_Only),0,Q432)</f>
        <v>0</v>
      </c>
      <c r="N433" s="78">
        <f t="shared" si="155"/>
        <v>0</v>
      </c>
      <c r="O433" s="78">
        <f>IFERROR(IF(K433=0,0, PPMT(NEW_I_Adj,'Loan Amort Table'!K433,NEW_Amort_Periods,NEW_Orig_Loan_Amount)),0)</f>
        <v>0</v>
      </c>
      <c r="P433" s="78">
        <f>IFERROR(IF(NEW_Amort = 0, -M433* NEW_I_Adj,IPMT(NEW_I_Adj,IF(K433 = 0, 1, K433),NEW_Amort_Periods,NEW_Orig_Loan_Amount)),0)</f>
        <v>0</v>
      </c>
      <c r="Q433" s="78">
        <f t="shared" si="156"/>
        <v>0</v>
      </c>
      <c r="S433">
        <f t="shared" si="149"/>
        <v>36</v>
      </c>
      <c r="T433">
        <f t="shared" si="157"/>
        <v>428</v>
      </c>
      <c r="U433" s="49">
        <f t="shared" si="162"/>
        <v>12997</v>
      </c>
      <c r="V433" s="78">
        <f t="shared" si="158"/>
        <v>0</v>
      </c>
      <c r="W433" s="78">
        <f t="shared" ca="1" si="163"/>
        <v>0</v>
      </c>
      <c r="X433" s="78">
        <f>IFERROR(IF(OR(T433=0, U433&gt;=Refi_Origination_Date),0, PPMT(Mezz_I_Adj,'Loan Amort Table'!T433,Mezz_Amort_Periods,Mezz_Orig_Loan_Amount)),0)</f>
        <v>0</v>
      </c>
      <c r="Y433" s="78" cm="1">
        <f t="array" aca="1" ref="Y433" ca="1">IFERROR(_xlfn.IFS(U433&gt;=Refi_Origination_Date,0, Mezz_Amort = 0, -V433 * Mezz_I_Adj, 1, IPMT(Mezz_I_Adj,IF(T433 = 0, 1, T433),Mezz_Amort_Periods,Mezz_Orig_Loan_Amount)),0)</f>
        <v>0</v>
      </c>
      <c r="Z433" s="78">
        <f t="shared" si="164"/>
        <v>0</v>
      </c>
      <c r="AB433">
        <f t="shared" si="150"/>
        <v>36</v>
      </c>
      <c r="AC433">
        <f t="shared" si="159"/>
        <v>428</v>
      </c>
      <c r="AD433" s="49">
        <f t="shared" si="165"/>
        <v>12997</v>
      </c>
      <c r="AE433" s="78">
        <f t="shared" si="160"/>
        <v>0</v>
      </c>
      <c r="AF433" s="78">
        <f t="shared" ca="1" si="166"/>
        <v>0</v>
      </c>
      <c r="AG433" s="78">
        <f ca="1">IFERROR(IF(AC433=0,0, PPMT(Refi_I_Adj,'Loan Amort Table'!AC433,Refi_Amort_Periods,Refi_Orig_Loan_Amount)),0)</f>
        <v>0</v>
      </c>
      <c r="AH433" s="78">
        <f t="shared" ca="1" si="151"/>
        <v>0</v>
      </c>
      <c r="AI433" s="78">
        <f t="shared" ca="1" si="167"/>
        <v>0</v>
      </c>
    </row>
    <row r="434" spans="1:35" x14ac:dyDescent="0.25">
      <c r="A434">
        <f t="shared" si="147"/>
        <v>36</v>
      </c>
      <c r="B434">
        <f t="shared" si="152"/>
        <v>429</v>
      </c>
      <c r="C434" s="49">
        <f t="shared" si="146"/>
        <v>13028</v>
      </c>
      <c r="D434" s="78">
        <f>IF(C434&gt;EDATE(DATE(YEAR(SED_Origination_Date)+ SED_Amort, MONTH(SED_Origination_Date), DAY(SED_Origination_Date)),SED_Interest_Only),0,H433)</f>
        <v>0</v>
      </c>
      <c r="E434" s="78">
        <f t="shared" si="153"/>
        <v>0</v>
      </c>
      <c r="F434" s="78">
        <f>IFERROR(IF(OR(B434=0, C434&gt;=Refi_Origination_Date),0, PPMT(SED_I_Adj,'Loan Amort Table'!B434,SED_Amort_Periods,SED_Orig_Loan_Amount)),0)</f>
        <v>0</v>
      </c>
      <c r="G434" s="78" cm="1">
        <f t="array" ref="G434">IFERROR(_xlfn.IFS(C434&gt;=Refi_Origination_Date, 0, SED_Amort = 0, -D434 * SED_I_Adj, 1, IPMT(SED_I_Adj,IF(B434 = 0, 1, B434),SED_Amort_Periods,SED_Orig_Loan_Amount)),0)</f>
        <v>0</v>
      </c>
      <c r="H434" s="78">
        <f t="shared" si="168"/>
        <v>0</v>
      </c>
      <c r="J434">
        <f t="shared" si="148"/>
        <v>36</v>
      </c>
      <c r="K434">
        <f t="shared" si="154"/>
        <v>429</v>
      </c>
      <c r="L434" s="49">
        <f t="shared" si="161"/>
        <v>13028</v>
      </c>
      <c r="M434" s="78">
        <f>IF(L434&gt;EDATE(DATE(YEAR(NEW_Origination_Date)+ NEW_Amort, MONTH(NEW_Origination_Date), DAY(NEW_Origination_Date)),NEW_Interest_Only),0,Q433)</f>
        <v>0</v>
      </c>
      <c r="N434" s="78">
        <f t="shared" si="155"/>
        <v>0</v>
      </c>
      <c r="O434" s="78">
        <f>IFERROR(IF(K434=0,0, PPMT(NEW_I_Adj,'Loan Amort Table'!K434,NEW_Amort_Periods,NEW_Orig_Loan_Amount)),0)</f>
        <v>0</v>
      </c>
      <c r="P434" s="78">
        <f>IFERROR(IF(NEW_Amort = 0, -M434* NEW_I_Adj,IPMT(NEW_I_Adj,IF(K434 = 0, 1, K434),NEW_Amort_Periods,NEW_Orig_Loan_Amount)),0)</f>
        <v>0</v>
      </c>
      <c r="Q434" s="78">
        <f t="shared" si="156"/>
        <v>0</v>
      </c>
      <c r="S434">
        <f t="shared" si="149"/>
        <v>36</v>
      </c>
      <c r="T434">
        <f t="shared" si="157"/>
        <v>429</v>
      </c>
      <c r="U434" s="49">
        <f t="shared" si="162"/>
        <v>13028</v>
      </c>
      <c r="V434" s="78">
        <f t="shared" si="158"/>
        <v>0</v>
      </c>
      <c r="W434" s="78">
        <f t="shared" ca="1" si="163"/>
        <v>0</v>
      </c>
      <c r="X434" s="78">
        <f>IFERROR(IF(OR(T434=0, U434&gt;=Refi_Origination_Date),0, PPMT(Mezz_I_Adj,'Loan Amort Table'!T434,Mezz_Amort_Periods,Mezz_Orig_Loan_Amount)),0)</f>
        <v>0</v>
      </c>
      <c r="Y434" s="78" cm="1">
        <f t="array" aca="1" ref="Y434" ca="1">IFERROR(_xlfn.IFS(U434&gt;=Refi_Origination_Date,0, Mezz_Amort = 0, -V434 * Mezz_I_Adj, 1, IPMT(Mezz_I_Adj,IF(T434 = 0, 1, T434),Mezz_Amort_Periods,Mezz_Orig_Loan_Amount)),0)</f>
        <v>0</v>
      </c>
      <c r="Z434" s="78">
        <f t="shared" si="164"/>
        <v>0</v>
      </c>
      <c r="AB434">
        <f t="shared" si="150"/>
        <v>36</v>
      </c>
      <c r="AC434">
        <f t="shared" si="159"/>
        <v>429</v>
      </c>
      <c r="AD434" s="49">
        <f t="shared" si="165"/>
        <v>13028</v>
      </c>
      <c r="AE434" s="78">
        <f t="shared" si="160"/>
        <v>0</v>
      </c>
      <c r="AF434" s="78">
        <f t="shared" ca="1" si="166"/>
        <v>0</v>
      </c>
      <c r="AG434" s="78">
        <f ca="1">IFERROR(IF(AC434=0,0, PPMT(Refi_I_Adj,'Loan Amort Table'!AC434,Refi_Amort_Periods,Refi_Orig_Loan_Amount)),0)</f>
        <v>0</v>
      </c>
      <c r="AH434" s="78">
        <f t="shared" ca="1" si="151"/>
        <v>0</v>
      </c>
      <c r="AI434" s="78">
        <f t="shared" ca="1" si="167"/>
        <v>0</v>
      </c>
    </row>
    <row r="435" spans="1:35" x14ac:dyDescent="0.25">
      <c r="A435">
        <f t="shared" si="147"/>
        <v>36</v>
      </c>
      <c r="B435">
        <f t="shared" si="152"/>
        <v>430</v>
      </c>
      <c r="C435" s="49">
        <f t="shared" si="146"/>
        <v>13058</v>
      </c>
      <c r="D435" s="78">
        <f>IF(C435&gt;EDATE(DATE(YEAR(SED_Origination_Date)+ SED_Amort, MONTH(SED_Origination_Date), DAY(SED_Origination_Date)),SED_Interest_Only),0,H434)</f>
        <v>0</v>
      </c>
      <c r="E435" s="78">
        <f t="shared" si="153"/>
        <v>0</v>
      </c>
      <c r="F435" s="78">
        <f>IFERROR(IF(OR(B435=0, C435&gt;=Refi_Origination_Date),0, PPMT(SED_I_Adj,'Loan Amort Table'!B435,SED_Amort_Periods,SED_Orig_Loan_Amount)),0)</f>
        <v>0</v>
      </c>
      <c r="G435" s="78" cm="1">
        <f t="array" ref="G435">IFERROR(_xlfn.IFS(C435&gt;=Refi_Origination_Date, 0, SED_Amort = 0, -D435 * SED_I_Adj, 1, IPMT(SED_I_Adj,IF(B435 = 0, 1, B435),SED_Amort_Periods,SED_Orig_Loan_Amount)),0)</f>
        <v>0</v>
      </c>
      <c r="H435" s="78">
        <f t="shared" si="168"/>
        <v>0</v>
      </c>
      <c r="J435">
        <f t="shared" si="148"/>
        <v>36</v>
      </c>
      <c r="K435">
        <f t="shared" si="154"/>
        <v>430</v>
      </c>
      <c r="L435" s="49">
        <f t="shared" si="161"/>
        <v>13058</v>
      </c>
      <c r="M435" s="78">
        <f>IF(L435&gt;EDATE(DATE(YEAR(NEW_Origination_Date)+ NEW_Amort, MONTH(NEW_Origination_Date), DAY(NEW_Origination_Date)),NEW_Interest_Only),0,Q434)</f>
        <v>0</v>
      </c>
      <c r="N435" s="78">
        <f t="shared" si="155"/>
        <v>0</v>
      </c>
      <c r="O435" s="78">
        <f>IFERROR(IF(K435=0,0, PPMT(NEW_I_Adj,'Loan Amort Table'!K435,NEW_Amort_Periods,NEW_Orig_Loan_Amount)),0)</f>
        <v>0</v>
      </c>
      <c r="P435" s="78">
        <f>IFERROR(IF(NEW_Amort = 0, -M435* NEW_I_Adj,IPMT(NEW_I_Adj,IF(K435 = 0, 1, K435),NEW_Amort_Periods,NEW_Orig_Loan_Amount)),0)</f>
        <v>0</v>
      </c>
      <c r="Q435" s="78">
        <f t="shared" si="156"/>
        <v>0</v>
      </c>
      <c r="S435">
        <f t="shared" si="149"/>
        <v>36</v>
      </c>
      <c r="T435">
        <f t="shared" si="157"/>
        <v>430</v>
      </c>
      <c r="U435" s="49">
        <f t="shared" si="162"/>
        <v>13058</v>
      </c>
      <c r="V435" s="78">
        <f t="shared" si="158"/>
        <v>0</v>
      </c>
      <c r="W435" s="78">
        <f t="shared" ca="1" si="163"/>
        <v>0</v>
      </c>
      <c r="X435" s="78">
        <f>IFERROR(IF(OR(T435=0, U435&gt;=Refi_Origination_Date),0, PPMT(Mezz_I_Adj,'Loan Amort Table'!T435,Mezz_Amort_Periods,Mezz_Orig_Loan_Amount)),0)</f>
        <v>0</v>
      </c>
      <c r="Y435" s="78" cm="1">
        <f t="array" aca="1" ref="Y435" ca="1">IFERROR(_xlfn.IFS(U435&gt;=Refi_Origination_Date,0, Mezz_Amort = 0, -V435 * Mezz_I_Adj, 1, IPMT(Mezz_I_Adj,IF(T435 = 0, 1, T435),Mezz_Amort_Periods,Mezz_Orig_Loan_Amount)),0)</f>
        <v>0</v>
      </c>
      <c r="Z435" s="78">
        <f t="shared" si="164"/>
        <v>0</v>
      </c>
      <c r="AB435">
        <f t="shared" si="150"/>
        <v>36</v>
      </c>
      <c r="AC435">
        <f t="shared" si="159"/>
        <v>430</v>
      </c>
      <c r="AD435" s="49">
        <f t="shared" si="165"/>
        <v>13058</v>
      </c>
      <c r="AE435" s="78">
        <f t="shared" si="160"/>
        <v>0</v>
      </c>
      <c r="AF435" s="78">
        <f t="shared" ca="1" si="166"/>
        <v>0</v>
      </c>
      <c r="AG435" s="78">
        <f ca="1">IFERROR(IF(AC435=0,0, PPMT(Refi_I_Adj,'Loan Amort Table'!AC435,Refi_Amort_Periods,Refi_Orig_Loan_Amount)),0)</f>
        <v>0</v>
      </c>
      <c r="AH435" s="78">
        <f t="shared" ca="1" si="151"/>
        <v>0</v>
      </c>
      <c r="AI435" s="78">
        <f t="shared" ca="1" si="167"/>
        <v>0</v>
      </c>
    </row>
    <row r="436" spans="1:35" x14ac:dyDescent="0.25">
      <c r="A436">
        <f t="shared" si="147"/>
        <v>36</v>
      </c>
      <c r="B436">
        <f t="shared" si="152"/>
        <v>431</v>
      </c>
      <c r="C436" s="49">
        <f t="shared" si="146"/>
        <v>13089</v>
      </c>
      <c r="D436" s="78">
        <f>IF(C436&gt;EDATE(DATE(YEAR(SED_Origination_Date)+ SED_Amort, MONTH(SED_Origination_Date), DAY(SED_Origination_Date)),SED_Interest_Only),0,H435)</f>
        <v>0</v>
      </c>
      <c r="E436" s="78">
        <f t="shared" si="153"/>
        <v>0</v>
      </c>
      <c r="F436" s="78">
        <f>IFERROR(IF(OR(B436=0, C436&gt;=Refi_Origination_Date),0, PPMT(SED_I_Adj,'Loan Amort Table'!B436,SED_Amort_Periods,SED_Orig_Loan_Amount)),0)</f>
        <v>0</v>
      </c>
      <c r="G436" s="78" cm="1">
        <f t="array" ref="G436">IFERROR(_xlfn.IFS(C436&gt;=Refi_Origination_Date, 0, SED_Amort = 0, -D436 * SED_I_Adj, 1, IPMT(SED_I_Adj,IF(B436 = 0, 1, B436),SED_Amort_Periods,SED_Orig_Loan_Amount)),0)</f>
        <v>0</v>
      </c>
      <c r="H436" s="78">
        <f t="shared" si="168"/>
        <v>0</v>
      </c>
      <c r="J436">
        <f t="shared" si="148"/>
        <v>36</v>
      </c>
      <c r="K436">
        <f t="shared" si="154"/>
        <v>431</v>
      </c>
      <c r="L436" s="49">
        <f t="shared" si="161"/>
        <v>13089</v>
      </c>
      <c r="M436" s="78">
        <f>IF(L436&gt;EDATE(DATE(YEAR(NEW_Origination_Date)+ NEW_Amort, MONTH(NEW_Origination_Date), DAY(NEW_Origination_Date)),NEW_Interest_Only),0,Q435)</f>
        <v>0</v>
      </c>
      <c r="N436" s="78">
        <f t="shared" si="155"/>
        <v>0</v>
      </c>
      <c r="O436" s="78">
        <f>IFERROR(IF(K436=0,0, PPMT(NEW_I_Adj,'Loan Amort Table'!K436,NEW_Amort_Periods,NEW_Orig_Loan_Amount)),0)</f>
        <v>0</v>
      </c>
      <c r="P436" s="78">
        <f>IFERROR(IF(NEW_Amort = 0, -M436* NEW_I_Adj,IPMT(NEW_I_Adj,IF(K436 = 0, 1, K436),NEW_Amort_Periods,NEW_Orig_Loan_Amount)),0)</f>
        <v>0</v>
      </c>
      <c r="Q436" s="78">
        <f t="shared" si="156"/>
        <v>0</v>
      </c>
      <c r="S436">
        <f t="shared" si="149"/>
        <v>36</v>
      </c>
      <c r="T436">
        <f t="shared" si="157"/>
        <v>431</v>
      </c>
      <c r="U436" s="49">
        <f t="shared" si="162"/>
        <v>13089</v>
      </c>
      <c r="V436" s="78">
        <f t="shared" si="158"/>
        <v>0</v>
      </c>
      <c r="W436" s="78">
        <f t="shared" ca="1" si="163"/>
        <v>0</v>
      </c>
      <c r="X436" s="78">
        <f>IFERROR(IF(OR(T436=0, U436&gt;=Refi_Origination_Date),0, PPMT(Mezz_I_Adj,'Loan Amort Table'!T436,Mezz_Amort_Periods,Mezz_Orig_Loan_Amount)),0)</f>
        <v>0</v>
      </c>
      <c r="Y436" s="78" cm="1">
        <f t="array" aca="1" ref="Y436" ca="1">IFERROR(_xlfn.IFS(U436&gt;=Refi_Origination_Date,0, Mezz_Amort = 0, -V436 * Mezz_I_Adj, 1, IPMT(Mezz_I_Adj,IF(T436 = 0, 1, T436),Mezz_Amort_Periods,Mezz_Orig_Loan_Amount)),0)</f>
        <v>0</v>
      </c>
      <c r="Z436" s="78">
        <f t="shared" si="164"/>
        <v>0</v>
      </c>
      <c r="AB436">
        <f t="shared" si="150"/>
        <v>36</v>
      </c>
      <c r="AC436">
        <f t="shared" si="159"/>
        <v>431</v>
      </c>
      <c r="AD436" s="49">
        <f t="shared" si="165"/>
        <v>13089</v>
      </c>
      <c r="AE436" s="78">
        <f t="shared" si="160"/>
        <v>0</v>
      </c>
      <c r="AF436" s="78">
        <f t="shared" ca="1" si="166"/>
        <v>0</v>
      </c>
      <c r="AG436" s="78">
        <f ca="1">IFERROR(IF(AC436=0,0, PPMT(Refi_I_Adj,'Loan Amort Table'!AC436,Refi_Amort_Periods,Refi_Orig_Loan_Amount)),0)</f>
        <v>0</v>
      </c>
      <c r="AH436" s="78">
        <f t="shared" ca="1" si="151"/>
        <v>0</v>
      </c>
      <c r="AI436" s="78">
        <f t="shared" ca="1" si="167"/>
        <v>0</v>
      </c>
    </row>
    <row r="437" spans="1:35" x14ac:dyDescent="0.25">
      <c r="A437">
        <f t="shared" si="147"/>
        <v>36</v>
      </c>
      <c r="B437">
        <f t="shared" si="152"/>
        <v>432</v>
      </c>
      <c r="C437" s="49">
        <f t="shared" si="146"/>
        <v>13119</v>
      </c>
      <c r="D437" s="78">
        <f>IF(C437&gt;EDATE(DATE(YEAR(SED_Origination_Date)+ SED_Amort, MONTH(SED_Origination_Date), DAY(SED_Origination_Date)),SED_Interest_Only),0,H436)</f>
        <v>0</v>
      </c>
      <c r="E437" s="78">
        <f t="shared" si="153"/>
        <v>0</v>
      </c>
      <c r="F437" s="78">
        <f>IFERROR(IF(OR(B437=0, C437&gt;=Refi_Origination_Date),0, PPMT(SED_I_Adj,'Loan Amort Table'!B437,SED_Amort_Periods,SED_Orig_Loan_Amount)),0)</f>
        <v>0</v>
      </c>
      <c r="G437" s="78" cm="1">
        <f t="array" ref="G437">IFERROR(_xlfn.IFS(C437&gt;=Refi_Origination_Date, 0, SED_Amort = 0, -D437 * SED_I_Adj, 1, IPMT(SED_I_Adj,IF(B437 = 0, 1, B437),SED_Amort_Periods,SED_Orig_Loan_Amount)),0)</f>
        <v>0</v>
      </c>
      <c r="H437" s="78">
        <f t="shared" si="168"/>
        <v>0</v>
      </c>
      <c r="J437">
        <f t="shared" si="148"/>
        <v>36</v>
      </c>
      <c r="K437">
        <f t="shared" si="154"/>
        <v>432</v>
      </c>
      <c r="L437" s="49">
        <f t="shared" si="161"/>
        <v>13119</v>
      </c>
      <c r="M437" s="78">
        <f>IF(L437&gt;EDATE(DATE(YEAR(NEW_Origination_Date)+ NEW_Amort, MONTH(NEW_Origination_Date), DAY(NEW_Origination_Date)),NEW_Interest_Only),0,Q436)</f>
        <v>0</v>
      </c>
      <c r="N437" s="78">
        <f t="shared" si="155"/>
        <v>0</v>
      </c>
      <c r="O437" s="78">
        <f>IFERROR(IF(K437=0,0, PPMT(NEW_I_Adj,'Loan Amort Table'!K437,NEW_Amort_Periods,NEW_Orig_Loan_Amount)),0)</f>
        <v>0</v>
      </c>
      <c r="P437" s="78">
        <f>IFERROR(IF(NEW_Amort = 0, -M437* NEW_I_Adj,IPMT(NEW_I_Adj,IF(K437 = 0, 1, K437),NEW_Amort_Periods,NEW_Orig_Loan_Amount)),0)</f>
        <v>0</v>
      </c>
      <c r="Q437" s="78">
        <f t="shared" si="156"/>
        <v>0</v>
      </c>
      <c r="S437">
        <f t="shared" si="149"/>
        <v>36</v>
      </c>
      <c r="T437">
        <f t="shared" si="157"/>
        <v>432</v>
      </c>
      <c r="U437" s="49">
        <f t="shared" si="162"/>
        <v>13119</v>
      </c>
      <c r="V437" s="78">
        <f t="shared" si="158"/>
        <v>0</v>
      </c>
      <c r="W437" s="78">
        <f t="shared" ca="1" si="163"/>
        <v>0</v>
      </c>
      <c r="X437" s="78">
        <f>IFERROR(IF(OR(T437=0, U437&gt;=Refi_Origination_Date),0, PPMT(Mezz_I_Adj,'Loan Amort Table'!T437,Mezz_Amort_Periods,Mezz_Orig_Loan_Amount)),0)</f>
        <v>0</v>
      </c>
      <c r="Y437" s="78" cm="1">
        <f t="array" aca="1" ref="Y437" ca="1">IFERROR(_xlfn.IFS(U437&gt;=Refi_Origination_Date,0, Mezz_Amort = 0, -V437 * Mezz_I_Adj, 1, IPMT(Mezz_I_Adj,IF(T437 = 0, 1, T437),Mezz_Amort_Periods,Mezz_Orig_Loan_Amount)),0)</f>
        <v>0</v>
      </c>
      <c r="Z437" s="78">
        <f t="shared" si="164"/>
        <v>0</v>
      </c>
      <c r="AB437">
        <f t="shared" si="150"/>
        <v>36</v>
      </c>
      <c r="AC437">
        <f t="shared" si="159"/>
        <v>432</v>
      </c>
      <c r="AD437" s="49">
        <f t="shared" si="165"/>
        <v>13119</v>
      </c>
      <c r="AE437" s="78">
        <f t="shared" si="160"/>
        <v>0</v>
      </c>
      <c r="AF437" s="78">
        <f t="shared" ca="1" si="166"/>
        <v>0</v>
      </c>
      <c r="AG437" s="78">
        <f ca="1">IFERROR(IF(AC437=0,0, PPMT(Refi_I_Adj,'Loan Amort Table'!AC437,Refi_Amort_Periods,Refi_Orig_Loan_Amount)),0)</f>
        <v>0</v>
      </c>
      <c r="AH437" s="78">
        <f t="shared" ca="1" si="151"/>
        <v>0</v>
      </c>
      <c r="AI437" s="78">
        <f t="shared" ca="1" si="167"/>
        <v>0</v>
      </c>
    </row>
    <row r="438" spans="1:35" x14ac:dyDescent="0.25">
      <c r="A438">
        <f t="shared" si="147"/>
        <v>37</v>
      </c>
      <c r="B438">
        <f t="shared" si="152"/>
        <v>433</v>
      </c>
      <c r="C438" s="49">
        <f t="shared" si="146"/>
        <v>13150</v>
      </c>
      <c r="D438" s="78">
        <f>IF(C438&gt;EDATE(DATE(YEAR(SED_Origination_Date)+ SED_Amort, MONTH(SED_Origination_Date), DAY(SED_Origination_Date)),SED_Interest_Only),0,H437)</f>
        <v>0</v>
      </c>
      <c r="E438" s="78">
        <f t="shared" si="153"/>
        <v>0</v>
      </c>
      <c r="F438" s="78">
        <f>IFERROR(IF(OR(B438=0, C438&gt;=Refi_Origination_Date),0, PPMT(SED_I_Adj,'Loan Amort Table'!B438,SED_Amort_Periods,SED_Orig_Loan_Amount)),0)</f>
        <v>0</v>
      </c>
      <c r="G438" s="78" cm="1">
        <f t="array" ref="G438">IFERROR(_xlfn.IFS(C438&gt;=Refi_Origination_Date, 0, SED_Amort = 0, -D438 * SED_I_Adj, 1, IPMT(SED_I_Adj,IF(B438 = 0, 1, B438),SED_Amort_Periods,SED_Orig_Loan_Amount)),0)</f>
        <v>0</v>
      </c>
      <c r="H438" s="78">
        <f t="shared" si="168"/>
        <v>0</v>
      </c>
      <c r="J438">
        <f t="shared" si="148"/>
        <v>37</v>
      </c>
      <c r="K438">
        <f t="shared" si="154"/>
        <v>433</v>
      </c>
      <c r="L438" s="49">
        <f t="shared" si="161"/>
        <v>13150</v>
      </c>
      <c r="M438" s="78">
        <f>IF(L438&gt;EDATE(DATE(YEAR(NEW_Origination_Date)+ NEW_Amort, MONTH(NEW_Origination_Date), DAY(NEW_Origination_Date)),NEW_Interest_Only),0,Q437)</f>
        <v>0</v>
      </c>
      <c r="N438" s="78">
        <f t="shared" si="155"/>
        <v>0</v>
      </c>
      <c r="O438" s="78">
        <f>IFERROR(IF(K438=0,0, PPMT(NEW_I_Adj,'Loan Amort Table'!K438,NEW_Amort_Periods,NEW_Orig_Loan_Amount)),0)</f>
        <v>0</v>
      </c>
      <c r="P438" s="78">
        <f>IFERROR(IF(NEW_Amort = 0, -M438* NEW_I_Adj,IPMT(NEW_I_Adj,IF(K438 = 0, 1, K438),NEW_Amort_Periods,NEW_Orig_Loan_Amount)),0)</f>
        <v>0</v>
      </c>
      <c r="Q438" s="78">
        <f t="shared" si="156"/>
        <v>0</v>
      </c>
      <c r="S438">
        <f t="shared" si="149"/>
        <v>37</v>
      </c>
      <c r="T438">
        <f t="shared" si="157"/>
        <v>433</v>
      </c>
      <c r="U438" s="49">
        <f t="shared" si="162"/>
        <v>13150</v>
      </c>
      <c r="V438" s="78">
        <f t="shared" si="158"/>
        <v>0</v>
      </c>
      <c r="W438" s="78">
        <f t="shared" ca="1" si="163"/>
        <v>0</v>
      </c>
      <c r="X438" s="78">
        <f>IFERROR(IF(OR(T438=0, U438&gt;=Refi_Origination_Date),0, PPMT(Mezz_I_Adj,'Loan Amort Table'!T438,Mezz_Amort_Periods,Mezz_Orig_Loan_Amount)),0)</f>
        <v>0</v>
      </c>
      <c r="Y438" s="78" cm="1">
        <f t="array" aca="1" ref="Y438" ca="1">IFERROR(_xlfn.IFS(U438&gt;=Refi_Origination_Date,0, Mezz_Amort = 0, -V438 * Mezz_I_Adj, 1, IPMT(Mezz_I_Adj,IF(T438 = 0, 1, T438),Mezz_Amort_Periods,Mezz_Orig_Loan_Amount)),0)</f>
        <v>0</v>
      </c>
      <c r="Z438" s="78">
        <f t="shared" si="164"/>
        <v>0</v>
      </c>
      <c r="AB438">
        <f t="shared" si="150"/>
        <v>37</v>
      </c>
      <c r="AC438">
        <f t="shared" si="159"/>
        <v>433</v>
      </c>
      <c r="AD438" s="49">
        <f t="shared" si="165"/>
        <v>13150</v>
      </c>
      <c r="AE438" s="78">
        <f t="shared" si="160"/>
        <v>0</v>
      </c>
      <c r="AF438" s="78">
        <f t="shared" ca="1" si="166"/>
        <v>0</v>
      </c>
      <c r="AG438" s="78">
        <f ca="1">IFERROR(IF(AC438=0,0, PPMT(Refi_I_Adj,'Loan Amort Table'!AC438,Refi_Amort_Periods,Refi_Orig_Loan_Amount)),0)</f>
        <v>0</v>
      </c>
      <c r="AH438" s="78">
        <f t="shared" ca="1" si="151"/>
        <v>0</v>
      </c>
      <c r="AI438" s="78">
        <f t="shared" ca="1" si="167"/>
        <v>0</v>
      </c>
    </row>
    <row r="439" spans="1:35" x14ac:dyDescent="0.25">
      <c r="A439">
        <f t="shared" si="147"/>
        <v>37</v>
      </c>
      <c r="B439">
        <f t="shared" si="152"/>
        <v>434</v>
      </c>
      <c r="C439" s="49">
        <f t="shared" si="146"/>
        <v>13181</v>
      </c>
      <c r="D439" s="78">
        <f>IF(C439&gt;EDATE(DATE(YEAR(SED_Origination_Date)+ SED_Amort, MONTH(SED_Origination_Date), DAY(SED_Origination_Date)),SED_Interest_Only),0,H438)</f>
        <v>0</v>
      </c>
      <c r="E439" s="78">
        <f t="shared" si="153"/>
        <v>0</v>
      </c>
      <c r="F439" s="78">
        <f>IFERROR(IF(OR(B439=0, C439&gt;=Refi_Origination_Date),0, PPMT(SED_I_Adj,'Loan Amort Table'!B439,SED_Amort_Periods,SED_Orig_Loan_Amount)),0)</f>
        <v>0</v>
      </c>
      <c r="G439" s="78" cm="1">
        <f t="array" ref="G439">IFERROR(_xlfn.IFS(C439&gt;=Refi_Origination_Date, 0, SED_Amort = 0, -D439 * SED_I_Adj, 1, IPMT(SED_I_Adj,IF(B439 = 0, 1, B439),SED_Amort_Periods,SED_Orig_Loan_Amount)),0)</f>
        <v>0</v>
      </c>
      <c r="H439" s="78">
        <f t="shared" si="168"/>
        <v>0</v>
      </c>
      <c r="J439">
        <f t="shared" si="148"/>
        <v>37</v>
      </c>
      <c r="K439">
        <f t="shared" si="154"/>
        <v>434</v>
      </c>
      <c r="L439" s="49">
        <f t="shared" si="161"/>
        <v>13181</v>
      </c>
      <c r="M439" s="78">
        <f>IF(L439&gt;EDATE(DATE(YEAR(NEW_Origination_Date)+ NEW_Amort, MONTH(NEW_Origination_Date), DAY(NEW_Origination_Date)),NEW_Interest_Only),0,Q438)</f>
        <v>0</v>
      </c>
      <c r="N439" s="78">
        <f t="shared" si="155"/>
        <v>0</v>
      </c>
      <c r="O439" s="78">
        <f>IFERROR(IF(K439=0,0, PPMT(NEW_I_Adj,'Loan Amort Table'!K439,NEW_Amort_Periods,NEW_Orig_Loan_Amount)),0)</f>
        <v>0</v>
      </c>
      <c r="P439" s="78">
        <f>IFERROR(IF(NEW_Amort = 0, -M439* NEW_I_Adj,IPMT(NEW_I_Adj,IF(K439 = 0, 1, K439),NEW_Amort_Periods,NEW_Orig_Loan_Amount)),0)</f>
        <v>0</v>
      </c>
      <c r="Q439" s="78">
        <f t="shared" si="156"/>
        <v>0</v>
      </c>
      <c r="S439">
        <f t="shared" si="149"/>
        <v>37</v>
      </c>
      <c r="T439">
        <f t="shared" si="157"/>
        <v>434</v>
      </c>
      <c r="U439" s="49">
        <f t="shared" si="162"/>
        <v>13181</v>
      </c>
      <c r="V439" s="78">
        <f t="shared" si="158"/>
        <v>0</v>
      </c>
      <c r="W439" s="78">
        <f t="shared" ca="1" si="163"/>
        <v>0</v>
      </c>
      <c r="X439" s="78">
        <f>IFERROR(IF(OR(T439=0, U439&gt;=Refi_Origination_Date),0, PPMT(Mezz_I_Adj,'Loan Amort Table'!T439,Mezz_Amort_Periods,Mezz_Orig_Loan_Amount)),0)</f>
        <v>0</v>
      </c>
      <c r="Y439" s="78" cm="1">
        <f t="array" aca="1" ref="Y439" ca="1">IFERROR(_xlfn.IFS(U439&gt;=Refi_Origination_Date,0, Mezz_Amort = 0, -V439 * Mezz_I_Adj, 1, IPMT(Mezz_I_Adj,IF(T439 = 0, 1, T439),Mezz_Amort_Periods,Mezz_Orig_Loan_Amount)),0)</f>
        <v>0</v>
      </c>
      <c r="Z439" s="78">
        <f t="shared" si="164"/>
        <v>0</v>
      </c>
      <c r="AB439">
        <f t="shared" si="150"/>
        <v>37</v>
      </c>
      <c r="AC439">
        <f t="shared" si="159"/>
        <v>434</v>
      </c>
      <c r="AD439" s="49">
        <f t="shared" si="165"/>
        <v>13181</v>
      </c>
      <c r="AE439" s="78">
        <f t="shared" si="160"/>
        <v>0</v>
      </c>
      <c r="AF439" s="78">
        <f t="shared" ca="1" si="166"/>
        <v>0</v>
      </c>
      <c r="AG439" s="78">
        <f ca="1">IFERROR(IF(AC439=0,0, PPMT(Refi_I_Adj,'Loan Amort Table'!AC439,Refi_Amort_Periods,Refi_Orig_Loan_Amount)),0)</f>
        <v>0</v>
      </c>
      <c r="AH439" s="78">
        <f t="shared" ca="1" si="151"/>
        <v>0</v>
      </c>
      <c r="AI439" s="78">
        <f t="shared" ca="1" si="167"/>
        <v>0</v>
      </c>
    </row>
    <row r="440" spans="1:35" x14ac:dyDescent="0.25">
      <c r="A440">
        <f t="shared" si="147"/>
        <v>37</v>
      </c>
      <c r="B440">
        <f t="shared" si="152"/>
        <v>435</v>
      </c>
      <c r="C440" s="49">
        <f t="shared" ref="C440:C500" si="169">EDATE(C439,1)</f>
        <v>13210</v>
      </c>
      <c r="D440" s="78">
        <f>IF(C440&gt;EDATE(DATE(YEAR(SED_Origination_Date)+ SED_Amort, MONTH(SED_Origination_Date), DAY(SED_Origination_Date)),SED_Interest_Only),0,H439)</f>
        <v>0</v>
      </c>
      <c r="E440" s="78">
        <f t="shared" si="153"/>
        <v>0</v>
      </c>
      <c r="F440" s="78">
        <f>IFERROR(IF(OR(B440=0, C440&gt;=Refi_Origination_Date),0, PPMT(SED_I_Adj,'Loan Amort Table'!B440,SED_Amort_Periods,SED_Orig_Loan_Amount)),0)</f>
        <v>0</v>
      </c>
      <c r="G440" s="78" cm="1">
        <f t="array" ref="G440">IFERROR(_xlfn.IFS(C440&gt;=Refi_Origination_Date, 0, SED_Amort = 0, -D440 * SED_I_Adj, 1, IPMT(SED_I_Adj,IF(B440 = 0, 1, B440),SED_Amort_Periods,SED_Orig_Loan_Amount)),0)</f>
        <v>0</v>
      </c>
      <c r="H440" s="78">
        <f t="shared" si="168"/>
        <v>0</v>
      </c>
      <c r="J440">
        <f t="shared" si="148"/>
        <v>37</v>
      </c>
      <c r="K440">
        <f t="shared" si="154"/>
        <v>435</v>
      </c>
      <c r="L440" s="49">
        <f t="shared" si="161"/>
        <v>13210</v>
      </c>
      <c r="M440" s="78">
        <f>IF(L440&gt;EDATE(DATE(YEAR(NEW_Origination_Date)+ NEW_Amort, MONTH(NEW_Origination_Date), DAY(NEW_Origination_Date)),NEW_Interest_Only),0,Q439)</f>
        <v>0</v>
      </c>
      <c r="N440" s="78">
        <f t="shared" si="155"/>
        <v>0</v>
      </c>
      <c r="O440" s="78">
        <f>IFERROR(IF(K440=0,0, PPMT(NEW_I_Adj,'Loan Amort Table'!K440,NEW_Amort_Periods,NEW_Orig_Loan_Amount)),0)</f>
        <v>0</v>
      </c>
      <c r="P440" s="78">
        <f>IFERROR(IF(NEW_Amort = 0, -M440* NEW_I_Adj,IPMT(NEW_I_Adj,IF(K440 = 0, 1, K440),NEW_Amort_Periods,NEW_Orig_Loan_Amount)),0)</f>
        <v>0</v>
      </c>
      <c r="Q440" s="78">
        <f t="shared" si="156"/>
        <v>0</v>
      </c>
      <c r="S440">
        <f t="shared" si="149"/>
        <v>37</v>
      </c>
      <c r="T440">
        <f t="shared" si="157"/>
        <v>435</v>
      </c>
      <c r="U440" s="49">
        <f t="shared" si="162"/>
        <v>13210</v>
      </c>
      <c r="V440" s="78">
        <f t="shared" si="158"/>
        <v>0</v>
      </c>
      <c r="W440" s="78">
        <f t="shared" ca="1" si="163"/>
        <v>0</v>
      </c>
      <c r="X440" s="78">
        <f>IFERROR(IF(OR(T440=0, U440&gt;=Refi_Origination_Date),0, PPMT(Mezz_I_Adj,'Loan Amort Table'!T440,Mezz_Amort_Periods,Mezz_Orig_Loan_Amount)),0)</f>
        <v>0</v>
      </c>
      <c r="Y440" s="78" cm="1">
        <f t="array" aca="1" ref="Y440" ca="1">IFERROR(_xlfn.IFS(U440&gt;=Refi_Origination_Date,0, Mezz_Amort = 0, -V440 * Mezz_I_Adj, 1, IPMT(Mezz_I_Adj,IF(T440 = 0, 1, T440),Mezz_Amort_Periods,Mezz_Orig_Loan_Amount)),0)</f>
        <v>0</v>
      </c>
      <c r="Z440" s="78">
        <f t="shared" si="164"/>
        <v>0</v>
      </c>
      <c r="AB440">
        <f t="shared" si="150"/>
        <v>37</v>
      </c>
      <c r="AC440">
        <f t="shared" si="159"/>
        <v>435</v>
      </c>
      <c r="AD440" s="49">
        <f t="shared" si="165"/>
        <v>13210</v>
      </c>
      <c r="AE440" s="78">
        <f t="shared" si="160"/>
        <v>0</v>
      </c>
      <c r="AF440" s="78">
        <f t="shared" ca="1" si="166"/>
        <v>0</v>
      </c>
      <c r="AG440" s="78">
        <f ca="1">IFERROR(IF(AC440=0,0, PPMT(Refi_I_Adj,'Loan Amort Table'!AC440,Refi_Amort_Periods,Refi_Orig_Loan_Amount)),0)</f>
        <v>0</v>
      </c>
      <c r="AH440" s="78">
        <f t="shared" ca="1" si="151"/>
        <v>0</v>
      </c>
      <c r="AI440" s="78">
        <f t="shared" ca="1" si="167"/>
        <v>0</v>
      </c>
    </row>
    <row r="441" spans="1:35" x14ac:dyDescent="0.25">
      <c r="A441">
        <f t="shared" si="147"/>
        <v>37</v>
      </c>
      <c r="B441">
        <f t="shared" si="152"/>
        <v>436</v>
      </c>
      <c r="C441" s="49">
        <f t="shared" si="169"/>
        <v>13241</v>
      </c>
      <c r="D441" s="78">
        <f>IF(C441&gt;EDATE(DATE(YEAR(SED_Origination_Date)+ SED_Amort, MONTH(SED_Origination_Date), DAY(SED_Origination_Date)),SED_Interest_Only),0,H440)</f>
        <v>0</v>
      </c>
      <c r="E441" s="78">
        <f t="shared" si="153"/>
        <v>0</v>
      </c>
      <c r="F441" s="78">
        <f>IFERROR(IF(OR(B441=0, C441&gt;=Refi_Origination_Date),0, PPMT(SED_I_Adj,'Loan Amort Table'!B441,SED_Amort_Periods,SED_Orig_Loan_Amount)),0)</f>
        <v>0</v>
      </c>
      <c r="G441" s="78" cm="1">
        <f t="array" ref="G441">IFERROR(_xlfn.IFS(C441&gt;=Refi_Origination_Date, 0, SED_Amort = 0, -D441 * SED_I_Adj, 1, IPMT(SED_I_Adj,IF(B441 = 0, 1, B441),SED_Amort_Periods,SED_Orig_Loan_Amount)),0)</f>
        <v>0</v>
      </c>
      <c r="H441" s="78">
        <f t="shared" si="168"/>
        <v>0</v>
      </c>
      <c r="J441">
        <f t="shared" si="148"/>
        <v>37</v>
      </c>
      <c r="K441">
        <f t="shared" si="154"/>
        <v>436</v>
      </c>
      <c r="L441" s="49">
        <f t="shared" si="161"/>
        <v>13241</v>
      </c>
      <c r="M441" s="78">
        <f>IF(L441&gt;EDATE(DATE(YEAR(NEW_Origination_Date)+ NEW_Amort, MONTH(NEW_Origination_Date), DAY(NEW_Origination_Date)),NEW_Interest_Only),0,Q440)</f>
        <v>0</v>
      </c>
      <c r="N441" s="78">
        <f t="shared" si="155"/>
        <v>0</v>
      </c>
      <c r="O441" s="78">
        <f>IFERROR(IF(K441=0,0, PPMT(NEW_I_Adj,'Loan Amort Table'!K441,NEW_Amort_Periods,NEW_Orig_Loan_Amount)),0)</f>
        <v>0</v>
      </c>
      <c r="P441" s="78">
        <f>IFERROR(IF(NEW_Amort = 0, -M441* NEW_I_Adj,IPMT(NEW_I_Adj,IF(K441 = 0, 1, K441),NEW_Amort_Periods,NEW_Orig_Loan_Amount)),0)</f>
        <v>0</v>
      </c>
      <c r="Q441" s="78">
        <f t="shared" si="156"/>
        <v>0</v>
      </c>
      <c r="S441">
        <f t="shared" si="149"/>
        <v>37</v>
      </c>
      <c r="T441">
        <f t="shared" si="157"/>
        <v>436</v>
      </c>
      <c r="U441" s="49">
        <f t="shared" si="162"/>
        <v>13241</v>
      </c>
      <c r="V441" s="78">
        <f t="shared" si="158"/>
        <v>0</v>
      </c>
      <c r="W441" s="78">
        <f t="shared" ca="1" si="163"/>
        <v>0</v>
      </c>
      <c r="X441" s="78">
        <f>IFERROR(IF(OR(T441=0, U441&gt;=Refi_Origination_Date),0, PPMT(Mezz_I_Adj,'Loan Amort Table'!T441,Mezz_Amort_Periods,Mezz_Orig_Loan_Amount)),0)</f>
        <v>0</v>
      </c>
      <c r="Y441" s="78" cm="1">
        <f t="array" aca="1" ref="Y441" ca="1">IFERROR(_xlfn.IFS(U441&gt;=Refi_Origination_Date,0, Mezz_Amort = 0, -V441 * Mezz_I_Adj, 1, IPMT(Mezz_I_Adj,IF(T441 = 0, 1, T441),Mezz_Amort_Periods,Mezz_Orig_Loan_Amount)),0)</f>
        <v>0</v>
      </c>
      <c r="Z441" s="78">
        <f t="shared" si="164"/>
        <v>0</v>
      </c>
      <c r="AB441">
        <f t="shared" si="150"/>
        <v>37</v>
      </c>
      <c r="AC441">
        <f t="shared" si="159"/>
        <v>436</v>
      </c>
      <c r="AD441" s="49">
        <f t="shared" si="165"/>
        <v>13241</v>
      </c>
      <c r="AE441" s="78">
        <f t="shared" si="160"/>
        <v>0</v>
      </c>
      <c r="AF441" s="78">
        <f t="shared" ca="1" si="166"/>
        <v>0</v>
      </c>
      <c r="AG441" s="78">
        <f ca="1">IFERROR(IF(AC441=0,0, PPMT(Refi_I_Adj,'Loan Amort Table'!AC441,Refi_Amort_Periods,Refi_Orig_Loan_Amount)),0)</f>
        <v>0</v>
      </c>
      <c r="AH441" s="78">
        <f t="shared" ca="1" si="151"/>
        <v>0</v>
      </c>
      <c r="AI441" s="78">
        <f t="shared" ca="1" si="167"/>
        <v>0</v>
      </c>
    </row>
    <row r="442" spans="1:35" x14ac:dyDescent="0.25">
      <c r="A442">
        <f t="shared" si="147"/>
        <v>37</v>
      </c>
      <c r="B442">
        <f t="shared" si="152"/>
        <v>437</v>
      </c>
      <c r="C442" s="49">
        <f t="shared" si="169"/>
        <v>13271</v>
      </c>
      <c r="D442" s="78">
        <f>IF(C442&gt;EDATE(DATE(YEAR(SED_Origination_Date)+ SED_Amort, MONTH(SED_Origination_Date), DAY(SED_Origination_Date)),SED_Interest_Only),0,H441)</f>
        <v>0</v>
      </c>
      <c r="E442" s="78">
        <f t="shared" si="153"/>
        <v>0</v>
      </c>
      <c r="F442" s="78">
        <f>IFERROR(IF(OR(B442=0, C442&gt;=Refi_Origination_Date),0, PPMT(SED_I_Adj,'Loan Amort Table'!B442,SED_Amort_Periods,SED_Orig_Loan_Amount)),0)</f>
        <v>0</v>
      </c>
      <c r="G442" s="78" cm="1">
        <f t="array" ref="G442">IFERROR(_xlfn.IFS(C442&gt;=Refi_Origination_Date, 0, SED_Amort = 0, -D442 * SED_I_Adj, 1, IPMT(SED_I_Adj,IF(B442 = 0, 1, B442),SED_Amort_Periods,SED_Orig_Loan_Amount)),0)</f>
        <v>0</v>
      </c>
      <c r="H442" s="78">
        <f t="shared" si="168"/>
        <v>0</v>
      </c>
      <c r="J442">
        <f t="shared" si="148"/>
        <v>37</v>
      </c>
      <c r="K442">
        <f t="shared" si="154"/>
        <v>437</v>
      </c>
      <c r="L442" s="49">
        <f t="shared" si="161"/>
        <v>13271</v>
      </c>
      <c r="M442" s="78">
        <f>IF(L442&gt;EDATE(DATE(YEAR(NEW_Origination_Date)+ NEW_Amort, MONTH(NEW_Origination_Date), DAY(NEW_Origination_Date)),NEW_Interest_Only),0,Q441)</f>
        <v>0</v>
      </c>
      <c r="N442" s="78">
        <f t="shared" si="155"/>
        <v>0</v>
      </c>
      <c r="O442" s="78">
        <f>IFERROR(IF(K442=0,0, PPMT(NEW_I_Adj,'Loan Amort Table'!K442,NEW_Amort_Periods,NEW_Orig_Loan_Amount)),0)</f>
        <v>0</v>
      </c>
      <c r="P442" s="78">
        <f>IFERROR(IF(NEW_Amort = 0, -M442* NEW_I_Adj,IPMT(NEW_I_Adj,IF(K442 = 0, 1, K442),NEW_Amort_Periods,NEW_Orig_Loan_Amount)),0)</f>
        <v>0</v>
      </c>
      <c r="Q442" s="78">
        <f t="shared" si="156"/>
        <v>0</v>
      </c>
      <c r="S442">
        <f t="shared" si="149"/>
        <v>37</v>
      </c>
      <c r="T442">
        <f t="shared" si="157"/>
        <v>437</v>
      </c>
      <c r="U442" s="49">
        <f t="shared" si="162"/>
        <v>13271</v>
      </c>
      <c r="V442" s="78">
        <f t="shared" si="158"/>
        <v>0</v>
      </c>
      <c r="W442" s="78">
        <f t="shared" ca="1" si="163"/>
        <v>0</v>
      </c>
      <c r="X442" s="78">
        <f>IFERROR(IF(OR(T442=0, U442&gt;=Refi_Origination_Date),0, PPMT(Mezz_I_Adj,'Loan Amort Table'!T442,Mezz_Amort_Periods,Mezz_Orig_Loan_Amount)),0)</f>
        <v>0</v>
      </c>
      <c r="Y442" s="78" cm="1">
        <f t="array" aca="1" ref="Y442" ca="1">IFERROR(_xlfn.IFS(U442&gt;=Refi_Origination_Date,0, Mezz_Amort = 0, -V442 * Mezz_I_Adj, 1, IPMT(Mezz_I_Adj,IF(T442 = 0, 1, T442),Mezz_Amort_Periods,Mezz_Orig_Loan_Amount)),0)</f>
        <v>0</v>
      </c>
      <c r="Z442" s="78">
        <f t="shared" si="164"/>
        <v>0</v>
      </c>
      <c r="AB442">
        <f t="shared" si="150"/>
        <v>37</v>
      </c>
      <c r="AC442">
        <f t="shared" si="159"/>
        <v>437</v>
      </c>
      <c r="AD442" s="49">
        <f t="shared" si="165"/>
        <v>13271</v>
      </c>
      <c r="AE442" s="78">
        <f t="shared" si="160"/>
        <v>0</v>
      </c>
      <c r="AF442" s="78">
        <f t="shared" ca="1" si="166"/>
        <v>0</v>
      </c>
      <c r="AG442" s="78">
        <f ca="1">IFERROR(IF(AC442=0,0, PPMT(Refi_I_Adj,'Loan Amort Table'!AC442,Refi_Amort_Periods,Refi_Orig_Loan_Amount)),0)</f>
        <v>0</v>
      </c>
      <c r="AH442" s="78">
        <f t="shared" ca="1" si="151"/>
        <v>0</v>
      </c>
      <c r="AI442" s="78">
        <f t="shared" ca="1" si="167"/>
        <v>0</v>
      </c>
    </row>
    <row r="443" spans="1:35" x14ac:dyDescent="0.25">
      <c r="A443">
        <f t="shared" si="147"/>
        <v>37</v>
      </c>
      <c r="B443">
        <f t="shared" si="152"/>
        <v>438</v>
      </c>
      <c r="C443" s="49">
        <f t="shared" si="169"/>
        <v>13302</v>
      </c>
      <c r="D443" s="78">
        <f>IF(C443&gt;EDATE(DATE(YEAR(SED_Origination_Date)+ SED_Amort, MONTH(SED_Origination_Date), DAY(SED_Origination_Date)),SED_Interest_Only),0,H442)</f>
        <v>0</v>
      </c>
      <c r="E443" s="78">
        <f t="shared" si="153"/>
        <v>0</v>
      </c>
      <c r="F443" s="78">
        <f>IFERROR(IF(OR(B443=0, C443&gt;=Refi_Origination_Date),0, PPMT(SED_I_Adj,'Loan Amort Table'!B443,SED_Amort_Periods,SED_Orig_Loan_Amount)),0)</f>
        <v>0</v>
      </c>
      <c r="G443" s="78" cm="1">
        <f t="array" ref="G443">IFERROR(_xlfn.IFS(C443&gt;=Refi_Origination_Date, 0, SED_Amort = 0, -D443 * SED_I_Adj, 1, IPMT(SED_I_Adj,IF(B443 = 0, 1, B443),SED_Amort_Periods,SED_Orig_Loan_Amount)),0)</f>
        <v>0</v>
      </c>
      <c r="H443" s="78">
        <f t="shared" si="168"/>
        <v>0</v>
      </c>
      <c r="J443">
        <f t="shared" si="148"/>
        <v>37</v>
      </c>
      <c r="K443">
        <f t="shared" si="154"/>
        <v>438</v>
      </c>
      <c r="L443" s="49">
        <f t="shared" si="161"/>
        <v>13302</v>
      </c>
      <c r="M443" s="78">
        <f>IF(L443&gt;EDATE(DATE(YEAR(NEW_Origination_Date)+ NEW_Amort, MONTH(NEW_Origination_Date), DAY(NEW_Origination_Date)),NEW_Interest_Only),0,Q442)</f>
        <v>0</v>
      </c>
      <c r="N443" s="78">
        <f t="shared" si="155"/>
        <v>0</v>
      </c>
      <c r="O443" s="78">
        <f>IFERROR(IF(K443=0,0, PPMT(NEW_I_Adj,'Loan Amort Table'!K443,NEW_Amort_Periods,NEW_Orig_Loan_Amount)),0)</f>
        <v>0</v>
      </c>
      <c r="P443" s="78">
        <f>IFERROR(IF(NEW_Amort = 0, -M443* NEW_I_Adj,IPMT(NEW_I_Adj,IF(K443 = 0, 1, K443),NEW_Amort_Periods,NEW_Orig_Loan_Amount)),0)</f>
        <v>0</v>
      </c>
      <c r="Q443" s="78">
        <f t="shared" si="156"/>
        <v>0</v>
      </c>
      <c r="S443">
        <f t="shared" si="149"/>
        <v>37</v>
      </c>
      <c r="T443">
        <f t="shared" si="157"/>
        <v>438</v>
      </c>
      <c r="U443" s="49">
        <f t="shared" si="162"/>
        <v>13302</v>
      </c>
      <c r="V443" s="78">
        <f t="shared" si="158"/>
        <v>0</v>
      </c>
      <c r="W443" s="78">
        <f t="shared" ca="1" si="163"/>
        <v>0</v>
      </c>
      <c r="X443" s="78">
        <f>IFERROR(IF(OR(T443=0, U443&gt;=Refi_Origination_Date),0, PPMT(Mezz_I_Adj,'Loan Amort Table'!T443,Mezz_Amort_Periods,Mezz_Orig_Loan_Amount)),0)</f>
        <v>0</v>
      </c>
      <c r="Y443" s="78" cm="1">
        <f t="array" aca="1" ref="Y443" ca="1">IFERROR(_xlfn.IFS(U443&gt;=Refi_Origination_Date,0, Mezz_Amort = 0, -V443 * Mezz_I_Adj, 1, IPMT(Mezz_I_Adj,IF(T443 = 0, 1, T443),Mezz_Amort_Periods,Mezz_Orig_Loan_Amount)),0)</f>
        <v>0</v>
      </c>
      <c r="Z443" s="78">
        <f t="shared" si="164"/>
        <v>0</v>
      </c>
      <c r="AB443">
        <f t="shared" si="150"/>
        <v>37</v>
      </c>
      <c r="AC443">
        <f t="shared" si="159"/>
        <v>438</v>
      </c>
      <c r="AD443" s="49">
        <f t="shared" si="165"/>
        <v>13302</v>
      </c>
      <c r="AE443" s="78">
        <f t="shared" si="160"/>
        <v>0</v>
      </c>
      <c r="AF443" s="78">
        <f t="shared" ca="1" si="166"/>
        <v>0</v>
      </c>
      <c r="AG443" s="78">
        <f ca="1">IFERROR(IF(AC443=0,0, PPMT(Refi_I_Adj,'Loan Amort Table'!AC443,Refi_Amort_Periods,Refi_Orig_Loan_Amount)),0)</f>
        <v>0</v>
      </c>
      <c r="AH443" s="78">
        <f t="shared" ca="1" si="151"/>
        <v>0</v>
      </c>
      <c r="AI443" s="78">
        <f t="shared" ca="1" si="167"/>
        <v>0</v>
      </c>
    </row>
    <row r="444" spans="1:35" x14ac:dyDescent="0.25">
      <c r="A444">
        <f t="shared" si="147"/>
        <v>37</v>
      </c>
      <c r="B444">
        <f t="shared" si="152"/>
        <v>439</v>
      </c>
      <c r="C444" s="49">
        <f t="shared" si="169"/>
        <v>13332</v>
      </c>
      <c r="D444" s="78">
        <f>IF(C444&gt;EDATE(DATE(YEAR(SED_Origination_Date)+ SED_Amort, MONTH(SED_Origination_Date), DAY(SED_Origination_Date)),SED_Interest_Only),0,H443)</f>
        <v>0</v>
      </c>
      <c r="E444" s="78">
        <f t="shared" si="153"/>
        <v>0</v>
      </c>
      <c r="F444" s="78">
        <f>IFERROR(IF(OR(B444=0, C444&gt;=Refi_Origination_Date),0, PPMT(SED_I_Adj,'Loan Amort Table'!B444,SED_Amort_Periods,SED_Orig_Loan_Amount)),0)</f>
        <v>0</v>
      </c>
      <c r="G444" s="78" cm="1">
        <f t="array" ref="G444">IFERROR(_xlfn.IFS(C444&gt;=Refi_Origination_Date, 0, SED_Amort = 0, -D444 * SED_I_Adj, 1, IPMT(SED_I_Adj,IF(B444 = 0, 1, B444),SED_Amort_Periods,SED_Orig_Loan_Amount)),0)</f>
        <v>0</v>
      </c>
      <c r="H444" s="78">
        <f t="shared" si="168"/>
        <v>0</v>
      </c>
      <c r="J444">
        <f t="shared" si="148"/>
        <v>37</v>
      </c>
      <c r="K444">
        <f t="shared" si="154"/>
        <v>439</v>
      </c>
      <c r="L444" s="49">
        <f t="shared" si="161"/>
        <v>13332</v>
      </c>
      <c r="M444" s="78">
        <f>IF(L444&gt;EDATE(DATE(YEAR(NEW_Origination_Date)+ NEW_Amort, MONTH(NEW_Origination_Date), DAY(NEW_Origination_Date)),NEW_Interest_Only),0,Q443)</f>
        <v>0</v>
      </c>
      <c r="N444" s="78">
        <f t="shared" si="155"/>
        <v>0</v>
      </c>
      <c r="O444" s="78">
        <f>IFERROR(IF(K444=0,0, PPMT(NEW_I_Adj,'Loan Amort Table'!K444,NEW_Amort_Periods,NEW_Orig_Loan_Amount)),0)</f>
        <v>0</v>
      </c>
      <c r="P444" s="78">
        <f>IFERROR(IF(NEW_Amort = 0, -M444* NEW_I_Adj,IPMT(NEW_I_Adj,IF(K444 = 0, 1, K444),NEW_Amort_Periods,NEW_Orig_Loan_Amount)),0)</f>
        <v>0</v>
      </c>
      <c r="Q444" s="78">
        <f t="shared" si="156"/>
        <v>0</v>
      </c>
      <c r="S444">
        <f t="shared" si="149"/>
        <v>37</v>
      </c>
      <c r="T444">
        <f t="shared" si="157"/>
        <v>439</v>
      </c>
      <c r="U444" s="49">
        <f t="shared" si="162"/>
        <v>13332</v>
      </c>
      <c r="V444" s="78">
        <f t="shared" si="158"/>
        <v>0</v>
      </c>
      <c r="W444" s="78">
        <f t="shared" ca="1" si="163"/>
        <v>0</v>
      </c>
      <c r="X444" s="78">
        <f>IFERROR(IF(OR(T444=0, U444&gt;=Refi_Origination_Date),0, PPMT(Mezz_I_Adj,'Loan Amort Table'!T444,Mezz_Amort_Periods,Mezz_Orig_Loan_Amount)),0)</f>
        <v>0</v>
      </c>
      <c r="Y444" s="78" cm="1">
        <f t="array" aca="1" ref="Y444" ca="1">IFERROR(_xlfn.IFS(U444&gt;=Refi_Origination_Date,0, Mezz_Amort = 0, -V444 * Mezz_I_Adj, 1, IPMT(Mezz_I_Adj,IF(T444 = 0, 1, T444),Mezz_Amort_Periods,Mezz_Orig_Loan_Amount)),0)</f>
        <v>0</v>
      </c>
      <c r="Z444" s="78">
        <f t="shared" si="164"/>
        <v>0</v>
      </c>
      <c r="AB444">
        <f t="shared" si="150"/>
        <v>37</v>
      </c>
      <c r="AC444">
        <f t="shared" si="159"/>
        <v>439</v>
      </c>
      <c r="AD444" s="49">
        <f t="shared" si="165"/>
        <v>13332</v>
      </c>
      <c r="AE444" s="78">
        <f t="shared" si="160"/>
        <v>0</v>
      </c>
      <c r="AF444" s="78">
        <f t="shared" ca="1" si="166"/>
        <v>0</v>
      </c>
      <c r="AG444" s="78">
        <f ca="1">IFERROR(IF(AC444=0,0, PPMT(Refi_I_Adj,'Loan Amort Table'!AC444,Refi_Amort_Periods,Refi_Orig_Loan_Amount)),0)</f>
        <v>0</v>
      </c>
      <c r="AH444" s="78">
        <f t="shared" ca="1" si="151"/>
        <v>0</v>
      </c>
      <c r="AI444" s="78">
        <f t="shared" ca="1" si="167"/>
        <v>0</v>
      </c>
    </row>
    <row r="445" spans="1:35" x14ac:dyDescent="0.25">
      <c r="A445">
        <f t="shared" si="147"/>
        <v>37</v>
      </c>
      <c r="B445">
        <f t="shared" si="152"/>
        <v>440</v>
      </c>
      <c r="C445" s="49">
        <f t="shared" si="169"/>
        <v>13363</v>
      </c>
      <c r="D445" s="78">
        <f>IF(C445&gt;EDATE(DATE(YEAR(SED_Origination_Date)+ SED_Amort, MONTH(SED_Origination_Date), DAY(SED_Origination_Date)),SED_Interest_Only),0,H444)</f>
        <v>0</v>
      </c>
      <c r="E445" s="78">
        <f t="shared" si="153"/>
        <v>0</v>
      </c>
      <c r="F445" s="78">
        <f>IFERROR(IF(OR(B445=0, C445&gt;=Refi_Origination_Date),0, PPMT(SED_I_Adj,'Loan Amort Table'!B445,SED_Amort_Periods,SED_Orig_Loan_Amount)),0)</f>
        <v>0</v>
      </c>
      <c r="G445" s="78" cm="1">
        <f t="array" ref="G445">IFERROR(_xlfn.IFS(C445&gt;=Refi_Origination_Date, 0, SED_Amort = 0, -D445 * SED_I_Adj, 1, IPMT(SED_I_Adj,IF(B445 = 0, 1, B445),SED_Amort_Periods,SED_Orig_Loan_Amount)),0)</f>
        <v>0</v>
      </c>
      <c r="H445" s="78">
        <f t="shared" si="168"/>
        <v>0</v>
      </c>
      <c r="J445">
        <f t="shared" si="148"/>
        <v>37</v>
      </c>
      <c r="K445">
        <f t="shared" si="154"/>
        <v>440</v>
      </c>
      <c r="L445" s="49">
        <f t="shared" si="161"/>
        <v>13363</v>
      </c>
      <c r="M445" s="78">
        <f>IF(L445&gt;EDATE(DATE(YEAR(NEW_Origination_Date)+ NEW_Amort, MONTH(NEW_Origination_Date), DAY(NEW_Origination_Date)),NEW_Interest_Only),0,Q444)</f>
        <v>0</v>
      </c>
      <c r="N445" s="78">
        <f t="shared" si="155"/>
        <v>0</v>
      </c>
      <c r="O445" s="78">
        <f>IFERROR(IF(K445=0,0, PPMT(NEW_I_Adj,'Loan Amort Table'!K445,NEW_Amort_Periods,NEW_Orig_Loan_Amount)),0)</f>
        <v>0</v>
      </c>
      <c r="P445" s="78">
        <f>IFERROR(IF(NEW_Amort = 0, -M445* NEW_I_Adj,IPMT(NEW_I_Adj,IF(K445 = 0, 1, K445),NEW_Amort_Periods,NEW_Orig_Loan_Amount)),0)</f>
        <v>0</v>
      </c>
      <c r="Q445" s="78">
        <f t="shared" si="156"/>
        <v>0</v>
      </c>
      <c r="S445">
        <f t="shared" si="149"/>
        <v>37</v>
      </c>
      <c r="T445">
        <f t="shared" si="157"/>
        <v>440</v>
      </c>
      <c r="U445" s="49">
        <f t="shared" si="162"/>
        <v>13363</v>
      </c>
      <c r="V445" s="78">
        <f t="shared" si="158"/>
        <v>0</v>
      </c>
      <c r="W445" s="78">
        <f t="shared" ca="1" si="163"/>
        <v>0</v>
      </c>
      <c r="X445" s="78">
        <f>IFERROR(IF(OR(T445=0, U445&gt;=Refi_Origination_Date),0, PPMT(Mezz_I_Adj,'Loan Amort Table'!T445,Mezz_Amort_Periods,Mezz_Orig_Loan_Amount)),0)</f>
        <v>0</v>
      </c>
      <c r="Y445" s="78" cm="1">
        <f t="array" aca="1" ref="Y445" ca="1">IFERROR(_xlfn.IFS(U445&gt;=Refi_Origination_Date,0, Mezz_Amort = 0, -V445 * Mezz_I_Adj, 1, IPMT(Mezz_I_Adj,IF(T445 = 0, 1, T445),Mezz_Amort_Periods,Mezz_Orig_Loan_Amount)),0)</f>
        <v>0</v>
      </c>
      <c r="Z445" s="78">
        <f t="shared" si="164"/>
        <v>0</v>
      </c>
      <c r="AB445">
        <f t="shared" si="150"/>
        <v>37</v>
      </c>
      <c r="AC445">
        <f t="shared" si="159"/>
        <v>440</v>
      </c>
      <c r="AD445" s="49">
        <f t="shared" si="165"/>
        <v>13363</v>
      </c>
      <c r="AE445" s="78">
        <f t="shared" si="160"/>
        <v>0</v>
      </c>
      <c r="AF445" s="78">
        <f t="shared" ca="1" si="166"/>
        <v>0</v>
      </c>
      <c r="AG445" s="78">
        <f ca="1">IFERROR(IF(AC445=0,0, PPMT(Refi_I_Adj,'Loan Amort Table'!AC445,Refi_Amort_Periods,Refi_Orig_Loan_Amount)),0)</f>
        <v>0</v>
      </c>
      <c r="AH445" s="78">
        <f t="shared" ca="1" si="151"/>
        <v>0</v>
      </c>
      <c r="AI445" s="78">
        <f t="shared" ca="1" si="167"/>
        <v>0</v>
      </c>
    </row>
    <row r="446" spans="1:35" x14ac:dyDescent="0.25">
      <c r="A446">
        <f t="shared" si="147"/>
        <v>37</v>
      </c>
      <c r="B446">
        <f t="shared" si="152"/>
        <v>441</v>
      </c>
      <c r="C446" s="49">
        <f t="shared" si="169"/>
        <v>13394</v>
      </c>
      <c r="D446" s="78">
        <f>IF(C446&gt;EDATE(DATE(YEAR(SED_Origination_Date)+ SED_Amort, MONTH(SED_Origination_Date), DAY(SED_Origination_Date)),SED_Interest_Only),0,H445)</f>
        <v>0</v>
      </c>
      <c r="E446" s="78">
        <f t="shared" si="153"/>
        <v>0</v>
      </c>
      <c r="F446" s="78">
        <f>IFERROR(IF(OR(B446=0, C446&gt;=Refi_Origination_Date),0, PPMT(SED_I_Adj,'Loan Amort Table'!B446,SED_Amort_Periods,SED_Orig_Loan_Amount)),0)</f>
        <v>0</v>
      </c>
      <c r="G446" s="78" cm="1">
        <f t="array" ref="G446">IFERROR(_xlfn.IFS(C446&gt;=Refi_Origination_Date, 0, SED_Amort = 0, -D446 * SED_I_Adj, 1, IPMT(SED_I_Adj,IF(B446 = 0, 1, B446),SED_Amort_Periods,SED_Orig_Loan_Amount)),0)</f>
        <v>0</v>
      </c>
      <c r="H446" s="78">
        <f t="shared" si="168"/>
        <v>0</v>
      </c>
      <c r="J446">
        <f t="shared" si="148"/>
        <v>37</v>
      </c>
      <c r="K446">
        <f t="shared" si="154"/>
        <v>441</v>
      </c>
      <c r="L446" s="49">
        <f t="shared" si="161"/>
        <v>13394</v>
      </c>
      <c r="M446" s="78">
        <f>IF(L446&gt;EDATE(DATE(YEAR(NEW_Origination_Date)+ NEW_Amort, MONTH(NEW_Origination_Date), DAY(NEW_Origination_Date)),NEW_Interest_Only),0,Q445)</f>
        <v>0</v>
      </c>
      <c r="N446" s="78">
        <f t="shared" si="155"/>
        <v>0</v>
      </c>
      <c r="O446" s="78">
        <f>IFERROR(IF(K446=0,0, PPMT(NEW_I_Adj,'Loan Amort Table'!K446,NEW_Amort_Periods,NEW_Orig_Loan_Amount)),0)</f>
        <v>0</v>
      </c>
      <c r="P446" s="78">
        <f>IFERROR(IF(NEW_Amort = 0, -M446* NEW_I_Adj,IPMT(NEW_I_Adj,IF(K446 = 0, 1, K446),NEW_Amort_Periods,NEW_Orig_Loan_Amount)),0)</f>
        <v>0</v>
      </c>
      <c r="Q446" s="78">
        <f t="shared" si="156"/>
        <v>0</v>
      </c>
      <c r="S446">
        <f t="shared" si="149"/>
        <v>37</v>
      </c>
      <c r="T446">
        <f t="shared" si="157"/>
        <v>441</v>
      </c>
      <c r="U446" s="49">
        <f t="shared" si="162"/>
        <v>13394</v>
      </c>
      <c r="V446" s="78">
        <f t="shared" si="158"/>
        <v>0</v>
      </c>
      <c r="W446" s="78">
        <f t="shared" ca="1" si="163"/>
        <v>0</v>
      </c>
      <c r="X446" s="78">
        <f>IFERROR(IF(OR(T446=0, U446&gt;=Refi_Origination_Date),0, PPMT(Mezz_I_Adj,'Loan Amort Table'!T446,Mezz_Amort_Periods,Mezz_Orig_Loan_Amount)),0)</f>
        <v>0</v>
      </c>
      <c r="Y446" s="78" cm="1">
        <f t="array" aca="1" ref="Y446" ca="1">IFERROR(_xlfn.IFS(U446&gt;=Refi_Origination_Date,0, Mezz_Amort = 0, -V446 * Mezz_I_Adj, 1, IPMT(Mezz_I_Adj,IF(T446 = 0, 1, T446),Mezz_Amort_Periods,Mezz_Orig_Loan_Amount)),0)</f>
        <v>0</v>
      </c>
      <c r="Z446" s="78">
        <f t="shared" si="164"/>
        <v>0</v>
      </c>
      <c r="AB446">
        <f t="shared" si="150"/>
        <v>37</v>
      </c>
      <c r="AC446">
        <f t="shared" si="159"/>
        <v>441</v>
      </c>
      <c r="AD446" s="49">
        <f t="shared" si="165"/>
        <v>13394</v>
      </c>
      <c r="AE446" s="78">
        <f t="shared" si="160"/>
        <v>0</v>
      </c>
      <c r="AF446" s="78">
        <f t="shared" ca="1" si="166"/>
        <v>0</v>
      </c>
      <c r="AG446" s="78">
        <f ca="1">IFERROR(IF(AC446=0,0, PPMT(Refi_I_Adj,'Loan Amort Table'!AC446,Refi_Amort_Periods,Refi_Orig_Loan_Amount)),0)</f>
        <v>0</v>
      </c>
      <c r="AH446" s="78">
        <f t="shared" ca="1" si="151"/>
        <v>0</v>
      </c>
      <c r="AI446" s="78">
        <f t="shared" ca="1" si="167"/>
        <v>0</v>
      </c>
    </row>
    <row r="447" spans="1:35" x14ac:dyDescent="0.25">
      <c r="A447">
        <f t="shared" si="147"/>
        <v>37</v>
      </c>
      <c r="B447">
        <f t="shared" si="152"/>
        <v>442</v>
      </c>
      <c r="C447" s="49">
        <f t="shared" si="169"/>
        <v>13424</v>
      </c>
      <c r="D447" s="78">
        <f>IF(C447&gt;EDATE(DATE(YEAR(SED_Origination_Date)+ SED_Amort, MONTH(SED_Origination_Date), DAY(SED_Origination_Date)),SED_Interest_Only),0,H446)</f>
        <v>0</v>
      </c>
      <c r="E447" s="78">
        <f t="shared" si="153"/>
        <v>0</v>
      </c>
      <c r="F447" s="78">
        <f>IFERROR(IF(OR(B447=0, C447&gt;=Refi_Origination_Date),0, PPMT(SED_I_Adj,'Loan Amort Table'!B447,SED_Amort_Periods,SED_Orig_Loan_Amount)),0)</f>
        <v>0</v>
      </c>
      <c r="G447" s="78" cm="1">
        <f t="array" ref="G447">IFERROR(_xlfn.IFS(C447&gt;=Refi_Origination_Date, 0, SED_Amort = 0, -D447 * SED_I_Adj, 1, IPMT(SED_I_Adj,IF(B447 = 0, 1, B447),SED_Amort_Periods,SED_Orig_Loan_Amount)),0)</f>
        <v>0</v>
      </c>
      <c r="H447" s="78">
        <f t="shared" si="168"/>
        <v>0</v>
      </c>
      <c r="J447">
        <f t="shared" si="148"/>
        <v>37</v>
      </c>
      <c r="K447">
        <f t="shared" si="154"/>
        <v>442</v>
      </c>
      <c r="L447" s="49">
        <f t="shared" si="161"/>
        <v>13424</v>
      </c>
      <c r="M447" s="78">
        <f>IF(L447&gt;EDATE(DATE(YEAR(NEW_Origination_Date)+ NEW_Amort, MONTH(NEW_Origination_Date), DAY(NEW_Origination_Date)),NEW_Interest_Only),0,Q446)</f>
        <v>0</v>
      </c>
      <c r="N447" s="78">
        <f t="shared" si="155"/>
        <v>0</v>
      </c>
      <c r="O447" s="78">
        <f>IFERROR(IF(K447=0,0, PPMT(NEW_I_Adj,'Loan Amort Table'!K447,NEW_Amort_Periods,NEW_Orig_Loan_Amount)),0)</f>
        <v>0</v>
      </c>
      <c r="P447" s="78">
        <f>IFERROR(IF(NEW_Amort = 0, -M447* NEW_I_Adj,IPMT(NEW_I_Adj,IF(K447 = 0, 1, K447),NEW_Amort_Periods,NEW_Orig_Loan_Amount)),0)</f>
        <v>0</v>
      </c>
      <c r="Q447" s="78">
        <f t="shared" si="156"/>
        <v>0</v>
      </c>
      <c r="S447">
        <f t="shared" si="149"/>
        <v>37</v>
      </c>
      <c r="T447">
        <f t="shared" si="157"/>
        <v>442</v>
      </c>
      <c r="U447" s="49">
        <f t="shared" si="162"/>
        <v>13424</v>
      </c>
      <c r="V447" s="78">
        <f t="shared" si="158"/>
        <v>0</v>
      </c>
      <c r="W447" s="78">
        <f t="shared" ca="1" si="163"/>
        <v>0</v>
      </c>
      <c r="X447" s="78">
        <f>IFERROR(IF(OR(T447=0, U447&gt;=Refi_Origination_Date),0, PPMT(Mezz_I_Adj,'Loan Amort Table'!T447,Mezz_Amort_Periods,Mezz_Orig_Loan_Amount)),0)</f>
        <v>0</v>
      </c>
      <c r="Y447" s="78" cm="1">
        <f t="array" aca="1" ref="Y447" ca="1">IFERROR(_xlfn.IFS(U447&gt;=Refi_Origination_Date,0, Mezz_Amort = 0, -V447 * Mezz_I_Adj, 1, IPMT(Mezz_I_Adj,IF(T447 = 0, 1, T447),Mezz_Amort_Periods,Mezz_Orig_Loan_Amount)),0)</f>
        <v>0</v>
      </c>
      <c r="Z447" s="78">
        <f t="shared" si="164"/>
        <v>0</v>
      </c>
      <c r="AB447">
        <f t="shared" si="150"/>
        <v>37</v>
      </c>
      <c r="AC447">
        <f t="shared" si="159"/>
        <v>442</v>
      </c>
      <c r="AD447" s="49">
        <f t="shared" si="165"/>
        <v>13424</v>
      </c>
      <c r="AE447" s="78">
        <f t="shared" si="160"/>
        <v>0</v>
      </c>
      <c r="AF447" s="78">
        <f t="shared" ca="1" si="166"/>
        <v>0</v>
      </c>
      <c r="AG447" s="78">
        <f ca="1">IFERROR(IF(AC447=0,0, PPMT(Refi_I_Adj,'Loan Amort Table'!AC447,Refi_Amort_Periods,Refi_Orig_Loan_Amount)),0)</f>
        <v>0</v>
      </c>
      <c r="AH447" s="78">
        <f t="shared" ca="1" si="151"/>
        <v>0</v>
      </c>
      <c r="AI447" s="78">
        <f t="shared" ca="1" si="167"/>
        <v>0</v>
      </c>
    </row>
    <row r="448" spans="1:35" x14ac:dyDescent="0.25">
      <c r="A448">
        <f t="shared" si="147"/>
        <v>37</v>
      </c>
      <c r="B448">
        <f t="shared" si="152"/>
        <v>443</v>
      </c>
      <c r="C448" s="49">
        <f t="shared" si="169"/>
        <v>13455</v>
      </c>
      <c r="D448" s="78">
        <f>IF(C448&gt;EDATE(DATE(YEAR(SED_Origination_Date)+ SED_Amort, MONTH(SED_Origination_Date), DAY(SED_Origination_Date)),SED_Interest_Only),0,H447)</f>
        <v>0</v>
      </c>
      <c r="E448" s="78">
        <f t="shared" si="153"/>
        <v>0</v>
      </c>
      <c r="F448" s="78">
        <f>IFERROR(IF(OR(B448=0, C448&gt;=Refi_Origination_Date),0, PPMT(SED_I_Adj,'Loan Amort Table'!B448,SED_Amort_Periods,SED_Orig_Loan_Amount)),0)</f>
        <v>0</v>
      </c>
      <c r="G448" s="78" cm="1">
        <f t="array" ref="G448">IFERROR(_xlfn.IFS(C448&gt;=Refi_Origination_Date, 0, SED_Amort = 0, -D448 * SED_I_Adj, 1, IPMT(SED_I_Adj,IF(B448 = 0, 1, B448),SED_Amort_Periods,SED_Orig_Loan_Amount)),0)</f>
        <v>0</v>
      </c>
      <c r="H448" s="78">
        <f t="shared" si="168"/>
        <v>0</v>
      </c>
      <c r="J448">
        <f t="shared" si="148"/>
        <v>37</v>
      </c>
      <c r="K448">
        <f t="shared" si="154"/>
        <v>443</v>
      </c>
      <c r="L448" s="49">
        <f t="shared" si="161"/>
        <v>13455</v>
      </c>
      <c r="M448" s="78">
        <f>IF(L448&gt;EDATE(DATE(YEAR(NEW_Origination_Date)+ NEW_Amort, MONTH(NEW_Origination_Date), DAY(NEW_Origination_Date)),NEW_Interest_Only),0,Q447)</f>
        <v>0</v>
      </c>
      <c r="N448" s="78">
        <f t="shared" si="155"/>
        <v>0</v>
      </c>
      <c r="O448" s="78">
        <f>IFERROR(IF(K448=0,0, PPMT(NEW_I_Adj,'Loan Amort Table'!K448,NEW_Amort_Periods,NEW_Orig_Loan_Amount)),0)</f>
        <v>0</v>
      </c>
      <c r="P448" s="78">
        <f>IFERROR(IF(NEW_Amort = 0, -M448* NEW_I_Adj,IPMT(NEW_I_Adj,IF(K448 = 0, 1, K448),NEW_Amort_Periods,NEW_Orig_Loan_Amount)),0)</f>
        <v>0</v>
      </c>
      <c r="Q448" s="78">
        <f t="shared" si="156"/>
        <v>0</v>
      </c>
      <c r="S448">
        <f t="shared" si="149"/>
        <v>37</v>
      </c>
      <c r="T448">
        <f t="shared" si="157"/>
        <v>443</v>
      </c>
      <c r="U448" s="49">
        <f t="shared" si="162"/>
        <v>13455</v>
      </c>
      <c r="V448" s="78">
        <f t="shared" si="158"/>
        <v>0</v>
      </c>
      <c r="W448" s="78">
        <f t="shared" ca="1" si="163"/>
        <v>0</v>
      </c>
      <c r="X448" s="78">
        <f>IFERROR(IF(OR(T448=0, U448&gt;=Refi_Origination_Date),0, PPMT(Mezz_I_Adj,'Loan Amort Table'!T448,Mezz_Amort_Periods,Mezz_Orig_Loan_Amount)),0)</f>
        <v>0</v>
      </c>
      <c r="Y448" s="78" cm="1">
        <f t="array" aca="1" ref="Y448" ca="1">IFERROR(_xlfn.IFS(U448&gt;=Refi_Origination_Date,0, Mezz_Amort = 0, -V448 * Mezz_I_Adj, 1, IPMT(Mezz_I_Adj,IF(T448 = 0, 1, T448),Mezz_Amort_Periods,Mezz_Orig_Loan_Amount)),0)</f>
        <v>0</v>
      </c>
      <c r="Z448" s="78">
        <f t="shared" si="164"/>
        <v>0</v>
      </c>
      <c r="AB448">
        <f t="shared" si="150"/>
        <v>37</v>
      </c>
      <c r="AC448">
        <f t="shared" si="159"/>
        <v>443</v>
      </c>
      <c r="AD448" s="49">
        <f t="shared" si="165"/>
        <v>13455</v>
      </c>
      <c r="AE448" s="78">
        <f t="shared" si="160"/>
        <v>0</v>
      </c>
      <c r="AF448" s="78">
        <f t="shared" ca="1" si="166"/>
        <v>0</v>
      </c>
      <c r="AG448" s="78">
        <f ca="1">IFERROR(IF(AC448=0,0, PPMT(Refi_I_Adj,'Loan Amort Table'!AC448,Refi_Amort_Periods,Refi_Orig_Loan_Amount)),0)</f>
        <v>0</v>
      </c>
      <c r="AH448" s="78">
        <f t="shared" ca="1" si="151"/>
        <v>0</v>
      </c>
      <c r="AI448" s="78">
        <f t="shared" ca="1" si="167"/>
        <v>0</v>
      </c>
    </row>
    <row r="449" spans="1:35" x14ac:dyDescent="0.25">
      <c r="A449">
        <f t="shared" si="147"/>
        <v>37</v>
      </c>
      <c r="B449">
        <f t="shared" si="152"/>
        <v>444</v>
      </c>
      <c r="C449" s="49">
        <f t="shared" si="169"/>
        <v>13485</v>
      </c>
      <c r="D449" s="78">
        <f>IF(C449&gt;EDATE(DATE(YEAR(SED_Origination_Date)+ SED_Amort, MONTH(SED_Origination_Date), DAY(SED_Origination_Date)),SED_Interest_Only),0,H448)</f>
        <v>0</v>
      </c>
      <c r="E449" s="78">
        <f t="shared" si="153"/>
        <v>0</v>
      </c>
      <c r="F449" s="78">
        <f>IFERROR(IF(OR(B449=0, C449&gt;=Refi_Origination_Date),0, PPMT(SED_I_Adj,'Loan Amort Table'!B449,SED_Amort_Periods,SED_Orig_Loan_Amount)),0)</f>
        <v>0</v>
      </c>
      <c r="G449" s="78" cm="1">
        <f t="array" ref="G449">IFERROR(_xlfn.IFS(C449&gt;=Refi_Origination_Date, 0, SED_Amort = 0, -D449 * SED_I_Adj, 1, IPMT(SED_I_Adj,IF(B449 = 0, 1, B449),SED_Amort_Periods,SED_Orig_Loan_Amount)),0)</f>
        <v>0</v>
      </c>
      <c r="H449" s="78">
        <f t="shared" si="168"/>
        <v>0</v>
      </c>
      <c r="J449">
        <f t="shared" si="148"/>
        <v>37</v>
      </c>
      <c r="K449">
        <f t="shared" si="154"/>
        <v>444</v>
      </c>
      <c r="L449" s="49">
        <f t="shared" si="161"/>
        <v>13485</v>
      </c>
      <c r="M449" s="78">
        <f>IF(L449&gt;EDATE(DATE(YEAR(NEW_Origination_Date)+ NEW_Amort, MONTH(NEW_Origination_Date), DAY(NEW_Origination_Date)),NEW_Interest_Only),0,Q448)</f>
        <v>0</v>
      </c>
      <c r="N449" s="78">
        <f t="shared" si="155"/>
        <v>0</v>
      </c>
      <c r="O449" s="78">
        <f>IFERROR(IF(K449=0,0, PPMT(NEW_I_Adj,'Loan Amort Table'!K449,NEW_Amort_Periods,NEW_Orig_Loan_Amount)),0)</f>
        <v>0</v>
      </c>
      <c r="P449" s="78">
        <f>IFERROR(IF(NEW_Amort = 0, -M449* NEW_I_Adj,IPMT(NEW_I_Adj,IF(K449 = 0, 1, K449),NEW_Amort_Periods,NEW_Orig_Loan_Amount)),0)</f>
        <v>0</v>
      </c>
      <c r="Q449" s="78">
        <f t="shared" si="156"/>
        <v>0</v>
      </c>
      <c r="S449">
        <f t="shared" si="149"/>
        <v>37</v>
      </c>
      <c r="T449">
        <f t="shared" si="157"/>
        <v>444</v>
      </c>
      <c r="U449" s="49">
        <f t="shared" si="162"/>
        <v>13485</v>
      </c>
      <c r="V449" s="78">
        <f t="shared" si="158"/>
        <v>0</v>
      </c>
      <c r="W449" s="78">
        <f t="shared" ca="1" si="163"/>
        <v>0</v>
      </c>
      <c r="X449" s="78">
        <f>IFERROR(IF(OR(T449=0, U449&gt;=Refi_Origination_Date),0, PPMT(Mezz_I_Adj,'Loan Amort Table'!T449,Mezz_Amort_Periods,Mezz_Orig_Loan_Amount)),0)</f>
        <v>0</v>
      </c>
      <c r="Y449" s="78" cm="1">
        <f t="array" aca="1" ref="Y449" ca="1">IFERROR(_xlfn.IFS(U449&gt;=Refi_Origination_Date,0, Mezz_Amort = 0, -V449 * Mezz_I_Adj, 1, IPMT(Mezz_I_Adj,IF(T449 = 0, 1, T449),Mezz_Amort_Periods,Mezz_Orig_Loan_Amount)),0)</f>
        <v>0</v>
      </c>
      <c r="Z449" s="78">
        <f t="shared" si="164"/>
        <v>0</v>
      </c>
      <c r="AB449">
        <f t="shared" si="150"/>
        <v>37</v>
      </c>
      <c r="AC449">
        <f t="shared" si="159"/>
        <v>444</v>
      </c>
      <c r="AD449" s="49">
        <f t="shared" si="165"/>
        <v>13485</v>
      </c>
      <c r="AE449" s="78">
        <f t="shared" si="160"/>
        <v>0</v>
      </c>
      <c r="AF449" s="78">
        <f t="shared" ca="1" si="166"/>
        <v>0</v>
      </c>
      <c r="AG449" s="78">
        <f ca="1">IFERROR(IF(AC449=0,0, PPMT(Refi_I_Adj,'Loan Amort Table'!AC449,Refi_Amort_Periods,Refi_Orig_Loan_Amount)),0)</f>
        <v>0</v>
      </c>
      <c r="AH449" s="78">
        <f t="shared" ca="1" si="151"/>
        <v>0</v>
      </c>
      <c r="AI449" s="78">
        <f t="shared" ca="1" si="167"/>
        <v>0</v>
      </c>
    </row>
    <row r="450" spans="1:35" x14ac:dyDescent="0.25">
      <c r="A450">
        <f t="shared" si="147"/>
        <v>38</v>
      </c>
      <c r="B450">
        <f t="shared" si="152"/>
        <v>445</v>
      </c>
      <c r="C450" s="49">
        <f t="shared" si="169"/>
        <v>13516</v>
      </c>
      <c r="D450" s="78">
        <f>IF(C450&gt;EDATE(DATE(YEAR(SED_Origination_Date)+ SED_Amort, MONTH(SED_Origination_Date), DAY(SED_Origination_Date)),SED_Interest_Only),0,H449)</f>
        <v>0</v>
      </c>
      <c r="E450" s="78">
        <f t="shared" si="153"/>
        <v>0</v>
      </c>
      <c r="F450" s="78">
        <f>IFERROR(IF(OR(B450=0, C450&gt;=Refi_Origination_Date),0, PPMT(SED_I_Adj,'Loan Amort Table'!B450,SED_Amort_Periods,SED_Orig_Loan_Amount)),0)</f>
        <v>0</v>
      </c>
      <c r="G450" s="78" cm="1">
        <f t="array" ref="G450">IFERROR(_xlfn.IFS(C450&gt;=Refi_Origination_Date, 0, SED_Amort = 0, -D450 * SED_I_Adj, 1, IPMT(SED_I_Adj,IF(B450 = 0, 1, B450),SED_Amort_Periods,SED_Orig_Loan_Amount)),0)</f>
        <v>0</v>
      </c>
      <c r="H450" s="78">
        <f t="shared" si="168"/>
        <v>0</v>
      </c>
      <c r="J450">
        <f t="shared" si="148"/>
        <v>38</v>
      </c>
      <c r="K450">
        <f t="shared" si="154"/>
        <v>445</v>
      </c>
      <c r="L450" s="49">
        <f t="shared" si="161"/>
        <v>13516</v>
      </c>
      <c r="M450" s="78">
        <f>IF(L450&gt;EDATE(DATE(YEAR(NEW_Origination_Date)+ NEW_Amort, MONTH(NEW_Origination_Date), DAY(NEW_Origination_Date)),NEW_Interest_Only),0,Q449)</f>
        <v>0</v>
      </c>
      <c r="N450" s="78">
        <f t="shared" si="155"/>
        <v>0</v>
      </c>
      <c r="O450" s="78">
        <f>IFERROR(IF(K450=0,0, PPMT(NEW_I_Adj,'Loan Amort Table'!K450,NEW_Amort_Periods,NEW_Orig_Loan_Amount)),0)</f>
        <v>0</v>
      </c>
      <c r="P450" s="78">
        <f>IFERROR(IF(NEW_Amort = 0, -M450* NEW_I_Adj,IPMT(NEW_I_Adj,IF(K450 = 0, 1, K450),NEW_Amort_Periods,NEW_Orig_Loan_Amount)),0)</f>
        <v>0</v>
      </c>
      <c r="Q450" s="78">
        <f t="shared" si="156"/>
        <v>0</v>
      </c>
      <c r="S450">
        <f t="shared" si="149"/>
        <v>38</v>
      </c>
      <c r="T450">
        <f t="shared" si="157"/>
        <v>445</v>
      </c>
      <c r="U450" s="49">
        <f t="shared" si="162"/>
        <v>13516</v>
      </c>
      <c r="V450" s="78">
        <f t="shared" si="158"/>
        <v>0</v>
      </c>
      <c r="W450" s="78">
        <f t="shared" ca="1" si="163"/>
        <v>0</v>
      </c>
      <c r="X450" s="78">
        <f>IFERROR(IF(OR(T450=0, U450&gt;=Refi_Origination_Date),0, PPMT(Mezz_I_Adj,'Loan Amort Table'!T450,Mezz_Amort_Periods,Mezz_Orig_Loan_Amount)),0)</f>
        <v>0</v>
      </c>
      <c r="Y450" s="78" cm="1">
        <f t="array" aca="1" ref="Y450" ca="1">IFERROR(_xlfn.IFS(U450&gt;=Refi_Origination_Date,0, Mezz_Amort = 0, -V450 * Mezz_I_Adj, 1, IPMT(Mezz_I_Adj,IF(T450 = 0, 1, T450),Mezz_Amort_Periods,Mezz_Orig_Loan_Amount)),0)</f>
        <v>0</v>
      </c>
      <c r="Z450" s="78">
        <f t="shared" si="164"/>
        <v>0</v>
      </c>
      <c r="AB450">
        <f t="shared" si="150"/>
        <v>38</v>
      </c>
      <c r="AC450">
        <f t="shared" si="159"/>
        <v>445</v>
      </c>
      <c r="AD450" s="49">
        <f t="shared" si="165"/>
        <v>13516</v>
      </c>
      <c r="AE450" s="78">
        <f t="shared" si="160"/>
        <v>0</v>
      </c>
      <c r="AF450" s="78">
        <f t="shared" ca="1" si="166"/>
        <v>0</v>
      </c>
      <c r="AG450" s="78">
        <f ca="1">IFERROR(IF(AC450=0,0, PPMT(Refi_I_Adj,'Loan Amort Table'!AC450,Refi_Amort_Periods,Refi_Orig_Loan_Amount)),0)</f>
        <v>0</v>
      </c>
      <c r="AH450" s="78">
        <f t="shared" ca="1" si="151"/>
        <v>0</v>
      </c>
      <c r="AI450" s="78">
        <f t="shared" ca="1" si="167"/>
        <v>0</v>
      </c>
    </row>
    <row r="451" spans="1:35" x14ac:dyDescent="0.25">
      <c r="A451">
        <f t="shared" si="147"/>
        <v>38</v>
      </c>
      <c r="B451">
        <f t="shared" si="152"/>
        <v>446</v>
      </c>
      <c r="C451" s="49">
        <f t="shared" si="169"/>
        <v>13547</v>
      </c>
      <c r="D451" s="78">
        <f>IF(C451&gt;EDATE(DATE(YEAR(SED_Origination_Date)+ SED_Amort, MONTH(SED_Origination_Date), DAY(SED_Origination_Date)),SED_Interest_Only),0,H450)</f>
        <v>0</v>
      </c>
      <c r="E451" s="78">
        <f t="shared" si="153"/>
        <v>0</v>
      </c>
      <c r="F451" s="78">
        <f>IFERROR(IF(OR(B451=0, C451&gt;=Refi_Origination_Date),0, PPMT(SED_I_Adj,'Loan Amort Table'!B451,SED_Amort_Periods,SED_Orig_Loan_Amount)),0)</f>
        <v>0</v>
      </c>
      <c r="G451" s="78" cm="1">
        <f t="array" ref="G451">IFERROR(_xlfn.IFS(C451&gt;=Refi_Origination_Date, 0, SED_Amort = 0, -D451 * SED_I_Adj, 1, IPMT(SED_I_Adj,IF(B451 = 0, 1, B451),SED_Amort_Periods,SED_Orig_Loan_Amount)),0)</f>
        <v>0</v>
      </c>
      <c r="H451" s="78">
        <f t="shared" si="168"/>
        <v>0</v>
      </c>
      <c r="J451">
        <f t="shared" si="148"/>
        <v>38</v>
      </c>
      <c r="K451">
        <f t="shared" si="154"/>
        <v>446</v>
      </c>
      <c r="L451" s="49">
        <f t="shared" si="161"/>
        <v>13547</v>
      </c>
      <c r="M451" s="78">
        <f>IF(L451&gt;EDATE(DATE(YEAR(NEW_Origination_Date)+ NEW_Amort, MONTH(NEW_Origination_Date), DAY(NEW_Origination_Date)),NEW_Interest_Only),0,Q450)</f>
        <v>0</v>
      </c>
      <c r="N451" s="78">
        <f t="shared" si="155"/>
        <v>0</v>
      </c>
      <c r="O451" s="78">
        <f>IFERROR(IF(K451=0,0, PPMT(NEW_I_Adj,'Loan Amort Table'!K451,NEW_Amort_Periods,NEW_Orig_Loan_Amount)),0)</f>
        <v>0</v>
      </c>
      <c r="P451" s="78">
        <f>IFERROR(IF(NEW_Amort = 0, -M451* NEW_I_Adj,IPMT(NEW_I_Adj,IF(K451 = 0, 1, K451),NEW_Amort_Periods,NEW_Orig_Loan_Amount)),0)</f>
        <v>0</v>
      </c>
      <c r="Q451" s="78">
        <f t="shared" si="156"/>
        <v>0</v>
      </c>
      <c r="S451">
        <f t="shared" si="149"/>
        <v>38</v>
      </c>
      <c r="T451">
        <f t="shared" si="157"/>
        <v>446</v>
      </c>
      <c r="U451" s="49">
        <f t="shared" si="162"/>
        <v>13547</v>
      </c>
      <c r="V451" s="78">
        <f t="shared" si="158"/>
        <v>0</v>
      </c>
      <c r="W451" s="78">
        <f t="shared" ca="1" si="163"/>
        <v>0</v>
      </c>
      <c r="X451" s="78">
        <f>IFERROR(IF(OR(T451=0, U451&gt;=Refi_Origination_Date),0, PPMT(Mezz_I_Adj,'Loan Amort Table'!T451,Mezz_Amort_Periods,Mezz_Orig_Loan_Amount)),0)</f>
        <v>0</v>
      </c>
      <c r="Y451" s="78" cm="1">
        <f t="array" aca="1" ref="Y451" ca="1">IFERROR(_xlfn.IFS(U451&gt;=Refi_Origination_Date,0, Mezz_Amort = 0, -V451 * Mezz_I_Adj, 1, IPMT(Mezz_I_Adj,IF(T451 = 0, 1, T451),Mezz_Amort_Periods,Mezz_Orig_Loan_Amount)),0)</f>
        <v>0</v>
      </c>
      <c r="Z451" s="78">
        <f t="shared" si="164"/>
        <v>0</v>
      </c>
      <c r="AB451">
        <f t="shared" si="150"/>
        <v>38</v>
      </c>
      <c r="AC451">
        <f t="shared" si="159"/>
        <v>446</v>
      </c>
      <c r="AD451" s="49">
        <f t="shared" si="165"/>
        <v>13547</v>
      </c>
      <c r="AE451" s="78">
        <f t="shared" si="160"/>
        <v>0</v>
      </c>
      <c r="AF451" s="78">
        <f t="shared" ca="1" si="166"/>
        <v>0</v>
      </c>
      <c r="AG451" s="78">
        <f ca="1">IFERROR(IF(AC451=0,0, PPMT(Refi_I_Adj,'Loan Amort Table'!AC451,Refi_Amort_Periods,Refi_Orig_Loan_Amount)),0)</f>
        <v>0</v>
      </c>
      <c r="AH451" s="78">
        <f t="shared" ca="1" si="151"/>
        <v>0</v>
      </c>
      <c r="AI451" s="78">
        <f t="shared" ca="1" si="167"/>
        <v>0</v>
      </c>
    </row>
    <row r="452" spans="1:35" x14ac:dyDescent="0.25">
      <c r="A452">
        <f t="shared" si="147"/>
        <v>38</v>
      </c>
      <c r="B452">
        <f t="shared" si="152"/>
        <v>447</v>
      </c>
      <c r="C452" s="49">
        <f t="shared" si="169"/>
        <v>13575</v>
      </c>
      <c r="D452" s="78">
        <f>IF(C452&gt;EDATE(DATE(YEAR(SED_Origination_Date)+ SED_Amort, MONTH(SED_Origination_Date), DAY(SED_Origination_Date)),SED_Interest_Only),0,H451)</f>
        <v>0</v>
      </c>
      <c r="E452" s="78">
        <f t="shared" si="153"/>
        <v>0</v>
      </c>
      <c r="F452" s="78">
        <f>IFERROR(IF(OR(B452=0, C452&gt;=Refi_Origination_Date),0, PPMT(SED_I_Adj,'Loan Amort Table'!B452,SED_Amort_Periods,SED_Orig_Loan_Amount)),0)</f>
        <v>0</v>
      </c>
      <c r="G452" s="78" cm="1">
        <f t="array" ref="G452">IFERROR(_xlfn.IFS(C452&gt;=Refi_Origination_Date, 0, SED_Amort = 0, -D452 * SED_I_Adj, 1, IPMT(SED_I_Adj,IF(B452 = 0, 1, B452),SED_Amort_Periods,SED_Orig_Loan_Amount)),0)</f>
        <v>0</v>
      </c>
      <c r="H452" s="78">
        <f t="shared" si="168"/>
        <v>0</v>
      </c>
      <c r="J452">
        <f t="shared" si="148"/>
        <v>38</v>
      </c>
      <c r="K452">
        <f t="shared" si="154"/>
        <v>447</v>
      </c>
      <c r="L452" s="49">
        <f t="shared" si="161"/>
        <v>13575</v>
      </c>
      <c r="M452" s="78">
        <f>IF(L452&gt;EDATE(DATE(YEAR(NEW_Origination_Date)+ NEW_Amort, MONTH(NEW_Origination_Date), DAY(NEW_Origination_Date)),NEW_Interest_Only),0,Q451)</f>
        <v>0</v>
      </c>
      <c r="N452" s="78">
        <f t="shared" si="155"/>
        <v>0</v>
      </c>
      <c r="O452" s="78">
        <f>IFERROR(IF(K452=0,0, PPMT(NEW_I_Adj,'Loan Amort Table'!K452,NEW_Amort_Periods,NEW_Orig_Loan_Amount)),0)</f>
        <v>0</v>
      </c>
      <c r="P452" s="78">
        <f>IFERROR(IF(NEW_Amort = 0, -M452* NEW_I_Adj,IPMT(NEW_I_Adj,IF(K452 = 0, 1, K452),NEW_Amort_Periods,NEW_Orig_Loan_Amount)),0)</f>
        <v>0</v>
      </c>
      <c r="Q452" s="78">
        <f t="shared" si="156"/>
        <v>0</v>
      </c>
      <c r="S452">
        <f t="shared" si="149"/>
        <v>38</v>
      </c>
      <c r="T452">
        <f t="shared" si="157"/>
        <v>447</v>
      </c>
      <c r="U452" s="49">
        <f t="shared" si="162"/>
        <v>13575</v>
      </c>
      <c r="V452" s="78">
        <f t="shared" si="158"/>
        <v>0</v>
      </c>
      <c r="W452" s="78">
        <f t="shared" ca="1" si="163"/>
        <v>0</v>
      </c>
      <c r="X452" s="78">
        <f>IFERROR(IF(OR(T452=0, U452&gt;=Refi_Origination_Date),0, PPMT(Mezz_I_Adj,'Loan Amort Table'!T452,Mezz_Amort_Periods,Mezz_Orig_Loan_Amount)),0)</f>
        <v>0</v>
      </c>
      <c r="Y452" s="78" cm="1">
        <f t="array" aca="1" ref="Y452" ca="1">IFERROR(_xlfn.IFS(U452&gt;=Refi_Origination_Date,0, Mezz_Amort = 0, -V452 * Mezz_I_Adj, 1, IPMT(Mezz_I_Adj,IF(T452 = 0, 1, T452),Mezz_Amort_Periods,Mezz_Orig_Loan_Amount)),0)</f>
        <v>0</v>
      </c>
      <c r="Z452" s="78">
        <f t="shared" si="164"/>
        <v>0</v>
      </c>
      <c r="AB452">
        <f t="shared" si="150"/>
        <v>38</v>
      </c>
      <c r="AC452">
        <f t="shared" si="159"/>
        <v>447</v>
      </c>
      <c r="AD452" s="49">
        <f t="shared" si="165"/>
        <v>13575</v>
      </c>
      <c r="AE452" s="78">
        <f t="shared" si="160"/>
        <v>0</v>
      </c>
      <c r="AF452" s="78">
        <f t="shared" ca="1" si="166"/>
        <v>0</v>
      </c>
      <c r="AG452" s="78">
        <f ca="1">IFERROR(IF(AC452=0,0, PPMT(Refi_I_Adj,'Loan Amort Table'!AC452,Refi_Amort_Periods,Refi_Orig_Loan_Amount)),0)</f>
        <v>0</v>
      </c>
      <c r="AH452" s="78">
        <f t="shared" ca="1" si="151"/>
        <v>0</v>
      </c>
      <c r="AI452" s="78">
        <f t="shared" ca="1" si="167"/>
        <v>0</v>
      </c>
    </row>
    <row r="453" spans="1:35" x14ac:dyDescent="0.25">
      <c r="A453">
        <f t="shared" si="147"/>
        <v>38</v>
      </c>
      <c r="B453">
        <f t="shared" si="152"/>
        <v>448</v>
      </c>
      <c r="C453" s="49">
        <f t="shared" si="169"/>
        <v>13606</v>
      </c>
      <c r="D453" s="78">
        <f>IF(C453&gt;EDATE(DATE(YEAR(SED_Origination_Date)+ SED_Amort, MONTH(SED_Origination_Date), DAY(SED_Origination_Date)),SED_Interest_Only),0,H452)</f>
        <v>0</v>
      </c>
      <c r="E453" s="78">
        <f t="shared" si="153"/>
        <v>0</v>
      </c>
      <c r="F453" s="78">
        <f>IFERROR(IF(OR(B453=0, C453&gt;=Refi_Origination_Date),0, PPMT(SED_I_Adj,'Loan Amort Table'!B453,SED_Amort_Periods,SED_Orig_Loan_Amount)),0)</f>
        <v>0</v>
      </c>
      <c r="G453" s="78" cm="1">
        <f t="array" ref="G453">IFERROR(_xlfn.IFS(C453&gt;=Refi_Origination_Date, 0, SED_Amort = 0, -D453 * SED_I_Adj, 1, IPMT(SED_I_Adj,IF(B453 = 0, 1, B453),SED_Amort_Periods,SED_Orig_Loan_Amount)),0)</f>
        <v>0</v>
      </c>
      <c r="H453" s="78">
        <f t="shared" si="168"/>
        <v>0</v>
      </c>
      <c r="J453">
        <f t="shared" si="148"/>
        <v>38</v>
      </c>
      <c r="K453">
        <f t="shared" si="154"/>
        <v>448</v>
      </c>
      <c r="L453" s="49">
        <f t="shared" si="161"/>
        <v>13606</v>
      </c>
      <c r="M453" s="78">
        <f>IF(L453&gt;EDATE(DATE(YEAR(NEW_Origination_Date)+ NEW_Amort, MONTH(NEW_Origination_Date), DAY(NEW_Origination_Date)),NEW_Interest_Only),0,Q452)</f>
        <v>0</v>
      </c>
      <c r="N453" s="78">
        <f t="shared" si="155"/>
        <v>0</v>
      </c>
      <c r="O453" s="78">
        <f>IFERROR(IF(K453=0,0, PPMT(NEW_I_Adj,'Loan Amort Table'!K453,NEW_Amort_Periods,NEW_Orig_Loan_Amount)),0)</f>
        <v>0</v>
      </c>
      <c r="P453" s="78">
        <f>IFERROR(IF(NEW_Amort = 0, -M453* NEW_I_Adj,IPMT(NEW_I_Adj,IF(K453 = 0, 1, K453),NEW_Amort_Periods,NEW_Orig_Loan_Amount)),0)</f>
        <v>0</v>
      </c>
      <c r="Q453" s="78">
        <f t="shared" si="156"/>
        <v>0</v>
      </c>
      <c r="S453">
        <f t="shared" si="149"/>
        <v>38</v>
      </c>
      <c r="T453">
        <f t="shared" si="157"/>
        <v>448</v>
      </c>
      <c r="U453" s="49">
        <f t="shared" si="162"/>
        <v>13606</v>
      </c>
      <c r="V453" s="78">
        <f t="shared" si="158"/>
        <v>0</v>
      </c>
      <c r="W453" s="78">
        <f t="shared" ca="1" si="163"/>
        <v>0</v>
      </c>
      <c r="X453" s="78">
        <f>IFERROR(IF(OR(T453=0, U453&gt;=Refi_Origination_Date),0, PPMT(Mezz_I_Adj,'Loan Amort Table'!T453,Mezz_Amort_Periods,Mezz_Orig_Loan_Amount)),0)</f>
        <v>0</v>
      </c>
      <c r="Y453" s="78" cm="1">
        <f t="array" aca="1" ref="Y453" ca="1">IFERROR(_xlfn.IFS(U453&gt;=Refi_Origination_Date,0, Mezz_Amort = 0, -V453 * Mezz_I_Adj, 1, IPMT(Mezz_I_Adj,IF(T453 = 0, 1, T453),Mezz_Amort_Periods,Mezz_Orig_Loan_Amount)),0)</f>
        <v>0</v>
      </c>
      <c r="Z453" s="78">
        <f t="shared" si="164"/>
        <v>0</v>
      </c>
      <c r="AB453">
        <f t="shared" si="150"/>
        <v>38</v>
      </c>
      <c r="AC453">
        <f t="shared" si="159"/>
        <v>448</v>
      </c>
      <c r="AD453" s="49">
        <f t="shared" si="165"/>
        <v>13606</v>
      </c>
      <c r="AE453" s="78">
        <f t="shared" si="160"/>
        <v>0</v>
      </c>
      <c r="AF453" s="78">
        <f t="shared" ca="1" si="166"/>
        <v>0</v>
      </c>
      <c r="AG453" s="78">
        <f ca="1">IFERROR(IF(AC453=0,0, PPMT(Refi_I_Adj,'Loan Amort Table'!AC453,Refi_Amort_Periods,Refi_Orig_Loan_Amount)),0)</f>
        <v>0</v>
      </c>
      <c r="AH453" s="78">
        <f t="shared" ca="1" si="151"/>
        <v>0</v>
      </c>
      <c r="AI453" s="78">
        <f t="shared" ca="1" si="167"/>
        <v>0</v>
      </c>
    </row>
    <row r="454" spans="1:35" x14ac:dyDescent="0.25">
      <c r="A454">
        <f t="shared" ref="A454:A500" si="170">IFERROR(ROUNDUP((DATEDIF(SED_Origination_Date,C454,"m")+1)/12,0),"")</f>
        <v>38</v>
      </c>
      <c r="B454">
        <f t="shared" si="152"/>
        <v>449</v>
      </c>
      <c r="C454" s="49">
        <f t="shared" si="169"/>
        <v>13636</v>
      </c>
      <c r="D454" s="78">
        <f>IF(C454&gt;EDATE(DATE(YEAR(SED_Origination_Date)+ SED_Amort, MONTH(SED_Origination_Date), DAY(SED_Origination_Date)),SED_Interest_Only),0,H453)</f>
        <v>0</v>
      </c>
      <c r="E454" s="78">
        <f t="shared" si="153"/>
        <v>0</v>
      </c>
      <c r="F454" s="78">
        <f>IFERROR(IF(OR(B454=0, C454&gt;=Refi_Origination_Date),0, PPMT(SED_I_Adj,'Loan Amort Table'!B454,SED_Amort_Periods,SED_Orig_Loan_Amount)),0)</f>
        <v>0</v>
      </c>
      <c r="G454" s="78" cm="1">
        <f t="array" ref="G454">IFERROR(_xlfn.IFS(C454&gt;=Refi_Origination_Date, 0, SED_Amort = 0, -D454 * SED_I_Adj, 1, IPMT(SED_I_Adj,IF(B454 = 0, 1, B454),SED_Amort_Periods,SED_Orig_Loan_Amount)),0)</f>
        <v>0</v>
      </c>
      <c r="H454" s="78">
        <f t="shared" si="168"/>
        <v>0</v>
      </c>
      <c r="J454">
        <f t="shared" ref="J454:J500" si="171">IFERROR(ROUNDUP((DATEDIF(NEW_Origination_Date,L454,"m")+1)/12,0),"")</f>
        <v>38</v>
      </c>
      <c r="K454">
        <f t="shared" si="154"/>
        <v>449</v>
      </c>
      <c r="L454" s="49">
        <f t="shared" si="161"/>
        <v>13636</v>
      </c>
      <c r="M454" s="78">
        <f>IF(L454&gt;EDATE(DATE(YEAR(NEW_Origination_Date)+ NEW_Amort, MONTH(NEW_Origination_Date), DAY(NEW_Origination_Date)),NEW_Interest_Only),0,Q453)</f>
        <v>0</v>
      </c>
      <c r="N454" s="78">
        <f t="shared" si="155"/>
        <v>0</v>
      </c>
      <c r="O454" s="78">
        <f>IFERROR(IF(K454=0,0, PPMT(NEW_I_Adj,'Loan Amort Table'!K454,NEW_Amort_Periods,NEW_Orig_Loan_Amount)),0)</f>
        <v>0</v>
      </c>
      <c r="P454" s="78">
        <f>IFERROR(IF(NEW_Amort = 0, -M454* NEW_I_Adj,IPMT(NEW_I_Adj,IF(K454 = 0, 1, K454),NEW_Amort_Periods,NEW_Orig_Loan_Amount)),0)</f>
        <v>0</v>
      </c>
      <c r="Q454" s="78">
        <f t="shared" si="156"/>
        <v>0</v>
      </c>
      <c r="S454">
        <f t="shared" ref="S454:S500" si="172">IFERROR(ROUNDUP((DATEDIF(Mezz_Origination_Date,U454,"m")+1)/12,0),"")</f>
        <v>38</v>
      </c>
      <c r="T454">
        <f t="shared" si="157"/>
        <v>449</v>
      </c>
      <c r="U454" s="49">
        <f t="shared" si="162"/>
        <v>13636</v>
      </c>
      <c r="V454" s="78">
        <f t="shared" si="158"/>
        <v>0</v>
      </c>
      <c r="W454" s="78">
        <f t="shared" ca="1" si="163"/>
        <v>0</v>
      </c>
      <c r="X454" s="78">
        <f>IFERROR(IF(OR(T454=0, U454&gt;=Refi_Origination_Date),0, PPMT(Mezz_I_Adj,'Loan Amort Table'!T454,Mezz_Amort_Periods,Mezz_Orig_Loan_Amount)),0)</f>
        <v>0</v>
      </c>
      <c r="Y454" s="78" cm="1">
        <f t="array" aca="1" ref="Y454" ca="1">IFERROR(_xlfn.IFS(U454&gt;=Refi_Origination_Date,0, Mezz_Amort = 0, -V454 * Mezz_I_Adj, 1, IPMT(Mezz_I_Adj,IF(T454 = 0, 1, T454),Mezz_Amort_Periods,Mezz_Orig_Loan_Amount)),0)</f>
        <v>0</v>
      </c>
      <c r="Z454" s="78">
        <f t="shared" si="164"/>
        <v>0</v>
      </c>
      <c r="AB454">
        <f t="shared" ref="AB454:AB500" si="173">IFERROR(ROUNDUP((DATEDIF(Refi_Origination_Date,AD454,"m")+1)/12,0),"")</f>
        <v>38</v>
      </c>
      <c r="AC454">
        <f t="shared" si="159"/>
        <v>449</v>
      </c>
      <c r="AD454" s="49">
        <f t="shared" si="165"/>
        <v>13636</v>
      </c>
      <c r="AE454" s="78">
        <f t="shared" si="160"/>
        <v>0</v>
      </c>
      <c r="AF454" s="78">
        <f t="shared" ca="1" si="166"/>
        <v>0</v>
      </c>
      <c r="AG454" s="78">
        <f ca="1">IFERROR(IF(AC454=0,0, PPMT(Refi_I_Adj,'Loan Amort Table'!AC454,Refi_Amort_Periods,Refi_Orig_Loan_Amount)),0)</f>
        <v>0</v>
      </c>
      <c r="AH454" s="78">
        <f t="shared" ref="AH454:AH500" ca="1" si="174">IFERROR(IF(Refi_Amort = 0, -AE454 * Refi_I_Adj, IPMT(Refi_I_Adj,IF(AC454 = 0, 1, AC454),Refi_Amort_Periods,Refi_Orig_Loan_Amount)),0)</f>
        <v>0</v>
      </c>
      <c r="AI454" s="78">
        <f t="shared" ca="1" si="167"/>
        <v>0</v>
      </c>
    </row>
    <row r="455" spans="1:35" x14ac:dyDescent="0.25">
      <c r="A455">
        <f t="shared" si="170"/>
        <v>38</v>
      </c>
      <c r="B455">
        <f t="shared" ref="B455:B500" si="175">IF(C455&lt;SED_Begin_PMT,0, B454+1)</f>
        <v>450</v>
      </c>
      <c r="C455" s="49">
        <f t="shared" si="169"/>
        <v>13667</v>
      </c>
      <c r="D455" s="78">
        <f>IF(C455&gt;EDATE(DATE(YEAR(SED_Origination_Date)+ SED_Amort, MONTH(SED_Origination_Date), DAY(SED_Origination_Date)),SED_Interest_Only),0,H454)</f>
        <v>0</v>
      </c>
      <c r="E455" s="78">
        <f t="shared" ref="E455:E500" si="176">F455+G455</f>
        <v>0</v>
      </c>
      <c r="F455" s="78">
        <f>IFERROR(IF(OR(B455=0, C455&gt;=Refi_Origination_Date),0, PPMT(SED_I_Adj,'Loan Amort Table'!B455,SED_Amort_Periods,SED_Orig_Loan_Amount)),0)</f>
        <v>0</v>
      </c>
      <c r="G455" s="78" cm="1">
        <f t="array" ref="G455">IFERROR(_xlfn.IFS(C455&gt;=Refi_Origination_Date, 0, SED_Amort = 0, -D455 * SED_I_Adj, 1, IPMT(SED_I_Adj,IF(B455 = 0, 1, B455),SED_Amort_Periods,SED_Orig_Loan_Amount)),0)</f>
        <v>0</v>
      </c>
      <c r="H455" s="78">
        <f t="shared" si="168"/>
        <v>0</v>
      </c>
      <c r="J455">
        <f t="shared" si="171"/>
        <v>38</v>
      </c>
      <c r="K455">
        <f t="shared" ref="K455:K500" si="177">IF(L455&lt;NEW_Begin_PMT,0, K454+1)</f>
        <v>450</v>
      </c>
      <c r="L455" s="49">
        <f t="shared" si="161"/>
        <v>13667</v>
      </c>
      <c r="M455" s="78">
        <f>IF(L455&gt;EDATE(DATE(YEAR(NEW_Origination_Date)+ NEW_Amort, MONTH(NEW_Origination_Date), DAY(NEW_Origination_Date)),NEW_Interest_Only),0,Q454)</f>
        <v>0</v>
      </c>
      <c r="N455" s="78">
        <f t="shared" ref="N455:N500" si="178">O455+P455</f>
        <v>0</v>
      </c>
      <c r="O455" s="78">
        <f>IFERROR(IF(K455=0,0, PPMT(NEW_I_Adj,'Loan Amort Table'!K455,NEW_Amort_Periods,NEW_Orig_Loan_Amount)),0)</f>
        <v>0</v>
      </c>
      <c r="P455" s="78">
        <f>IFERROR(IF(NEW_Amort = 0, -M455* NEW_I_Adj,IPMT(NEW_I_Adj,IF(K455 = 0, 1, K455),NEW_Amort_Periods,NEW_Orig_Loan_Amount)),0)</f>
        <v>0</v>
      </c>
      <c r="Q455" s="78">
        <f t="shared" ref="Q455:Q500" si="179">M455+O455</f>
        <v>0</v>
      </c>
      <c r="S455">
        <f t="shared" si="172"/>
        <v>38</v>
      </c>
      <c r="T455">
        <f t="shared" ref="T455:T500" si="180">IF(U455&lt;Mezz_Begin_PMT,0, T454+1)</f>
        <v>450</v>
      </c>
      <c r="U455" s="49">
        <f t="shared" si="162"/>
        <v>13667</v>
      </c>
      <c r="V455" s="78">
        <f t="shared" ref="V455:V500" si="181">IF(U455&gt;EDATE(DATE(YEAR(Mezz_Origination_Date)+ Mezz_Amort, MONTH(Mezz_Origination_Date), DAY(Mezz_Origination_Date)),Mezz_Interest_Only),0,Z454)</f>
        <v>0</v>
      </c>
      <c r="W455" s="78">
        <f t="shared" ca="1" si="163"/>
        <v>0</v>
      </c>
      <c r="X455" s="78">
        <f>IFERROR(IF(OR(T455=0, U455&gt;=Refi_Origination_Date),0, PPMT(Mezz_I_Adj,'Loan Amort Table'!T455,Mezz_Amort_Periods,Mezz_Orig_Loan_Amount)),0)</f>
        <v>0</v>
      </c>
      <c r="Y455" s="78" cm="1">
        <f t="array" aca="1" ref="Y455" ca="1">IFERROR(_xlfn.IFS(U455&gt;=Refi_Origination_Date,0, Mezz_Amort = 0, -V455 * Mezz_I_Adj, 1, IPMT(Mezz_I_Adj,IF(T455 = 0, 1, T455),Mezz_Amort_Periods,Mezz_Orig_Loan_Amount)),0)</f>
        <v>0</v>
      </c>
      <c r="Z455" s="78">
        <f t="shared" si="164"/>
        <v>0</v>
      </c>
      <c r="AB455">
        <f t="shared" si="173"/>
        <v>38</v>
      </c>
      <c r="AC455">
        <f t="shared" ref="AC455:AC500" si="182">IF(AD455&lt;Refi_Begin_PMT,0, AC454+1)</f>
        <v>450</v>
      </c>
      <c r="AD455" s="49">
        <f t="shared" si="165"/>
        <v>13667</v>
      </c>
      <c r="AE455" s="78">
        <f t="shared" ref="AE455:AE500" si="183">IF(AD455&gt;EDATE(DATE(YEAR(Refi_Origination_Date)+ Refi_Amort, MONTH(Refi_Origination_Date), DAY(Refi_Origination_Date)),Refi_Interest_Only),0,AI454)</f>
        <v>0</v>
      </c>
      <c r="AF455" s="78">
        <f t="shared" ca="1" si="166"/>
        <v>0</v>
      </c>
      <c r="AG455" s="78">
        <f ca="1">IFERROR(IF(AC455=0,0, PPMT(Refi_I_Adj,'Loan Amort Table'!AC455,Refi_Amort_Periods,Refi_Orig_Loan_Amount)),0)</f>
        <v>0</v>
      </c>
      <c r="AH455" s="78">
        <f t="shared" ca="1" si="174"/>
        <v>0</v>
      </c>
      <c r="AI455" s="78">
        <f t="shared" ca="1" si="167"/>
        <v>0</v>
      </c>
    </row>
    <row r="456" spans="1:35" x14ac:dyDescent="0.25">
      <c r="A456">
        <f t="shared" si="170"/>
        <v>38</v>
      </c>
      <c r="B456">
        <f t="shared" si="175"/>
        <v>451</v>
      </c>
      <c r="C456" s="49">
        <f t="shared" si="169"/>
        <v>13697</v>
      </c>
      <c r="D456" s="78">
        <f>IF(C456&gt;EDATE(DATE(YEAR(SED_Origination_Date)+ SED_Amort, MONTH(SED_Origination_Date), DAY(SED_Origination_Date)),SED_Interest_Only),0,H455)</f>
        <v>0</v>
      </c>
      <c r="E456" s="78">
        <f t="shared" si="176"/>
        <v>0</v>
      </c>
      <c r="F456" s="78">
        <f>IFERROR(IF(OR(B456=0, C456&gt;=Refi_Origination_Date),0, PPMT(SED_I_Adj,'Loan Amort Table'!B456,SED_Amort_Periods,SED_Orig_Loan_Amount)),0)</f>
        <v>0</v>
      </c>
      <c r="G456" s="78" cm="1">
        <f t="array" ref="G456">IFERROR(_xlfn.IFS(C456&gt;=Refi_Origination_Date, 0, SED_Amort = 0, -D456 * SED_I_Adj, 1, IPMT(SED_I_Adj,IF(B456 = 0, 1, B456),SED_Amort_Periods,SED_Orig_Loan_Amount)),0)</f>
        <v>0</v>
      </c>
      <c r="H456" s="78">
        <f t="shared" si="168"/>
        <v>0</v>
      </c>
      <c r="J456">
        <f t="shared" si="171"/>
        <v>38</v>
      </c>
      <c r="K456">
        <f t="shared" si="177"/>
        <v>451</v>
      </c>
      <c r="L456" s="49">
        <f t="shared" ref="L456:L500" si="184">EDATE(L455,1)</f>
        <v>13697</v>
      </c>
      <c r="M456" s="78">
        <f>IF(L456&gt;EDATE(DATE(YEAR(NEW_Origination_Date)+ NEW_Amort, MONTH(NEW_Origination_Date), DAY(NEW_Origination_Date)),NEW_Interest_Only),0,Q455)</f>
        <v>0</v>
      </c>
      <c r="N456" s="78">
        <f t="shared" si="178"/>
        <v>0</v>
      </c>
      <c r="O456" s="78">
        <f>IFERROR(IF(K456=0,0, PPMT(NEW_I_Adj,'Loan Amort Table'!K456,NEW_Amort_Periods,NEW_Orig_Loan_Amount)),0)</f>
        <v>0</v>
      </c>
      <c r="P456" s="78">
        <f>IFERROR(IF(NEW_Amort = 0, -M456* NEW_I_Adj,IPMT(NEW_I_Adj,IF(K456 = 0, 1, K456),NEW_Amort_Periods,NEW_Orig_Loan_Amount)),0)</f>
        <v>0</v>
      </c>
      <c r="Q456" s="78">
        <f t="shared" si="179"/>
        <v>0</v>
      </c>
      <c r="S456">
        <f t="shared" si="172"/>
        <v>38</v>
      </c>
      <c r="T456">
        <f t="shared" si="180"/>
        <v>451</v>
      </c>
      <c r="U456" s="49">
        <f t="shared" ref="U456:U500" si="185">EDATE(U455,1)</f>
        <v>13697</v>
      </c>
      <c r="V456" s="78">
        <f t="shared" si="181"/>
        <v>0</v>
      </c>
      <c r="W456" s="78">
        <f t="shared" ref="W456:W500" ca="1" si="186">X456+Y456</f>
        <v>0</v>
      </c>
      <c r="X456" s="78">
        <f>IFERROR(IF(OR(T456=0, U456&gt;=Refi_Origination_Date),0, PPMT(Mezz_I_Adj,'Loan Amort Table'!T456,Mezz_Amort_Periods,Mezz_Orig_Loan_Amount)),0)</f>
        <v>0</v>
      </c>
      <c r="Y456" s="78" cm="1">
        <f t="array" aca="1" ref="Y456" ca="1">IFERROR(_xlfn.IFS(U456&gt;=Refi_Origination_Date,0, Mezz_Amort = 0, -V456 * Mezz_I_Adj, 1, IPMT(Mezz_I_Adj,IF(T456 = 0, 1, T456),Mezz_Amort_Periods,Mezz_Orig_Loan_Amount)),0)</f>
        <v>0</v>
      </c>
      <c r="Z456" s="78">
        <f t="shared" ref="Z456:Z500" si="187">V456+X456</f>
        <v>0</v>
      </c>
      <c r="AB456">
        <f t="shared" si="173"/>
        <v>38</v>
      </c>
      <c r="AC456">
        <f t="shared" si="182"/>
        <v>451</v>
      </c>
      <c r="AD456" s="49">
        <f t="shared" ref="AD456:AD500" si="188">EDATE(AD455,1)</f>
        <v>13697</v>
      </c>
      <c r="AE456" s="78">
        <f t="shared" si="183"/>
        <v>0</v>
      </c>
      <c r="AF456" s="78">
        <f t="shared" ref="AF456:AF500" ca="1" si="189">AG456+AH456</f>
        <v>0</v>
      </c>
      <c r="AG456" s="78">
        <f ca="1">IFERROR(IF(AC456=0,0, PPMT(Refi_I_Adj,'Loan Amort Table'!AC456,Refi_Amort_Periods,Refi_Orig_Loan_Amount)),0)</f>
        <v>0</v>
      </c>
      <c r="AH456" s="78">
        <f t="shared" ca="1" si="174"/>
        <v>0</v>
      </c>
      <c r="AI456" s="78">
        <f t="shared" ref="AI456:AI500" ca="1" si="190">AE456+AG456</f>
        <v>0</v>
      </c>
    </row>
    <row r="457" spans="1:35" x14ac:dyDescent="0.25">
      <c r="A457">
        <f t="shared" si="170"/>
        <v>38</v>
      </c>
      <c r="B457">
        <f t="shared" si="175"/>
        <v>452</v>
      </c>
      <c r="C457" s="49">
        <f t="shared" si="169"/>
        <v>13728</v>
      </c>
      <c r="D457" s="78">
        <f>IF(C457&gt;EDATE(DATE(YEAR(SED_Origination_Date)+ SED_Amort, MONTH(SED_Origination_Date), DAY(SED_Origination_Date)),SED_Interest_Only),0,H456)</f>
        <v>0</v>
      </c>
      <c r="E457" s="78">
        <f t="shared" si="176"/>
        <v>0</v>
      </c>
      <c r="F457" s="78">
        <f>IFERROR(IF(OR(B457=0, C457&gt;=Refi_Origination_Date),0, PPMT(SED_I_Adj,'Loan Amort Table'!B457,SED_Amort_Periods,SED_Orig_Loan_Amount)),0)</f>
        <v>0</v>
      </c>
      <c r="G457" s="78" cm="1">
        <f t="array" ref="G457">IFERROR(_xlfn.IFS(C457&gt;=Refi_Origination_Date, 0, SED_Amort = 0, -D457 * SED_I_Adj, 1, IPMT(SED_I_Adj,IF(B457 = 0, 1, B457),SED_Amort_Periods,SED_Orig_Loan_Amount)),0)</f>
        <v>0</v>
      </c>
      <c r="H457" s="78">
        <f t="shared" si="168"/>
        <v>0</v>
      </c>
      <c r="J457">
        <f t="shared" si="171"/>
        <v>38</v>
      </c>
      <c r="K457">
        <f t="shared" si="177"/>
        <v>452</v>
      </c>
      <c r="L457" s="49">
        <f t="shared" si="184"/>
        <v>13728</v>
      </c>
      <c r="M457" s="78">
        <f>IF(L457&gt;EDATE(DATE(YEAR(NEW_Origination_Date)+ NEW_Amort, MONTH(NEW_Origination_Date), DAY(NEW_Origination_Date)),NEW_Interest_Only),0,Q456)</f>
        <v>0</v>
      </c>
      <c r="N457" s="78">
        <f t="shared" si="178"/>
        <v>0</v>
      </c>
      <c r="O457" s="78">
        <f>IFERROR(IF(K457=0,0, PPMT(NEW_I_Adj,'Loan Amort Table'!K457,NEW_Amort_Periods,NEW_Orig_Loan_Amount)),0)</f>
        <v>0</v>
      </c>
      <c r="P457" s="78">
        <f>IFERROR(IF(NEW_Amort = 0, -M457* NEW_I_Adj,IPMT(NEW_I_Adj,IF(K457 = 0, 1, K457),NEW_Amort_Periods,NEW_Orig_Loan_Amount)),0)</f>
        <v>0</v>
      </c>
      <c r="Q457" s="78">
        <f t="shared" si="179"/>
        <v>0</v>
      </c>
      <c r="S457">
        <f t="shared" si="172"/>
        <v>38</v>
      </c>
      <c r="T457">
        <f t="shared" si="180"/>
        <v>452</v>
      </c>
      <c r="U457" s="49">
        <f t="shared" si="185"/>
        <v>13728</v>
      </c>
      <c r="V457" s="78">
        <f t="shared" si="181"/>
        <v>0</v>
      </c>
      <c r="W457" s="78">
        <f t="shared" ca="1" si="186"/>
        <v>0</v>
      </c>
      <c r="X457" s="78">
        <f>IFERROR(IF(OR(T457=0, U457&gt;=Refi_Origination_Date),0, PPMT(Mezz_I_Adj,'Loan Amort Table'!T457,Mezz_Amort_Periods,Mezz_Orig_Loan_Amount)),0)</f>
        <v>0</v>
      </c>
      <c r="Y457" s="78" cm="1">
        <f t="array" aca="1" ref="Y457" ca="1">IFERROR(_xlfn.IFS(U457&gt;=Refi_Origination_Date,0, Mezz_Amort = 0, -V457 * Mezz_I_Adj, 1, IPMT(Mezz_I_Adj,IF(T457 = 0, 1, T457),Mezz_Amort_Periods,Mezz_Orig_Loan_Amount)),0)</f>
        <v>0</v>
      </c>
      <c r="Z457" s="78">
        <f t="shared" si="187"/>
        <v>0</v>
      </c>
      <c r="AB457">
        <f t="shared" si="173"/>
        <v>38</v>
      </c>
      <c r="AC457">
        <f t="shared" si="182"/>
        <v>452</v>
      </c>
      <c r="AD457" s="49">
        <f t="shared" si="188"/>
        <v>13728</v>
      </c>
      <c r="AE457" s="78">
        <f t="shared" si="183"/>
        <v>0</v>
      </c>
      <c r="AF457" s="78">
        <f t="shared" ca="1" si="189"/>
        <v>0</v>
      </c>
      <c r="AG457" s="78">
        <f ca="1">IFERROR(IF(AC457=0,0, PPMT(Refi_I_Adj,'Loan Amort Table'!AC457,Refi_Amort_Periods,Refi_Orig_Loan_Amount)),0)</f>
        <v>0</v>
      </c>
      <c r="AH457" s="78">
        <f t="shared" ca="1" si="174"/>
        <v>0</v>
      </c>
      <c r="AI457" s="78">
        <f t="shared" ca="1" si="190"/>
        <v>0</v>
      </c>
    </row>
    <row r="458" spans="1:35" x14ac:dyDescent="0.25">
      <c r="A458">
        <f t="shared" si="170"/>
        <v>38</v>
      </c>
      <c r="B458">
        <f t="shared" si="175"/>
        <v>453</v>
      </c>
      <c r="C458" s="49">
        <f t="shared" si="169"/>
        <v>13759</v>
      </c>
      <c r="D458" s="78">
        <f>IF(C458&gt;EDATE(DATE(YEAR(SED_Origination_Date)+ SED_Amort, MONTH(SED_Origination_Date), DAY(SED_Origination_Date)),SED_Interest_Only),0,H457)</f>
        <v>0</v>
      </c>
      <c r="E458" s="78">
        <f t="shared" si="176"/>
        <v>0</v>
      </c>
      <c r="F458" s="78">
        <f>IFERROR(IF(OR(B458=0, C458&gt;=Refi_Origination_Date),0, PPMT(SED_I_Adj,'Loan Amort Table'!B458,SED_Amort_Periods,SED_Orig_Loan_Amount)),0)</f>
        <v>0</v>
      </c>
      <c r="G458" s="78" cm="1">
        <f t="array" ref="G458">IFERROR(_xlfn.IFS(C458&gt;=Refi_Origination_Date, 0, SED_Amort = 0, -D458 * SED_I_Adj, 1, IPMT(SED_I_Adj,IF(B458 = 0, 1, B458),SED_Amort_Periods,SED_Orig_Loan_Amount)),0)</f>
        <v>0</v>
      </c>
      <c r="H458" s="78">
        <f t="shared" si="168"/>
        <v>0</v>
      </c>
      <c r="J458">
        <f t="shared" si="171"/>
        <v>38</v>
      </c>
      <c r="K458">
        <f t="shared" si="177"/>
        <v>453</v>
      </c>
      <c r="L458" s="49">
        <f t="shared" si="184"/>
        <v>13759</v>
      </c>
      <c r="M458" s="78">
        <f>IF(L458&gt;EDATE(DATE(YEAR(NEW_Origination_Date)+ NEW_Amort, MONTH(NEW_Origination_Date), DAY(NEW_Origination_Date)),NEW_Interest_Only),0,Q457)</f>
        <v>0</v>
      </c>
      <c r="N458" s="78">
        <f t="shared" si="178"/>
        <v>0</v>
      </c>
      <c r="O458" s="78">
        <f>IFERROR(IF(K458=0,0, PPMT(NEW_I_Adj,'Loan Amort Table'!K458,NEW_Amort_Periods,NEW_Orig_Loan_Amount)),0)</f>
        <v>0</v>
      </c>
      <c r="P458" s="78">
        <f>IFERROR(IF(NEW_Amort = 0, -M458* NEW_I_Adj,IPMT(NEW_I_Adj,IF(K458 = 0, 1, K458),NEW_Amort_Periods,NEW_Orig_Loan_Amount)),0)</f>
        <v>0</v>
      </c>
      <c r="Q458" s="78">
        <f t="shared" si="179"/>
        <v>0</v>
      </c>
      <c r="S458">
        <f t="shared" si="172"/>
        <v>38</v>
      </c>
      <c r="T458">
        <f t="shared" si="180"/>
        <v>453</v>
      </c>
      <c r="U458" s="49">
        <f t="shared" si="185"/>
        <v>13759</v>
      </c>
      <c r="V458" s="78">
        <f t="shared" si="181"/>
        <v>0</v>
      </c>
      <c r="W458" s="78">
        <f t="shared" ca="1" si="186"/>
        <v>0</v>
      </c>
      <c r="X458" s="78">
        <f>IFERROR(IF(OR(T458=0, U458&gt;=Refi_Origination_Date),0, PPMT(Mezz_I_Adj,'Loan Amort Table'!T458,Mezz_Amort_Periods,Mezz_Orig_Loan_Amount)),0)</f>
        <v>0</v>
      </c>
      <c r="Y458" s="78" cm="1">
        <f t="array" aca="1" ref="Y458" ca="1">IFERROR(_xlfn.IFS(U458&gt;=Refi_Origination_Date,0, Mezz_Amort = 0, -V458 * Mezz_I_Adj, 1, IPMT(Mezz_I_Adj,IF(T458 = 0, 1, T458),Mezz_Amort_Periods,Mezz_Orig_Loan_Amount)),0)</f>
        <v>0</v>
      </c>
      <c r="Z458" s="78">
        <f t="shared" si="187"/>
        <v>0</v>
      </c>
      <c r="AB458">
        <f t="shared" si="173"/>
        <v>38</v>
      </c>
      <c r="AC458">
        <f t="shared" si="182"/>
        <v>453</v>
      </c>
      <c r="AD458" s="49">
        <f t="shared" si="188"/>
        <v>13759</v>
      </c>
      <c r="AE458" s="78">
        <f t="shared" si="183"/>
        <v>0</v>
      </c>
      <c r="AF458" s="78">
        <f t="shared" ca="1" si="189"/>
        <v>0</v>
      </c>
      <c r="AG458" s="78">
        <f ca="1">IFERROR(IF(AC458=0,0, PPMT(Refi_I_Adj,'Loan Amort Table'!AC458,Refi_Amort_Periods,Refi_Orig_Loan_Amount)),0)</f>
        <v>0</v>
      </c>
      <c r="AH458" s="78">
        <f t="shared" ca="1" si="174"/>
        <v>0</v>
      </c>
      <c r="AI458" s="78">
        <f t="shared" ca="1" si="190"/>
        <v>0</v>
      </c>
    </row>
    <row r="459" spans="1:35" x14ac:dyDescent="0.25">
      <c r="A459">
        <f t="shared" si="170"/>
        <v>38</v>
      </c>
      <c r="B459">
        <f t="shared" si="175"/>
        <v>454</v>
      </c>
      <c r="C459" s="49">
        <f t="shared" si="169"/>
        <v>13789</v>
      </c>
      <c r="D459" s="78">
        <f>IF(C459&gt;EDATE(DATE(YEAR(SED_Origination_Date)+ SED_Amort, MONTH(SED_Origination_Date), DAY(SED_Origination_Date)),SED_Interest_Only),0,H458)</f>
        <v>0</v>
      </c>
      <c r="E459" s="78">
        <f t="shared" si="176"/>
        <v>0</v>
      </c>
      <c r="F459" s="78">
        <f>IFERROR(IF(OR(B459=0, C459&gt;=Refi_Origination_Date),0, PPMT(SED_I_Adj,'Loan Amort Table'!B459,SED_Amort_Periods,SED_Orig_Loan_Amount)),0)</f>
        <v>0</v>
      </c>
      <c r="G459" s="78" cm="1">
        <f t="array" ref="G459">IFERROR(_xlfn.IFS(C459&gt;=Refi_Origination_Date, 0, SED_Amort = 0, -D459 * SED_I_Adj, 1, IPMT(SED_I_Adj,IF(B459 = 0, 1, B459),SED_Amort_Periods,SED_Orig_Loan_Amount)),0)</f>
        <v>0</v>
      </c>
      <c r="H459" s="78">
        <f t="shared" ref="H459:H500" si="191">D459+F459</f>
        <v>0</v>
      </c>
      <c r="J459">
        <f t="shared" si="171"/>
        <v>38</v>
      </c>
      <c r="K459">
        <f t="shared" si="177"/>
        <v>454</v>
      </c>
      <c r="L459" s="49">
        <f t="shared" si="184"/>
        <v>13789</v>
      </c>
      <c r="M459" s="78">
        <f>IF(L459&gt;EDATE(DATE(YEAR(NEW_Origination_Date)+ NEW_Amort, MONTH(NEW_Origination_Date), DAY(NEW_Origination_Date)),NEW_Interest_Only),0,Q458)</f>
        <v>0</v>
      </c>
      <c r="N459" s="78">
        <f t="shared" si="178"/>
        <v>0</v>
      </c>
      <c r="O459" s="78">
        <f>IFERROR(IF(K459=0,0, PPMT(NEW_I_Adj,'Loan Amort Table'!K459,NEW_Amort_Periods,NEW_Orig_Loan_Amount)),0)</f>
        <v>0</v>
      </c>
      <c r="P459" s="78">
        <f>IFERROR(IF(NEW_Amort = 0, -M459* NEW_I_Adj,IPMT(NEW_I_Adj,IF(K459 = 0, 1, K459),NEW_Amort_Periods,NEW_Orig_Loan_Amount)),0)</f>
        <v>0</v>
      </c>
      <c r="Q459" s="78">
        <f t="shared" si="179"/>
        <v>0</v>
      </c>
      <c r="S459">
        <f t="shared" si="172"/>
        <v>38</v>
      </c>
      <c r="T459">
        <f t="shared" si="180"/>
        <v>454</v>
      </c>
      <c r="U459" s="49">
        <f t="shared" si="185"/>
        <v>13789</v>
      </c>
      <c r="V459" s="78">
        <f t="shared" si="181"/>
        <v>0</v>
      </c>
      <c r="W459" s="78">
        <f t="shared" ca="1" si="186"/>
        <v>0</v>
      </c>
      <c r="X459" s="78">
        <f>IFERROR(IF(OR(T459=0, U459&gt;=Refi_Origination_Date),0, PPMT(Mezz_I_Adj,'Loan Amort Table'!T459,Mezz_Amort_Periods,Mezz_Orig_Loan_Amount)),0)</f>
        <v>0</v>
      </c>
      <c r="Y459" s="78" cm="1">
        <f t="array" aca="1" ref="Y459" ca="1">IFERROR(_xlfn.IFS(U459&gt;=Refi_Origination_Date,0, Mezz_Amort = 0, -V459 * Mezz_I_Adj, 1, IPMT(Mezz_I_Adj,IF(T459 = 0, 1, T459),Mezz_Amort_Periods,Mezz_Orig_Loan_Amount)),0)</f>
        <v>0</v>
      </c>
      <c r="Z459" s="78">
        <f t="shared" si="187"/>
        <v>0</v>
      </c>
      <c r="AB459">
        <f t="shared" si="173"/>
        <v>38</v>
      </c>
      <c r="AC459">
        <f t="shared" si="182"/>
        <v>454</v>
      </c>
      <c r="AD459" s="49">
        <f t="shared" si="188"/>
        <v>13789</v>
      </c>
      <c r="AE459" s="78">
        <f t="shared" si="183"/>
        <v>0</v>
      </c>
      <c r="AF459" s="78">
        <f t="shared" ca="1" si="189"/>
        <v>0</v>
      </c>
      <c r="AG459" s="78">
        <f ca="1">IFERROR(IF(AC459=0,0, PPMT(Refi_I_Adj,'Loan Amort Table'!AC459,Refi_Amort_Periods,Refi_Orig_Loan_Amount)),0)</f>
        <v>0</v>
      </c>
      <c r="AH459" s="78">
        <f t="shared" ca="1" si="174"/>
        <v>0</v>
      </c>
      <c r="AI459" s="78">
        <f t="shared" ca="1" si="190"/>
        <v>0</v>
      </c>
    </row>
    <row r="460" spans="1:35" x14ac:dyDescent="0.25">
      <c r="A460">
        <f t="shared" si="170"/>
        <v>38</v>
      </c>
      <c r="B460">
        <f t="shared" si="175"/>
        <v>455</v>
      </c>
      <c r="C460" s="49">
        <f t="shared" si="169"/>
        <v>13820</v>
      </c>
      <c r="D460" s="78">
        <f>IF(C460&gt;EDATE(DATE(YEAR(SED_Origination_Date)+ SED_Amort, MONTH(SED_Origination_Date), DAY(SED_Origination_Date)),SED_Interest_Only),0,H459)</f>
        <v>0</v>
      </c>
      <c r="E460" s="78">
        <f t="shared" si="176"/>
        <v>0</v>
      </c>
      <c r="F460" s="78">
        <f>IFERROR(IF(OR(B460=0, C460&gt;=Refi_Origination_Date),0, PPMT(SED_I_Adj,'Loan Amort Table'!B460,SED_Amort_Periods,SED_Orig_Loan_Amount)),0)</f>
        <v>0</v>
      </c>
      <c r="G460" s="78" cm="1">
        <f t="array" ref="G460">IFERROR(_xlfn.IFS(C460&gt;=Refi_Origination_Date, 0, SED_Amort = 0, -D460 * SED_I_Adj, 1, IPMT(SED_I_Adj,IF(B460 = 0, 1, B460),SED_Amort_Periods,SED_Orig_Loan_Amount)),0)</f>
        <v>0</v>
      </c>
      <c r="H460" s="78">
        <f t="shared" si="191"/>
        <v>0</v>
      </c>
      <c r="J460">
        <f t="shared" si="171"/>
        <v>38</v>
      </c>
      <c r="K460">
        <f t="shared" si="177"/>
        <v>455</v>
      </c>
      <c r="L460" s="49">
        <f t="shared" si="184"/>
        <v>13820</v>
      </c>
      <c r="M460" s="78">
        <f>IF(L460&gt;EDATE(DATE(YEAR(NEW_Origination_Date)+ NEW_Amort, MONTH(NEW_Origination_Date), DAY(NEW_Origination_Date)),NEW_Interest_Only),0,Q459)</f>
        <v>0</v>
      </c>
      <c r="N460" s="78">
        <f t="shared" si="178"/>
        <v>0</v>
      </c>
      <c r="O460" s="78">
        <f>IFERROR(IF(K460=0,0, PPMT(NEW_I_Adj,'Loan Amort Table'!K460,NEW_Amort_Periods,NEW_Orig_Loan_Amount)),0)</f>
        <v>0</v>
      </c>
      <c r="P460" s="78">
        <f>IFERROR(IF(NEW_Amort = 0, -M460* NEW_I_Adj,IPMT(NEW_I_Adj,IF(K460 = 0, 1, K460),NEW_Amort_Periods,NEW_Orig_Loan_Amount)),0)</f>
        <v>0</v>
      </c>
      <c r="Q460" s="78">
        <f t="shared" si="179"/>
        <v>0</v>
      </c>
      <c r="S460">
        <f t="shared" si="172"/>
        <v>38</v>
      </c>
      <c r="T460">
        <f t="shared" si="180"/>
        <v>455</v>
      </c>
      <c r="U460" s="49">
        <f t="shared" si="185"/>
        <v>13820</v>
      </c>
      <c r="V460" s="78">
        <f t="shared" si="181"/>
        <v>0</v>
      </c>
      <c r="W460" s="78">
        <f t="shared" ca="1" si="186"/>
        <v>0</v>
      </c>
      <c r="X460" s="78">
        <f>IFERROR(IF(OR(T460=0, U460&gt;=Refi_Origination_Date),0, PPMT(Mezz_I_Adj,'Loan Amort Table'!T460,Mezz_Amort_Periods,Mezz_Orig_Loan_Amount)),0)</f>
        <v>0</v>
      </c>
      <c r="Y460" s="78" cm="1">
        <f t="array" aca="1" ref="Y460" ca="1">IFERROR(_xlfn.IFS(U460&gt;=Refi_Origination_Date,0, Mezz_Amort = 0, -V460 * Mezz_I_Adj, 1, IPMT(Mezz_I_Adj,IF(T460 = 0, 1, T460),Mezz_Amort_Periods,Mezz_Orig_Loan_Amount)),0)</f>
        <v>0</v>
      </c>
      <c r="Z460" s="78">
        <f t="shared" si="187"/>
        <v>0</v>
      </c>
      <c r="AB460">
        <f t="shared" si="173"/>
        <v>38</v>
      </c>
      <c r="AC460">
        <f t="shared" si="182"/>
        <v>455</v>
      </c>
      <c r="AD460" s="49">
        <f t="shared" si="188"/>
        <v>13820</v>
      </c>
      <c r="AE460" s="78">
        <f t="shared" si="183"/>
        <v>0</v>
      </c>
      <c r="AF460" s="78">
        <f t="shared" ca="1" si="189"/>
        <v>0</v>
      </c>
      <c r="AG460" s="78">
        <f ca="1">IFERROR(IF(AC460=0,0, PPMT(Refi_I_Adj,'Loan Amort Table'!AC460,Refi_Amort_Periods,Refi_Orig_Loan_Amount)),0)</f>
        <v>0</v>
      </c>
      <c r="AH460" s="78">
        <f t="shared" ca="1" si="174"/>
        <v>0</v>
      </c>
      <c r="AI460" s="78">
        <f t="shared" ca="1" si="190"/>
        <v>0</v>
      </c>
    </row>
    <row r="461" spans="1:35" x14ac:dyDescent="0.25">
      <c r="A461">
        <f t="shared" si="170"/>
        <v>38</v>
      </c>
      <c r="B461">
        <f t="shared" si="175"/>
        <v>456</v>
      </c>
      <c r="C461" s="49">
        <f t="shared" si="169"/>
        <v>13850</v>
      </c>
      <c r="D461" s="78">
        <f>IF(C461&gt;EDATE(DATE(YEAR(SED_Origination_Date)+ SED_Amort, MONTH(SED_Origination_Date), DAY(SED_Origination_Date)),SED_Interest_Only),0,H460)</f>
        <v>0</v>
      </c>
      <c r="E461" s="78">
        <f t="shared" si="176"/>
        <v>0</v>
      </c>
      <c r="F461" s="78">
        <f>IFERROR(IF(OR(B461=0, C461&gt;=Refi_Origination_Date),0, PPMT(SED_I_Adj,'Loan Amort Table'!B461,SED_Amort_Periods,SED_Orig_Loan_Amount)),0)</f>
        <v>0</v>
      </c>
      <c r="G461" s="78" cm="1">
        <f t="array" ref="G461">IFERROR(_xlfn.IFS(C461&gt;=Refi_Origination_Date, 0, SED_Amort = 0, -D461 * SED_I_Adj, 1, IPMT(SED_I_Adj,IF(B461 = 0, 1, B461),SED_Amort_Periods,SED_Orig_Loan_Amount)),0)</f>
        <v>0</v>
      </c>
      <c r="H461" s="78">
        <f t="shared" si="191"/>
        <v>0</v>
      </c>
      <c r="J461">
        <f t="shared" si="171"/>
        <v>38</v>
      </c>
      <c r="K461">
        <f t="shared" si="177"/>
        <v>456</v>
      </c>
      <c r="L461" s="49">
        <f t="shared" si="184"/>
        <v>13850</v>
      </c>
      <c r="M461" s="78">
        <f>IF(L461&gt;EDATE(DATE(YEAR(NEW_Origination_Date)+ NEW_Amort, MONTH(NEW_Origination_Date), DAY(NEW_Origination_Date)),NEW_Interest_Only),0,Q460)</f>
        <v>0</v>
      </c>
      <c r="N461" s="78">
        <f t="shared" si="178"/>
        <v>0</v>
      </c>
      <c r="O461" s="78">
        <f>IFERROR(IF(K461=0,0, PPMT(NEW_I_Adj,'Loan Amort Table'!K461,NEW_Amort_Periods,NEW_Orig_Loan_Amount)),0)</f>
        <v>0</v>
      </c>
      <c r="P461" s="78">
        <f>IFERROR(IF(NEW_Amort = 0, -M461* NEW_I_Adj,IPMT(NEW_I_Adj,IF(K461 = 0, 1, K461),NEW_Amort_Periods,NEW_Orig_Loan_Amount)),0)</f>
        <v>0</v>
      </c>
      <c r="Q461" s="78">
        <f t="shared" si="179"/>
        <v>0</v>
      </c>
      <c r="S461">
        <f t="shared" si="172"/>
        <v>38</v>
      </c>
      <c r="T461">
        <f t="shared" si="180"/>
        <v>456</v>
      </c>
      <c r="U461" s="49">
        <f t="shared" si="185"/>
        <v>13850</v>
      </c>
      <c r="V461" s="78">
        <f t="shared" si="181"/>
        <v>0</v>
      </c>
      <c r="W461" s="78">
        <f t="shared" ca="1" si="186"/>
        <v>0</v>
      </c>
      <c r="X461" s="78">
        <f>IFERROR(IF(OR(T461=0, U461&gt;=Refi_Origination_Date),0, PPMT(Mezz_I_Adj,'Loan Amort Table'!T461,Mezz_Amort_Periods,Mezz_Orig_Loan_Amount)),0)</f>
        <v>0</v>
      </c>
      <c r="Y461" s="78" cm="1">
        <f t="array" aca="1" ref="Y461" ca="1">IFERROR(_xlfn.IFS(U461&gt;=Refi_Origination_Date,0, Mezz_Amort = 0, -V461 * Mezz_I_Adj, 1, IPMT(Mezz_I_Adj,IF(T461 = 0, 1, T461),Mezz_Amort_Periods,Mezz_Orig_Loan_Amount)),0)</f>
        <v>0</v>
      </c>
      <c r="Z461" s="78">
        <f t="shared" si="187"/>
        <v>0</v>
      </c>
      <c r="AB461">
        <f t="shared" si="173"/>
        <v>38</v>
      </c>
      <c r="AC461">
        <f t="shared" si="182"/>
        <v>456</v>
      </c>
      <c r="AD461" s="49">
        <f t="shared" si="188"/>
        <v>13850</v>
      </c>
      <c r="AE461" s="78">
        <f t="shared" si="183"/>
        <v>0</v>
      </c>
      <c r="AF461" s="78">
        <f t="shared" ca="1" si="189"/>
        <v>0</v>
      </c>
      <c r="AG461" s="78">
        <f ca="1">IFERROR(IF(AC461=0,0, PPMT(Refi_I_Adj,'Loan Amort Table'!AC461,Refi_Amort_Periods,Refi_Orig_Loan_Amount)),0)</f>
        <v>0</v>
      </c>
      <c r="AH461" s="78">
        <f t="shared" ca="1" si="174"/>
        <v>0</v>
      </c>
      <c r="AI461" s="78">
        <f t="shared" ca="1" si="190"/>
        <v>0</v>
      </c>
    </row>
    <row r="462" spans="1:35" x14ac:dyDescent="0.25">
      <c r="A462">
        <f t="shared" si="170"/>
        <v>39</v>
      </c>
      <c r="B462">
        <f t="shared" si="175"/>
        <v>457</v>
      </c>
      <c r="C462" s="49">
        <f t="shared" si="169"/>
        <v>13881</v>
      </c>
      <c r="D462" s="78">
        <f>IF(C462&gt;EDATE(DATE(YEAR(SED_Origination_Date)+ SED_Amort, MONTH(SED_Origination_Date), DAY(SED_Origination_Date)),SED_Interest_Only),0,H461)</f>
        <v>0</v>
      </c>
      <c r="E462" s="78">
        <f t="shared" si="176"/>
        <v>0</v>
      </c>
      <c r="F462" s="78">
        <f>IFERROR(IF(OR(B462=0, C462&gt;=Refi_Origination_Date),0, PPMT(SED_I_Adj,'Loan Amort Table'!B462,SED_Amort_Periods,SED_Orig_Loan_Amount)),0)</f>
        <v>0</v>
      </c>
      <c r="G462" s="78" cm="1">
        <f t="array" ref="G462">IFERROR(_xlfn.IFS(C462&gt;=Refi_Origination_Date, 0, SED_Amort = 0, -D462 * SED_I_Adj, 1, IPMT(SED_I_Adj,IF(B462 = 0, 1, B462),SED_Amort_Periods,SED_Orig_Loan_Amount)),0)</f>
        <v>0</v>
      </c>
      <c r="H462" s="78">
        <f t="shared" si="191"/>
        <v>0</v>
      </c>
      <c r="J462">
        <f t="shared" si="171"/>
        <v>39</v>
      </c>
      <c r="K462">
        <f t="shared" si="177"/>
        <v>457</v>
      </c>
      <c r="L462" s="49">
        <f t="shared" si="184"/>
        <v>13881</v>
      </c>
      <c r="M462" s="78">
        <f>IF(L462&gt;EDATE(DATE(YEAR(NEW_Origination_Date)+ NEW_Amort, MONTH(NEW_Origination_Date), DAY(NEW_Origination_Date)),NEW_Interest_Only),0,Q461)</f>
        <v>0</v>
      </c>
      <c r="N462" s="78">
        <f t="shared" si="178"/>
        <v>0</v>
      </c>
      <c r="O462" s="78">
        <f>IFERROR(IF(K462=0,0, PPMT(NEW_I_Adj,'Loan Amort Table'!K462,NEW_Amort_Periods,NEW_Orig_Loan_Amount)),0)</f>
        <v>0</v>
      </c>
      <c r="P462" s="78">
        <f>IFERROR(IF(NEW_Amort = 0, -M462* NEW_I_Adj,IPMT(NEW_I_Adj,IF(K462 = 0, 1, K462),NEW_Amort_Periods,NEW_Orig_Loan_Amount)),0)</f>
        <v>0</v>
      </c>
      <c r="Q462" s="78">
        <f t="shared" si="179"/>
        <v>0</v>
      </c>
      <c r="S462">
        <f t="shared" si="172"/>
        <v>39</v>
      </c>
      <c r="T462">
        <f t="shared" si="180"/>
        <v>457</v>
      </c>
      <c r="U462" s="49">
        <f t="shared" si="185"/>
        <v>13881</v>
      </c>
      <c r="V462" s="78">
        <f t="shared" si="181"/>
        <v>0</v>
      </c>
      <c r="W462" s="78">
        <f t="shared" ca="1" si="186"/>
        <v>0</v>
      </c>
      <c r="X462" s="78">
        <f>IFERROR(IF(OR(T462=0, U462&gt;=Refi_Origination_Date),0, PPMT(Mezz_I_Adj,'Loan Amort Table'!T462,Mezz_Amort_Periods,Mezz_Orig_Loan_Amount)),0)</f>
        <v>0</v>
      </c>
      <c r="Y462" s="78" cm="1">
        <f t="array" aca="1" ref="Y462" ca="1">IFERROR(_xlfn.IFS(U462&gt;=Refi_Origination_Date,0, Mezz_Amort = 0, -V462 * Mezz_I_Adj, 1, IPMT(Mezz_I_Adj,IF(T462 = 0, 1, T462),Mezz_Amort_Periods,Mezz_Orig_Loan_Amount)),0)</f>
        <v>0</v>
      </c>
      <c r="Z462" s="78">
        <f t="shared" si="187"/>
        <v>0</v>
      </c>
      <c r="AB462">
        <f t="shared" si="173"/>
        <v>39</v>
      </c>
      <c r="AC462">
        <f t="shared" si="182"/>
        <v>457</v>
      </c>
      <c r="AD462" s="49">
        <f t="shared" si="188"/>
        <v>13881</v>
      </c>
      <c r="AE462" s="78">
        <f t="shared" si="183"/>
        <v>0</v>
      </c>
      <c r="AF462" s="78">
        <f t="shared" ca="1" si="189"/>
        <v>0</v>
      </c>
      <c r="AG462" s="78">
        <f ca="1">IFERROR(IF(AC462=0,0, PPMT(Refi_I_Adj,'Loan Amort Table'!AC462,Refi_Amort_Periods,Refi_Orig_Loan_Amount)),0)</f>
        <v>0</v>
      </c>
      <c r="AH462" s="78">
        <f t="shared" ca="1" si="174"/>
        <v>0</v>
      </c>
      <c r="AI462" s="78">
        <f t="shared" ca="1" si="190"/>
        <v>0</v>
      </c>
    </row>
    <row r="463" spans="1:35" x14ac:dyDescent="0.25">
      <c r="A463">
        <f t="shared" si="170"/>
        <v>39</v>
      </c>
      <c r="B463">
        <f t="shared" si="175"/>
        <v>458</v>
      </c>
      <c r="C463" s="49">
        <f t="shared" si="169"/>
        <v>13912</v>
      </c>
      <c r="D463" s="78">
        <f>IF(C463&gt;EDATE(DATE(YEAR(SED_Origination_Date)+ SED_Amort, MONTH(SED_Origination_Date), DAY(SED_Origination_Date)),SED_Interest_Only),0,H462)</f>
        <v>0</v>
      </c>
      <c r="E463" s="78">
        <f t="shared" si="176"/>
        <v>0</v>
      </c>
      <c r="F463" s="78">
        <f>IFERROR(IF(OR(B463=0, C463&gt;=Refi_Origination_Date),0, PPMT(SED_I_Adj,'Loan Amort Table'!B463,SED_Amort_Periods,SED_Orig_Loan_Amount)),0)</f>
        <v>0</v>
      </c>
      <c r="G463" s="78" cm="1">
        <f t="array" ref="G463">IFERROR(_xlfn.IFS(C463&gt;=Refi_Origination_Date, 0, SED_Amort = 0, -D463 * SED_I_Adj, 1, IPMT(SED_I_Adj,IF(B463 = 0, 1, B463),SED_Amort_Periods,SED_Orig_Loan_Amount)),0)</f>
        <v>0</v>
      </c>
      <c r="H463" s="78">
        <f t="shared" si="191"/>
        <v>0</v>
      </c>
      <c r="J463">
        <f t="shared" si="171"/>
        <v>39</v>
      </c>
      <c r="K463">
        <f t="shared" si="177"/>
        <v>458</v>
      </c>
      <c r="L463" s="49">
        <f t="shared" si="184"/>
        <v>13912</v>
      </c>
      <c r="M463" s="78">
        <f>IF(L463&gt;EDATE(DATE(YEAR(NEW_Origination_Date)+ NEW_Amort, MONTH(NEW_Origination_Date), DAY(NEW_Origination_Date)),NEW_Interest_Only),0,Q462)</f>
        <v>0</v>
      </c>
      <c r="N463" s="78">
        <f t="shared" si="178"/>
        <v>0</v>
      </c>
      <c r="O463" s="78">
        <f>IFERROR(IF(K463=0,0, PPMT(NEW_I_Adj,'Loan Amort Table'!K463,NEW_Amort_Periods,NEW_Orig_Loan_Amount)),0)</f>
        <v>0</v>
      </c>
      <c r="P463" s="78">
        <f>IFERROR(IF(NEW_Amort = 0, -M463* NEW_I_Adj,IPMT(NEW_I_Adj,IF(K463 = 0, 1, K463),NEW_Amort_Periods,NEW_Orig_Loan_Amount)),0)</f>
        <v>0</v>
      </c>
      <c r="Q463" s="78">
        <f t="shared" si="179"/>
        <v>0</v>
      </c>
      <c r="S463">
        <f t="shared" si="172"/>
        <v>39</v>
      </c>
      <c r="T463">
        <f t="shared" si="180"/>
        <v>458</v>
      </c>
      <c r="U463" s="49">
        <f t="shared" si="185"/>
        <v>13912</v>
      </c>
      <c r="V463" s="78">
        <f t="shared" si="181"/>
        <v>0</v>
      </c>
      <c r="W463" s="78">
        <f t="shared" ca="1" si="186"/>
        <v>0</v>
      </c>
      <c r="X463" s="78">
        <f>IFERROR(IF(OR(T463=0, U463&gt;=Refi_Origination_Date),0, PPMT(Mezz_I_Adj,'Loan Amort Table'!T463,Mezz_Amort_Periods,Mezz_Orig_Loan_Amount)),0)</f>
        <v>0</v>
      </c>
      <c r="Y463" s="78" cm="1">
        <f t="array" aca="1" ref="Y463" ca="1">IFERROR(_xlfn.IFS(U463&gt;=Refi_Origination_Date,0, Mezz_Amort = 0, -V463 * Mezz_I_Adj, 1, IPMT(Mezz_I_Adj,IF(T463 = 0, 1, T463),Mezz_Amort_Periods,Mezz_Orig_Loan_Amount)),0)</f>
        <v>0</v>
      </c>
      <c r="Z463" s="78">
        <f t="shared" si="187"/>
        <v>0</v>
      </c>
      <c r="AB463">
        <f t="shared" si="173"/>
        <v>39</v>
      </c>
      <c r="AC463">
        <f t="shared" si="182"/>
        <v>458</v>
      </c>
      <c r="AD463" s="49">
        <f t="shared" si="188"/>
        <v>13912</v>
      </c>
      <c r="AE463" s="78">
        <f t="shared" si="183"/>
        <v>0</v>
      </c>
      <c r="AF463" s="78">
        <f t="shared" ca="1" si="189"/>
        <v>0</v>
      </c>
      <c r="AG463" s="78">
        <f ca="1">IFERROR(IF(AC463=0,0, PPMT(Refi_I_Adj,'Loan Amort Table'!AC463,Refi_Amort_Periods,Refi_Orig_Loan_Amount)),0)</f>
        <v>0</v>
      </c>
      <c r="AH463" s="78">
        <f t="shared" ca="1" si="174"/>
        <v>0</v>
      </c>
      <c r="AI463" s="78">
        <f t="shared" ca="1" si="190"/>
        <v>0</v>
      </c>
    </row>
    <row r="464" spans="1:35" x14ac:dyDescent="0.25">
      <c r="A464">
        <f t="shared" si="170"/>
        <v>39</v>
      </c>
      <c r="B464">
        <f t="shared" si="175"/>
        <v>459</v>
      </c>
      <c r="C464" s="49">
        <f t="shared" si="169"/>
        <v>13940</v>
      </c>
      <c r="D464" s="78">
        <f>IF(C464&gt;EDATE(DATE(YEAR(SED_Origination_Date)+ SED_Amort, MONTH(SED_Origination_Date), DAY(SED_Origination_Date)),SED_Interest_Only),0,H463)</f>
        <v>0</v>
      </c>
      <c r="E464" s="78">
        <f t="shared" si="176"/>
        <v>0</v>
      </c>
      <c r="F464" s="78">
        <f>IFERROR(IF(OR(B464=0, C464&gt;=Refi_Origination_Date),0, PPMT(SED_I_Adj,'Loan Amort Table'!B464,SED_Amort_Periods,SED_Orig_Loan_Amount)),0)</f>
        <v>0</v>
      </c>
      <c r="G464" s="78" cm="1">
        <f t="array" ref="G464">IFERROR(_xlfn.IFS(C464&gt;=Refi_Origination_Date, 0, SED_Amort = 0, -D464 * SED_I_Adj, 1, IPMT(SED_I_Adj,IF(B464 = 0, 1, B464),SED_Amort_Periods,SED_Orig_Loan_Amount)),0)</f>
        <v>0</v>
      </c>
      <c r="H464" s="78">
        <f t="shared" si="191"/>
        <v>0</v>
      </c>
      <c r="J464">
        <f t="shared" si="171"/>
        <v>39</v>
      </c>
      <c r="K464">
        <f t="shared" si="177"/>
        <v>459</v>
      </c>
      <c r="L464" s="49">
        <f t="shared" si="184"/>
        <v>13940</v>
      </c>
      <c r="M464" s="78">
        <f>IF(L464&gt;EDATE(DATE(YEAR(NEW_Origination_Date)+ NEW_Amort, MONTH(NEW_Origination_Date), DAY(NEW_Origination_Date)),NEW_Interest_Only),0,Q463)</f>
        <v>0</v>
      </c>
      <c r="N464" s="78">
        <f t="shared" si="178"/>
        <v>0</v>
      </c>
      <c r="O464" s="78">
        <f>IFERROR(IF(K464=0,0, PPMT(NEW_I_Adj,'Loan Amort Table'!K464,NEW_Amort_Periods,NEW_Orig_Loan_Amount)),0)</f>
        <v>0</v>
      </c>
      <c r="P464" s="78">
        <f>IFERROR(IF(NEW_Amort = 0, -M464* NEW_I_Adj,IPMT(NEW_I_Adj,IF(K464 = 0, 1, K464),NEW_Amort_Periods,NEW_Orig_Loan_Amount)),0)</f>
        <v>0</v>
      </c>
      <c r="Q464" s="78">
        <f t="shared" si="179"/>
        <v>0</v>
      </c>
      <c r="S464">
        <f t="shared" si="172"/>
        <v>39</v>
      </c>
      <c r="T464">
        <f t="shared" si="180"/>
        <v>459</v>
      </c>
      <c r="U464" s="49">
        <f t="shared" si="185"/>
        <v>13940</v>
      </c>
      <c r="V464" s="78">
        <f t="shared" si="181"/>
        <v>0</v>
      </c>
      <c r="W464" s="78">
        <f t="shared" ca="1" si="186"/>
        <v>0</v>
      </c>
      <c r="X464" s="78">
        <f>IFERROR(IF(OR(T464=0, U464&gt;=Refi_Origination_Date),0, PPMT(Mezz_I_Adj,'Loan Amort Table'!T464,Mezz_Amort_Periods,Mezz_Orig_Loan_Amount)),0)</f>
        <v>0</v>
      </c>
      <c r="Y464" s="78" cm="1">
        <f t="array" aca="1" ref="Y464" ca="1">IFERROR(_xlfn.IFS(U464&gt;=Refi_Origination_Date,0, Mezz_Amort = 0, -V464 * Mezz_I_Adj, 1, IPMT(Mezz_I_Adj,IF(T464 = 0, 1, T464),Mezz_Amort_Periods,Mezz_Orig_Loan_Amount)),0)</f>
        <v>0</v>
      </c>
      <c r="Z464" s="78">
        <f t="shared" si="187"/>
        <v>0</v>
      </c>
      <c r="AB464">
        <f t="shared" si="173"/>
        <v>39</v>
      </c>
      <c r="AC464">
        <f t="shared" si="182"/>
        <v>459</v>
      </c>
      <c r="AD464" s="49">
        <f t="shared" si="188"/>
        <v>13940</v>
      </c>
      <c r="AE464" s="78">
        <f t="shared" si="183"/>
        <v>0</v>
      </c>
      <c r="AF464" s="78">
        <f t="shared" ca="1" si="189"/>
        <v>0</v>
      </c>
      <c r="AG464" s="78">
        <f ca="1">IFERROR(IF(AC464=0,0, PPMT(Refi_I_Adj,'Loan Amort Table'!AC464,Refi_Amort_Periods,Refi_Orig_Loan_Amount)),0)</f>
        <v>0</v>
      </c>
      <c r="AH464" s="78">
        <f t="shared" ca="1" si="174"/>
        <v>0</v>
      </c>
      <c r="AI464" s="78">
        <f t="shared" ca="1" si="190"/>
        <v>0</v>
      </c>
    </row>
    <row r="465" spans="1:35" x14ac:dyDescent="0.25">
      <c r="A465">
        <f t="shared" si="170"/>
        <v>39</v>
      </c>
      <c r="B465">
        <f t="shared" si="175"/>
        <v>460</v>
      </c>
      <c r="C465" s="49">
        <f t="shared" si="169"/>
        <v>13971</v>
      </c>
      <c r="D465" s="78">
        <f>IF(C465&gt;EDATE(DATE(YEAR(SED_Origination_Date)+ SED_Amort, MONTH(SED_Origination_Date), DAY(SED_Origination_Date)),SED_Interest_Only),0,H464)</f>
        <v>0</v>
      </c>
      <c r="E465" s="78">
        <f t="shared" si="176"/>
        <v>0</v>
      </c>
      <c r="F465" s="78">
        <f>IFERROR(IF(OR(B465=0, C465&gt;=Refi_Origination_Date),0, PPMT(SED_I_Adj,'Loan Amort Table'!B465,SED_Amort_Periods,SED_Orig_Loan_Amount)),0)</f>
        <v>0</v>
      </c>
      <c r="G465" s="78" cm="1">
        <f t="array" ref="G465">IFERROR(_xlfn.IFS(C465&gt;=Refi_Origination_Date, 0, SED_Amort = 0, -D465 * SED_I_Adj, 1, IPMT(SED_I_Adj,IF(B465 = 0, 1, B465),SED_Amort_Periods,SED_Orig_Loan_Amount)),0)</f>
        <v>0</v>
      </c>
      <c r="H465" s="78">
        <f t="shared" si="191"/>
        <v>0</v>
      </c>
      <c r="J465">
        <f t="shared" si="171"/>
        <v>39</v>
      </c>
      <c r="K465">
        <f t="shared" si="177"/>
        <v>460</v>
      </c>
      <c r="L465" s="49">
        <f t="shared" si="184"/>
        <v>13971</v>
      </c>
      <c r="M465" s="78">
        <f>IF(L465&gt;EDATE(DATE(YEAR(NEW_Origination_Date)+ NEW_Amort, MONTH(NEW_Origination_Date), DAY(NEW_Origination_Date)),NEW_Interest_Only),0,Q464)</f>
        <v>0</v>
      </c>
      <c r="N465" s="78">
        <f t="shared" si="178"/>
        <v>0</v>
      </c>
      <c r="O465" s="78">
        <f>IFERROR(IF(K465=0,0, PPMT(NEW_I_Adj,'Loan Amort Table'!K465,NEW_Amort_Periods,NEW_Orig_Loan_Amount)),0)</f>
        <v>0</v>
      </c>
      <c r="P465" s="78">
        <f>IFERROR(IF(NEW_Amort = 0, -M465* NEW_I_Adj,IPMT(NEW_I_Adj,IF(K465 = 0, 1, K465),NEW_Amort_Periods,NEW_Orig_Loan_Amount)),0)</f>
        <v>0</v>
      </c>
      <c r="Q465" s="78">
        <f t="shared" si="179"/>
        <v>0</v>
      </c>
      <c r="S465">
        <f t="shared" si="172"/>
        <v>39</v>
      </c>
      <c r="T465">
        <f t="shared" si="180"/>
        <v>460</v>
      </c>
      <c r="U465" s="49">
        <f t="shared" si="185"/>
        <v>13971</v>
      </c>
      <c r="V465" s="78">
        <f t="shared" si="181"/>
        <v>0</v>
      </c>
      <c r="W465" s="78">
        <f t="shared" ca="1" si="186"/>
        <v>0</v>
      </c>
      <c r="X465" s="78">
        <f>IFERROR(IF(OR(T465=0, U465&gt;=Refi_Origination_Date),0, PPMT(Mezz_I_Adj,'Loan Amort Table'!T465,Mezz_Amort_Periods,Mezz_Orig_Loan_Amount)),0)</f>
        <v>0</v>
      </c>
      <c r="Y465" s="78" cm="1">
        <f t="array" aca="1" ref="Y465" ca="1">IFERROR(_xlfn.IFS(U465&gt;=Refi_Origination_Date,0, Mezz_Amort = 0, -V465 * Mezz_I_Adj, 1, IPMT(Mezz_I_Adj,IF(T465 = 0, 1, T465),Mezz_Amort_Periods,Mezz_Orig_Loan_Amount)),0)</f>
        <v>0</v>
      </c>
      <c r="Z465" s="78">
        <f t="shared" si="187"/>
        <v>0</v>
      </c>
      <c r="AB465">
        <f t="shared" si="173"/>
        <v>39</v>
      </c>
      <c r="AC465">
        <f t="shared" si="182"/>
        <v>460</v>
      </c>
      <c r="AD465" s="49">
        <f t="shared" si="188"/>
        <v>13971</v>
      </c>
      <c r="AE465" s="78">
        <f t="shared" si="183"/>
        <v>0</v>
      </c>
      <c r="AF465" s="78">
        <f t="shared" ca="1" si="189"/>
        <v>0</v>
      </c>
      <c r="AG465" s="78">
        <f ca="1">IFERROR(IF(AC465=0,0, PPMT(Refi_I_Adj,'Loan Amort Table'!AC465,Refi_Amort_Periods,Refi_Orig_Loan_Amount)),0)</f>
        <v>0</v>
      </c>
      <c r="AH465" s="78">
        <f t="shared" ca="1" si="174"/>
        <v>0</v>
      </c>
      <c r="AI465" s="78">
        <f t="shared" ca="1" si="190"/>
        <v>0</v>
      </c>
    </row>
    <row r="466" spans="1:35" x14ac:dyDescent="0.25">
      <c r="A466">
        <f t="shared" si="170"/>
        <v>39</v>
      </c>
      <c r="B466">
        <f t="shared" si="175"/>
        <v>461</v>
      </c>
      <c r="C466" s="49">
        <f t="shared" si="169"/>
        <v>14001</v>
      </c>
      <c r="D466" s="78">
        <f>IF(C466&gt;EDATE(DATE(YEAR(SED_Origination_Date)+ SED_Amort, MONTH(SED_Origination_Date), DAY(SED_Origination_Date)),SED_Interest_Only),0,H465)</f>
        <v>0</v>
      </c>
      <c r="E466" s="78">
        <f t="shared" si="176"/>
        <v>0</v>
      </c>
      <c r="F466" s="78">
        <f>IFERROR(IF(OR(B466=0, C466&gt;=Refi_Origination_Date),0, PPMT(SED_I_Adj,'Loan Amort Table'!B466,SED_Amort_Periods,SED_Orig_Loan_Amount)),0)</f>
        <v>0</v>
      </c>
      <c r="G466" s="78" cm="1">
        <f t="array" ref="G466">IFERROR(_xlfn.IFS(C466&gt;=Refi_Origination_Date, 0, SED_Amort = 0, -D466 * SED_I_Adj, 1, IPMT(SED_I_Adj,IF(B466 = 0, 1, B466),SED_Amort_Periods,SED_Orig_Loan_Amount)),0)</f>
        <v>0</v>
      </c>
      <c r="H466" s="78">
        <f t="shared" si="191"/>
        <v>0</v>
      </c>
      <c r="J466">
        <f t="shared" si="171"/>
        <v>39</v>
      </c>
      <c r="K466">
        <f t="shared" si="177"/>
        <v>461</v>
      </c>
      <c r="L466" s="49">
        <f t="shared" si="184"/>
        <v>14001</v>
      </c>
      <c r="M466" s="78">
        <f>IF(L466&gt;EDATE(DATE(YEAR(NEW_Origination_Date)+ NEW_Amort, MONTH(NEW_Origination_Date), DAY(NEW_Origination_Date)),NEW_Interest_Only),0,Q465)</f>
        <v>0</v>
      </c>
      <c r="N466" s="78">
        <f t="shared" si="178"/>
        <v>0</v>
      </c>
      <c r="O466" s="78">
        <f>IFERROR(IF(K466=0,0, PPMT(NEW_I_Adj,'Loan Amort Table'!K466,NEW_Amort_Periods,NEW_Orig_Loan_Amount)),0)</f>
        <v>0</v>
      </c>
      <c r="P466" s="78">
        <f>IFERROR(IF(NEW_Amort = 0, -M466* NEW_I_Adj,IPMT(NEW_I_Adj,IF(K466 = 0, 1, K466),NEW_Amort_Periods,NEW_Orig_Loan_Amount)),0)</f>
        <v>0</v>
      </c>
      <c r="Q466" s="78">
        <f t="shared" si="179"/>
        <v>0</v>
      </c>
      <c r="S466">
        <f t="shared" si="172"/>
        <v>39</v>
      </c>
      <c r="T466">
        <f t="shared" si="180"/>
        <v>461</v>
      </c>
      <c r="U466" s="49">
        <f t="shared" si="185"/>
        <v>14001</v>
      </c>
      <c r="V466" s="78">
        <f t="shared" si="181"/>
        <v>0</v>
      </c>
      <c r="W466" s="78">
        <f t="shared" ca="1" si="186"/>
        <v>0</v>
      </c>
      <c r="X466" s="78">
        <f>IFERROR(IF(OR(T466=0, U466&gt;=Refi_Origination_Date),0, PPMT(Mezz_I_Adj,'Loan Amort Table'!T466,Mezz_Amort_Periods,Mezz_Orig_Loan_Amount)),0)</f>
        <v>0</v>
      </c>
      <c r="Y466" s="78" cm="1">
        <f t="array" aca="1" ref="Y466" ca="1">IFERROR(_xlfn.IFS(U466&gt;=Refi_Origination_Date,0, Mezz_Amort = 0, -V466 * Mezz_I_Adj, 1, IPMT(Mezz_I_Adj,IF(T466 = 0, 1, T466),Mezz_Amort_Periods,Mezz_Orig_Loan_Amount)),0)</f>
        <v>0</v>
      </c>
      <c r="Z466" s="78">
        <f t="shared" si="187"/>
        <v>0</v>
      </c>
      <c r="AB466">
        <f t="shared" si="173"/>
        <v>39</v>
      </c>
      <c r="AC466">
        <f t="shared" si="182"/>
        <v>461</v>
      </c>
      <c r="AD466" s="49">
        <f t="shared" si="188"/>
        <v>14001</v>
      </c>
      <c r="AE466" s="78">
        <f t="shared" si="183"/>
        <v>0</v>
      </c>
      <c r="AF466" s="78">
        <f t="shared" ca="1" si="189"/>
        <v>0</v>
      </c>
      <c r="AG466" s="78">
        <f ca="1">IFERROR(IF(AC466=0,0, PPMT(Refi_I_Adj,'Loan Amort Table'!AC466,Refi_Amort_Periods,Refi_Orig_Loan_Amount)),0)</f>
        <v>0</v>
      </c>
      <c r="AH466" s="78">
        <f t="shared" ca="1" si="174"/>
        <v>0</v>
      </c>
      <c r="AI466" s="78">
        <f t="shared" ca="1" si="190"/>
        <v>0</v>
      </c>
    </row>
    <row r="467" spans="1:35" x14ac:dyDescent="0.25">
      <c r="A467">
        <f t="shared" si="170"/>
        <v>39</v>
      </c>
      <c r="B467">
        <f t="shared" si="175"/>
        <v>462</v>
      </c>
      <c r="C467" s="49">
        <f t="shared" si="169"/>
        <v>14032</v>
      </c>
      <c r="D467" s="78">
        <f>IF(C467&gt;EDATE(DATE(YEAR(SED_Origination_Date)+ SED_Amort, MONTH(SED_Origination_Date), DAY(SED_Origination_Date)),SED_Interest_Only),0,H466)</f>
        <v>0</v>
      </c>
      <c r="E467" s="78">
        <f t="shared" si="176"/>
        <v>0</v>
      </c>
      <c r="F467" s="78">
        <f>IFERROR(IF(OR(B467=0, C467&gt;=Refi_Origination_Date),0, PPMT(SED_I_Adj,'Loan Amort Table'!B467,SED_Amort_Periods,SED_Orig_Loan_Amount)),0)</f>
        <v>0</v>
      </c>
      <c r="G467" s="78" cm="1">
        <f t="array" ref="G467">IFERROR(_xlfn.IFS(C467&gt;=Refi_Origination_Date, 0, SED_Amort = 0, -D467 * SED_I_Adj, 1, IPMT(SED_I_Adj,IF(B467 = 0, 1, B467),SED_Amort_Periods,SED_Orig_Loan_Amount)),0)</f>
        <v>0</v>
      </c>
      <c r="H467" s="78">
        <f t="shared" si="191"/>
        <v>0</v>
      </c>
      <c r="J467">
        <f t="shared" si="171"/>
        <v>39</v>
      </c>
      <c r="K467">
        <f t="shared" si="177"/>
        <v>462</v>
      </c>
      <c r="L467" s="49">
        <f t="shared" si="184"/>
        <v>14032</v>
      </c>
      <c r="M467" s="78">
        <f>IF(L467&gt;EDATE(DATE(YEAR(NEW_Origination_Date)+ NEW_Amort, MONTH(NEW_Origination_Date), DAY(NEW_Origination_Date)),NEW_Interest_Only),0,Q466)</f>
        <v>0</v>
      </c>
      <c r="N467" s="78">
        <f t="shared" si="178"/>
        <v>0</v>
      </c>
      <c r="O467" s="78">
        <f>IFERROR(IF(K467=0,0, PPMT(NEW_I_Adj,'Loan Amort Table'!K467,NEW_Amort_Periods,NEW_Orig_Loan_Amount)),0)</f>
        <v>0</v>
      </c>
      <c r="P467" s="78">
        <f>IFERROR(IF(NEW_Amort = 0, -M467* NEW_I_Adj,IPMT(NEW_I_Adj,IF(K467 = 0, 1, K467),NEW_Amort_Periods,NEW_Orig_Loan_Amount)),0)</f>
        <v>0</v>
      </c>
      <c r="Q467" s="78">
        <f t="shared" si="179"/>
        <v>0</v>
      </c>
      <c r="S467">
        <f t="shared" si="172"/>
        <v>39</v>
      </c>
      <c r="T467">
        <f t="shared" si="180"/>
        <v>462</v>
      </c>
      <c r="U467" s="49">
        <f t="shared" si="185"/>
        <v>14032</v>
      </c>
      <c r="V467" s="78">
        <f t="shared" si="181"/>
        <v>0</v>
      </c>
      <c r="W467" s="78">
        <f t="shared" ca="1" si="186"/>
        <v>0</v>
      </c>
      <c r="X467" s="78">
        <f>IFERROR(IF(OR(T467=0, U467&gt;=Refi_Origination_Date),0, PPMT(Mezz_I_Adj,'Loan Amort Table'!T467,Mezz_Amort_Periods,Mezz_Orig_Loan_Amount)),0)</f>
        <v>0</v>
      </c>
      <c r="Y467" s="78" cm="1">
        <f t="array" aca="1" ref="Y467" ca="1">IFERROR(_xlfn.IFS(U467&gt;=Refi_Origination_Date,0, Mezz_Amort = 0, -V467 * Mezz_I_Adj, 1, IPMT(Mezz_I_Adj,IF(T467 = 0, 1, T467),Mezz_Amort_Periods,Mezz_Orig_Loan_Amount)),0)</f>
        <v>0</v>
      </c>
      <c r="Z467" s="78">
        <f t="shared" si="187"/>
        <v>0</v>
      </c>
      <c r="AB467">
        <f t="shared" si="173"/>
        <v>39</v>
      </c>
      <c r="AC467">
        <f t="shared" si="182"/>
        <v>462</v>
      </c>
      <c r="AD467" s="49">
        <f t="shared" si="188"/>
        <v>14032</v>
      </c>
      <c r="AE467" s="78">
        <f t="shared" si="183"/>
        <v>0</v>
      </c>
      <c r="AF467" s="78">
        <f t="shared" ca="1" si="189"/>
        <v>0</v>
      </c>
      <c r="AG467" s="78">
        <f ca="1">IFERROR(IF(AC467=0,0, PPMT(Refi_I_Adj,'Loan Amort Table'!AC467,Refi_Amort_Periods,Refi_Orig_Loan_Amount)),0)</f>
        <v>0</v>
      </c>
      <c r="AH467" s="78">
        <f t="shared" ca="1" si="174"/>
        <v>0</v>
      </c>
      <c r="AI467" s="78">
        <f t="shared" ca="1" si="190"/>
        <v>0</v>
      </c>
    </row>
    <row r="468" spans="1:35" x14ac:dyDescent="0.25">
      <c r="A468">
        <f t="shared" si="170"/>
        <v>39</v>
      </c>
      <c r="B468">
        <f t="shared" si="175"/>
        <v>463</v>
      </c>
      <c r="C468" s="49">
        <f t="shared" si="169"/>
        <v>14062</v>
      </c>
      <c r="D468" s="78">
        <f>IF(C468&gt;EDATE(DATE(YEAR(SED_Origination_Date)+ SED_Amort, MONTH(SED_Origination_Date), DAY(SED_Origination_Date)),SED_Interest_Only),0,H467)</f>
        <v>0</v>
      </c>
      <c r="E468" s="78">
        <f t="shared" si="176"/>
        <v>0</v>
      </c>
      <c r="F468" s="78">
        <f>IFERROR(IF(OR(B468=0, C468&gt;=Refi_Origination_Date),0, PPMT(SED_I_Adj,'Loan Amort Table'!B468,SED_Amort_Periods,SED_Orig_Loan_Amount)),0)</f>
        <v>0</v>
      </c>
      <c r="G468" s="78" cm="1">
        <f t="array" ref="G468">IFERROR(_xlfn.IFS(C468&gt;=Refi_Origination_Date, 0, SED_Amort = 0, -D468 * SED_I_Adj, 1, IPMT(SED_I_Adj,IF(B468 = 0, 1, B468),SED_Amort_Periods,SED_Orig_Loan_Amount)),0)</f>
        <v>0</v>
      </c>
      <c r="H468" s="78">
        <f t="shared" si="191"/>
        <v>0</v>
      </c>
      <c r="J468">
        <f t="shared" si="171"/>
        <v>39</v>
      </c>
      <c r="K468">
        <f t="shared" si="177"/>
        <v>463</v>
      </c>
      <c r="L468" s="49">
        <f t="shared" si="184"/>
        <v>14062</v>
      </c>
      <c r="M468" s="78">
        <f>IF(L468&gt;EDATE(DATE(YEAR(NEW_Origination_Date)+ NEW_Amort, MONTH(NEW_Origination_Date), DAY(NEW_Origination_Date)),NEW_Interest_Only),0,Q467)</f>
        <v>0</v>
      </c>
      <c r="N468" s="78">
        <f t="shared" si="178"/>
        <v>0</v>
      </c>
      <c r="O468" s="78">
        <f>IFERROR(IF(K468=0,0, PPMT(NEW_I_Adj,'Loan Amort Table'!K468,NEW_Amort_Periods,NEW_Orig_Loan_Amount)),0)</f>
        <v>0</v>
      </c>
      <c r="P468" s="78">
        <f>IFERROR(IF(NEW_Amort = 0, -M468* NEW_I_Adj,IPMT(NEW_I_Adj,IF(K468 = 0, 1, K468),NEW_Amort_Periods,NEW_Orig_Loan_Amount)),0)</f>
        <v>0</v>
      </c>
      <c r="Q468" s="78">
        <f t="shared" si="179"/>
        <v>0</v>
      </c>
      <c r="S468">
        <f t="shared" si="172"/>
        <v>39</v>
      </c>
      <c r="T468">
        <f t="shared" si="180"/>
        <v>463</v>
      </c>
      <c r="U468" s="49">
        <f t="shared" si="185"/>
        <v>14062</v>
      </c>
      <c r="V468" s="78">
        <f t="shared" si="181"/>
        <v>0</v>
      </c>
      <c r="W468" s="78">
        <f t="shared" ca="1" si="186"/>
        <v>0</v>
      </c>
      <c r="X468" s="78">
        <f>IFERROR(IF(OR(T468=0, U468&gt;=Refi_Origination_Date),0, PPMT(Mezz_I_Adj,'Loan Amort Table'!T468,Mezz_Amort_Periods,Mezz_Orig_Loan_Amount)),0)</f>
        <v>0</v>
      </c>
      <c r="Y468" s="78" cm="1">
        <f t="array" aca="1" ref="Y468" ca="1">IFERROR(_xlfn.IFS(U468&gt;=Refi_Origination_Date,0, Mezz_Amort = 0, -V468 * Mezz_I_Adj, 1, IPMT(Mezz_I_Adj,IF(T468 = 0, 1, T468),Mezz_Amort_Periods,Mezz_Orig_Loan_Amount)),0)</f>
        <v>0</v>
      </c>
      <c r="Z468" s="78">
        <f t="shared" si="187"/>
        <v>0</v>
      </c>
      <c r="AB468">
        <f t="shared" si="173"/>
        <v>39</v>
      </c>
      <c r="AC468">
        <f t="shared" si="182"/>
        <v>463</v>
      </c>
      <c r="AD468" s="49">
        <f t="shared" si="188"/>
        <v>14062</v>
      </c>
      <c r="AE468" s="78">
        <f t="shared" si="183"/>
        <v>0</v>
      </c>
      <c r="AF468" s="78">
        <f t="shared" ca="1" si="189"/>
        <v>0</v>
      </c>
      <c r="AG468" s="78">
        <f ca="1">IFERROR(IF(AC468=0,0, PPMT(Refi_I_Adj,'Loan Amort Table'!AC468,Refi_Amort_Periods,Refi_Orig_Loan_Amount)),0)</f>
        <v>0</v>
      </c>
      <c r="AH468" s="78">
        <f t="shared" ca="1" si="174"/>
        <v>0</v>
      </c>
      <c r="AI468" s="78">
        <f t="shared" ca="1" si="190"/>
        <v>0</v>
      </c>
    </row>
    <row r="469" spans="1:35" x14ac:dyDescent="0.25">
      <c r="A469">
        <f t="shared" si="170"/>
        <v>39</v>
      </c>
      <c r="B469">
        <f t="shared" si="175"/>
        <v>464</v>
      </c>
      <c r="C469" s="49">
        <f t="shared" si="169"/>
        <v>14093</v>
      </c>
      <c r="D469" s="78">
        <f>IF(C469&gt;EDATE(DATE(YEAR(SED_Origination_Date)+ SED_Amort, MONTH(SED_Origination_Date), DAY(SED_Origination_Date)),SED_Interest_Only),0,H468)</f>
        <v>0</v>
      </c>
      <c r="E469" s="78">
        <f t="shared" si="176"/>
        <v>0</v>
      </c>
      <c r="F469" s="78">
        <f>IFERROR(IF(OR(B469=0, C469&gt;=Refi_Origination_Date),0, PPMT(SED_I_Adj,'Loan Amort Table'!B469,SED_Amort_Periods,SED_Orig_Loan_Amount)),0)</f>
        <v>0</v>
      </c>
      <c r="G469" s="78" cm="1">
        <f t="array" ref="G469">IFERROR(_xlfn.IFS(C469&gt;=Refi_Origination_Date, 0, SED_Amort = 0, -D469 * SED_I_Adj, 1, IPMT(SED_I_Adj,IF(B469 = 0, 1, B469),SED_Amort_Periods,SED_Orig_Loan_Amount)),0)</f>
        <v>0</v>
      </c>
      <c r="H469" s="78">
        <f t="shared" si="191"/>
        <v>0</v>
      </c>
      <c r="J469">
        <f t="shared" si="171"/>
        <v>39</v>
      </c>
      <c r="K469">
        <f t="shared" si="177"/>
        <v>464</v>
      </c>
      <c r="L469" s="49">
        <f t="shared" si="184"/>
        <v>14093</v>
      </c>
      <c r="M469" s="78">
        <f>IF(L469&gt;EDATE(DATE(YEAR(NEW_Origination_Date)+ NEW_Amort, MONTH(NEW_Origination_Date), DAY(NEW_Origination_Date)),NEW_Interest_Only),0,Q468)</f>
        <v>0</v>
      </c>
      <c r="N469" s="78">
        <f t="shared" si="178"/>
        <v>0</v>
      </c>
      <c r="O469" s="78">
        <f>IFERROR(IF(K469=0,0, PPMT(NEW_I_Adj,'Loan Amort Table'!K469,NEW_Amort_Periods,NEW_Orig_Loan_Amount)),0)</f>
        <v>0</v>
      </c>
      <c r="P469" s="78">
        <f>IFERROR(IF(NEW_Amort = 0, -M469* NEW_I_Adj,IPMT(NEW_I_Adj,IF(K469 = 0, 1, K469),NEW_Amort_Periods,NEW_Orig_Loan_Amount)),0)</f>
        <v>0</v>
      </c>
      <c r="Q469" s="78">
        <f t="shared" si="179"/>
        <v>0</v>
      </c>
      <c r="S469">
        <f t="shared" si="172"/>
        <v>39</v>
      </c>
      <c r="T469">
        <f t="shared" si="180"/>
        <v>464</v>
      </c>
      <c r="U469" s="49">
        <f t="shared" si="185"/>
        <v>14093</v>
      </c>
      <c r="V469" s="78">
        <f t="shared" si="181"/>
        <v>0</v>
      </c>
      <c r="W469" s="78">
        <f t="shared" ca="1" si="186"/>
        <v>0</v>
      </c>
      <c r="X469" s="78">
        <f>IFERROR(IF(OR(T469=0, U469&gt;=Refi_Origination_Date),0, PPMT(Mezz_I_Adj,'Loan Amort Table'!T469,Mezz_Amort_Periods,Mezz_Orig_Loan_Amount)),0)</f>
        <v>0</v>
      </c>
      <c r="Y469" s="78" cm="1">
        <f t="array" aca="1" ref="Y469" ca="1">IFERROR(_xlfn.IFS(U469&gt;=Refi_Origination_Date,0, Mezz_Amort = 0, -V469 * Mezz_I_Adj, 1, IPMT(Mezz_I_Adj,IF(T469 = 0, 1, T469),Mezz_Amort_Periods,Mezz_Orig_Loan_Amount)),0)</f>
        <v>0</v>
      </c>
      <c r="Z469" s="78">
        <f t="shared" si="187"/>
        <v>0</v>
      </c>
      <c r="AB469">
        <f t="shared" si="173"/>
        <v>39</v>
      </c>
      <c r="AC469">
        <f t="shared" si="182"/>
        <v>464</v>
      </c>
      <c r="AD469" s="49">
        <f t="shared" si="188"/>
        <v>14093</v>
      </c>
      <c r="AE469" s="78">
        <f t="shared" si="183"/>
        <v>0</v>
      </c>
      <c r="AF469" s="78">
        <f t="shared" ca="1" si="189"/>
        <v>0</v>
      </c>
      <c r="AG469" s="78">
        <f ca="1">IFERROR(IF(AC469=0,0, PPMT(Refi_I_Adj,'Loan Amort Table'!AC469,Refi_Amort_Periods,Refi_Orig_Loan_Amount)),0)</f>
        <v>0</v>
      </c>
      <c r="AH469" s="78">
        <f t="shared" ca="1" si="174"/>
        <v>0</v>
      </c>
      <c r="AI469" s="78">
        <f t="shared" ca="1" si="190"/>
        <v>0</v>
      </c>
    </row>
    <row r="470" spans="1:35" x14ac:dyDescent="0.25">
      <c r="A470">
        <f t="shared" si="170"/>
        <v>39</v>
      </c>
      <c r="B470">
        <f t="shared" si="175"/>
        <v>465</v>
      </c>
      <c r="C470" s="49">
        <f t="shared" si="169"/>
        <v>14124</v>
      </c>
      <c r="D470" s="78">
        <f>IF(C470&gt;EDATE(DATE(YEAR(SED_Origination_Date)+ SED_Amort, MONTH(SED_Origination_Date), DAY(SED_Origination_Date)),SED_Interest_Only),0,H469)</f>
        <v>0</v>
      </c>
      <c r="E470" s="78">
        <f t="shared" si="176"/>
        <v>0</v>
      </c>
      <c r="F470" s="78">
        <f>IFERROR(IF(OR(B470=0, C470&gt;=Refi_Origination_Date),0, PPMT(SED_I_Adj,'Loan Amort Table'!B470,SED_Amort_Periods,SED_Orig_Loan_Amount)),0)</f>
        <v>0</v>
      </c>
      <c r="G470" s="78" cm="1">
        <f t="array" ref="G470">IFERROR(_xlfn.IFS(C470&gt;=Refi_Origination_Date, 0, SED_Amort = 0, -D470 * SED_I_Adj, 1, IPMT(SED_I_Adj,IF(B470 = 0, 1, B470),SED_Amort_Periods,SED_Orig_Loan_Amount)),0)</f>
        <v>0</v>
      </c>
      <c r="H470" s="78">
        <f t="shared" si="191"/>
        <v>0</v>
      </c>
      <c r="J470">
        <f t="shared" si="171"/>
        <v>39</v>
      </c>
      <c r="K470">
        <f t="shared" si="177"/>
        <v>465</v>
      </c>
      <c r="L470" s="49">
        <f t="shared" si="184"/>
        <v>14124</v>
      </c>
      <c r="M470" s="78">
        <f>IF(L470&gt;EDATE(DATE(YEAR(NEW_Origination_Date)+ NEW_Amort, MONTH(NEW_Origination_Date), DAY(NEW_Origination_Date)),NEW_Interest_Only),0,Q469)</f>
        <v>0</v>
      </c>
      <c r="N470" s="78">
        <f t="shared" si="178"/>
        <v>0</v>
      </c>
      <c r="O470" s="78">
        <f>IFERROR(IF(K470=0,0, PPMT(NEW_I_Adj,'Loan Amort Table'!K470,NEW_Amort_Periods,NEW_Orig_Loan_Amount)),0)</f>
        <v>0</v>
      </c>
      <c r="P470" s="78">
        <f>IFERROR(IF(NEW_Amort = 0, -M470* NEW_I_Adj,IPMT(NEW_I_Adj,IF(K470 = 0, 1, K470),NEW_Amort_Periods,NEW_Orig_Loan_Amount)),0)</f>
        <v>0</v>
      </c>
      <c r="Q470" s="78">
        <f t="shared" si="179"/>
        <v>0</v>
      </c>
      <c r="S470">
        <f t="shared" si="172"/>
        <v>39</v>
      </c>
      <c r="T470">
        <f t="shared" si="180"/>
        <v>465</v>
      </c>
      <c r="U470" s="49">
        <f t="shared" si="185"/>
        <v>14124</v>
      </c>
      <c r="V470" s="78">
        <f t="shared" si="181"/>
        <v>0</v>
      </c>
      <c r="W470" s="78">
        <f t="shared" ca="1" si="186"/>
        <v>0</v>
      </c>
      <c r="X470" s="78">
        <f>IFERROR(IF(OR(T470=0, U470&gt;=Refi_Origination_Date),0, PPMT(Mezz_I_Adj,'Loan Amort Table'!T470,Mezz_Amort_Periods,Mezz_Orig_Loan_Amount)),0)</f>
        <v>0</v>
      </c>
      <c r="Y470" s="78" cm="1">
        <f t="array" aca="1" ref="Y470" ca="1">IFERROR(_xlfn.IFS(U470&gt;=Refi_Origination_Date,0, Mezz_Amort = 0, -V470 * Mezz_I_Adj, 1, IPMT(Mezz_I_Adj,IF(T470 = 0, 1, T470),Mezz_Amort_Periods,Mezz_Orig_Loan_Amount)),0)</f>
        <v>0</v>
      </c>
      <c r="Z470" s="78">
        <f t="shared" si="187"/>
        <v>0</v>
      </c>
      <c r="AB470">
        <f t="shared" si="173"/>
        <v>39</v>
      </c>
      <c r="AC470">
        <f t="shared" si="182"/>
        <v>465</v>
      </c>
      <c r="AD470" s="49">
        <f t="shared" si="188"/>
        <v>14124</v>
      </c>
      <c r="AE470" s="78">
        <f t="shared" si="183"/>
        <v>0</v>
      </c>
      <c r="AF470" s="78">
        <f t="shared" ca="1" si="189"/>
        <v>0</v>
      </c>
      <c r="AG470" s="78">
        <f ca="1">IFERROR(IF(AC470=0,0, PPMT(Refi_I_Adj,'Loan Amort Table'!AC470,Refi_Amort_Periods,Refi_Orig_Loan_Amount)),0)</f>
        <v>0</v>
      </c>
      <c r="AH470" s="78">
        <f t="shared" ca="1" si="174"/>
        <v>0</v>
      </c>
      <c r="AI470" s="78">
        <f t="shared" ca="1" si="190"/>
        <v>0</v>
      </c>
    </row>
    <row r="471" spans="1:35" x14ac:dyDescent="0.25">
      <c r="A471">
        <f t="shared" si="170"/>
        <v>39</v>
      </c>
      <c r="B471">
        <f t="shared" si="175"/>
        <v>466</v>
      </c>
      <c r="C471" s="49">
        <f t="shared" si="169"/>
        <v>14154</v>
      </c>
      <c r="D471" s="78">
        <f>IF(C471&gt;EDATE(DATE(YEAR(SED_Origination_Date)+ SED_Amort, MONTH(SED_Origination_Date), DAY(SED_Origination_Date)),SED_Interest_Only),0,H470)</f>
        <v>0</v>
      </c>
      <c r="E471" s="78">
        <f t="shared" si="176"/>
        <v>0</v>
      </c>
      <c r="F471" s="78">
        <f>IFERROR(IF(OR(B471=0, C471&gt;=Refi_Origination_Date),0, PPMT(SED_I_Adj,'Loan Amort Table'!B471,SED_Amort_Periods,SED_Orig_Loan_Amount)),0)</f>
        <v>0</v>
      </c>
      <c r="G471" s="78" cm="1">
        <f t="array" ref="G471">IFERROR(_xlfn.IFS(C471&gt;=Refi_Origination_Date, 0, SED_Amort = 0, -D471 * SED_I_Adj, 1, IPMT(SED_I_Adj,IF(B471 = 0, 1, B471),SED_Amort_Periods,SED_Orig_Loan_Amount)),0)</f>
        <v>0</v>
      </c>
      <c r="H471" s="78">
        <f t="shared" si="191"/>
        <v>0</v>
      </c>
      <c r="J471">
        <f t="shared" si="171"/>
        <v>39</v>
      </c>
      <c r="K471">
        <f t="shared" si="177"/>
        <v>466</v>
      </c>
      <c r="L471" s="49">
        <f t="shared" si="184"/>
        <v>14154</v>
      </c>
      <c r="M471" s="78">
        <f>IF(L471&gt;EDATE(DATE(YEAR(NEW_Origination_Date)+ NEW_Amort, MONTH(NEW_Origination_Date), DAY(NEW_Origination_Date)),NEW_Interest_Only),0,Q470)</f>
        <v>0</v>
      </c>
      <c r="N471" s="78">
        <f t="shared" si="178"/>
        <v>0</v>
      </c>
      <c r="O471" s="78">
        <f>IFERROR(IF(K471=0,0, PPMT(NEW_I_Adj,'Loan Amort Table'!K471,NEW_Amort_Periods,NEW_Orig_Loan_Amount)),0)</f>
        <v>0</v>
      </c>
      <c r="P471" s="78">
        <f>IFERROR(IF(NEW_Amort = 0, -M471* NEW_I_Adj,IPMT(NEW_I_Adj,IF(K471 = 0, 1, K471),NEW_Amort_Periods,NEW_Orig_Loan_Amount)),0)</f>
        <v>0</v>
      </c>
      <c r="Q471" s="78">
        <f t="shared" si="179"/>
        <v>0</v>
      </c>
      <c r="S471">
        <f t="shared" si="172"/>
        <v>39</v>
      </c>
      <c r="T471">
        <f t="shared" si="180"/>
        <v>466</v>
      </c>
      <c r="U471" s="49">
        <f t="shared" si="185"/>
        <v>14154</v>
      </c>
      <c r="V471" s="78">
        <f t="shared" si="181"/>
        <v>0</v>
      </c>
      <c r="W471" s="78">
        <f t="shared" ca="1" si="186"/>
        <v>0</v>
      </c>
      <c r="X471" s="78">
        <f>IFERROR(IF(OR(T471=0, U471&gt;=Refi_Origination_Date),0, PPMT(Mezz_I_Adj,'Loan Amort Table'!T471,Mezz_Amort_Periods,Mezz_Orig_Loan_Amount)),0)</f>
        <v>0</v>
      </c>
      <c r="Y471" s="78" cm="1">
        <f t="array" aca="1" ref="Y471" ca="1">IFERROR(_xlfn.IFS(U471&gt;=Refi_Origination_Date,0, Mezz_Amort = 0, -V471 * Mezz_I_Adj, 1, IPMT(Mezz_I_Adj,IF(T471 = 0, 1, T471),Mezz_Amort_Periods,Mezz_Orig_Loan_Amount)),0)</f>
        <v>0</v>
      </c>
      <c r="Z471" s="78">
        <f t="shared" si="187"/>
        <v>0</v>
      </c>
      <c r="AB471">
        <f t="shared" si="173"/>
        <v>39</v>
      </c>
      <c r="AC471">
        <f t="shared" si="182"/>
        <v>466</v>
      </c>
      <c r="AD471" s="49">
        <f t="shared" si="188"/>
        <v>14154</v>
      </c>
      <c r="AE471" s="78">
        <f t="shared" si="183"/>
        <v>0</v>
      </c>
      <c r="AF471" s="78">
        <f t="shared" ca="1" si="189"/>
        <v>0</v>
      </c>
      <c r="AG471" s="78">
        <f ca="1">IFERROR(IF(AC471=0,0, PPMT(Refi_I_Adj,'Loan Amort Table'!AC471,Refi_Amort_Periods,Refi_Orig_Loan_Amount)),0)</f>
        <v>0</v>
      </c>
      <c r="AH471" s="78">
        <f t="shared" ca="1" si="174"/>
        <v>0</v>
      </c>
      <c r="AI471" s="78">
        <f t="shared" ca="1" si="190"/>
        <v>0</v>
      </c>
    </row>
    <row r="472" spans="1:35" x14ac:dyDescent="0.25">
      <c r="A472">
        <f t="shared" si="170"/>
        <v>39</v>
      </c>
      <c r="B472">
        <f t="shared" si="175"/>
        <v>467</v>
      </c>
      <c r="C472" s="49">
        <f t="shared" si="169"/>
        <v>14185</v>
      </c>
      <c r="D472" s="78">
        <f>IF(C472&gt;EDATE(DATE(YEAR(SED_Origination_Date)+ SED_Amort, MONTH(SED_Origination_Date), DAY(SED_Origination_Date)),SED_Interest_Only),0,H471)</f>
        <v>0</v>
      </c>
      <c r="E472" s="78">
        <f t="shared" si="176"/>
        <v>0</v>
      </c>
      <c r="F472" s="78">
        <f>IFERROR(IF(OR(B472=0, C472&gt;=Refi_Origination_Date),0, PPMT(SED_I_Adj,'Loan Amort Table'!B472,SED_Amort_Periods,SED_Orig_Loan_Amount)),0)</f>
        <v>0</v>
      </c>
      <c r="G472" s="78" cm="1">
        <f t="array" ref="G472">IFERROR(_xlfn.IFS(C472&gt;=Refi_Origination_Date, 0, SED_Amort = 0, -D472 * SED_I_Adj, 1, IPMT(SED_I_Adj,IF(B472 = 0, 1, B472),SED_Amort_Periods,SED_Orig_Loan_Amount)),0)</f>
        <v>0</v>
      </c>
      <c r="H472" s="78">
        <f t="shared" si="191"/>
        <v>0</v>
      </c>
      <c r="J472">
        <f t="shared" si="171"/>
        <v>39</v>
      </c>
      <c r="K472">
        <f t="shared" si="177"/>
        <v>467</v>
      </c>
      <c r="L472" s="49">
        <f t="shared" si="184"/>
        <v>14185</v>
      </c>
      <c r="M472" s="78">
        <f>IF(L472&gt;EDATE(DATE(YEAR(NEW_Origination_Date)+ NEW_Amort, MONTH(NEW_Origination_Date), DAY(NEW_Origination_Date)),NEW_Interest_Only),0,Q471)</f>
        <v>0</v>
      </c>
      <c r="N472" s="78">
        <f t="shared" si="178"/>
        <v>0</v>
      </c>
      <c r="O472" s="78">
        <f>IFERROR(IF(K472=0,0, PPMT(NEW_I_Adj,'Loan Amort Table'!K472,NEW_Amort_Periods,NEW_Orig_Loan_Amount)),0)</f>
        <v>0</v>
      </c>
      <c r="P472" s="78">
        <f>IFERROR(IF(NEW_Amort = 0, -M472* NEW_I_Adj,IPMT(NEW_I_Adj,IF(K472 = 0, 1, K472),NEW_Amort_Periods,NEW_Orig_Loan_Amount)),0)</f>
        <v>0</v>
      </c>
      <c r="Q472" s="78">
        <f t="shared" si="179"/>
        <v>0</v>
      </c>
      <c r="S472">
        <f t="shared" si="172"/>
        <v>39</v>
      </c>
      <c r="T472">
        <f t="shared" si="180"/>
        <v>467</v>
      </c>
      <c r="U472" s="49">
        <f t="shared" si="185"/>
        <v>14185</v>
      </c>
      <c r="V472" s="78">
        <f t="shared" si="181"/>
        <v>0</v>
      </c>
      <c r="W472" s="78">
        <f t="shared" ca="1" si="186"/>
        <v>0</v>
      </c>
      <c r="X472" s="78">
        <f>IFERROR(IF(OR(T472=0, U472&gt;=Refi_Origination_Date),0, PPMT(Mezz_I_Adj,'Loan Amort Table'!T472,Mezz_Amort_Periods,Mezz_Orig_Loan_Amount)),0)</f>
        <v>0</v>
      </c>
      <c r="Y472" s="78" cm="1">
        <f t="array" aca="1" ref="Y472" ca="1">IFERROR(_xlfn.IFS(U472&gt;=Refi_Origination_Date,0, Mezz_Amort = 0, -V472 * Mezz_I_Adj, 1, IPMT(Mezz_I_Adj,IF(T472 = 0, 1, T472),Mezz_Amort_Periods,Mezz_Orig_Loan_Amount)),0)</f>
        <v>0</v>
      </c>
      <c r="Z472" s="78">
        <f t="shared" si="187"/>
        <v>0</v>
      </c>
      <c r="AB472">
        <f t="shared" si="173"/>
        <v>39</v>
      </c>
      <c r="AC472">
        <f t="shared" si="182"/>
        <v>467</v>
      </c>
      <c r="AD472" s="49">
        <f t="shared" si="188"/>
        <v>14185</v>
      </c>
      <c r="AE472" s="78">
        <f t="shared" si="183"/>
        <v>0</v>
      </c>
      <c r="AF472" s="78">
        <f t="shared" ca="1" si="189"/>
        <v>0</v>
      </c>
      <c r="AG472" s="78">
        <f ca="1">IFERROR(IF(AC472=0,0, PPMT(Refi_I_Adj,'Loan Amort Table'!AC472,Refi_Amort_Periods,Refi_Orig_Loan_Amount)),0)</f>
        <v>0</v>
      </c>
      <c r="AH472" s="78">
        <f t="shared" ca="1" si="174"/>
        <v>0</v>
      </c>
      <c r="AI472" s="78">
        <f t="shared" ca="1" si="190"/>
        <v>0</v>
      </c>
    </row>
    <row r="473" spans="1:35" x14ac:dyDescent="0.25">
      <c r="A473">
        <f t="shared" si="170"/>
        <v>39</v>
      </c>
      <c r="B473">
        <f t="shared" si="175"/>
        <v>468</v>
      </c>
      <c r="C473" s="49">
        <f t="shared" si="169"/>
        <v>14215</v>
      </c>
      <c r="D473" s="78">
        <f>IF(C473&gt;EDATE(DATE(YEAR(SED_Origination_Date)+ SED_Amort, MONTH(SED_Origination_Date), DAY(SED_Origination_Date)),SED_Interest_Only),0,H472)</f>
        <v>0</v>
      </c>
      <c r="E473" s="78">
        <f t="shared" si="176"/>
        <v>0</v>
      </c>
      <c r="F473" s="78">
        <f>IFERROR(IF(OR(B473=0, C473&gt;=Refi_Origination_Date),0, PPMT(SED_I_Adj,'Loan Amort Table'!B473,SED_Amort_Periods,SED_Orig_Loan_Amount)),0)</f>
        <v>0</v>
      </c>
      <c r="G473" s="78" cm="1">
        <f t="array" ref="G473">IFERROR(_xlfn.IFS(C473&gt;=Refi_Origination_Date, 0, SED_Amort = 0, -D473 * SED_I_Adj, 1, IPMT(SED_I_Adj,IF(B473 = 0, 1, B473),SED_Amort_Periods,SED_Orig_Loan_Amount)),0)</f>
        <v>0</v>
      </c>
      <c r="H473" s="78">
        <f t="shared" si="191"/>
        <v>0</v>
      </c>
      <c r="J473">
        <f t="shared" si="171"/>
        <v>39</v>
      </c>
      <c r="K473">
        <f t="shared" si="177"/>
        <v>468</v>
      </c>
      <c r="L473" s="49">
        <f t="shared" si="184"/>
        <v>14215</v>
      </c>
      <c r="M473" s="78">
        <f>IF(L473&gt;EDATE(DATE(YEAR(NEW_Origination_Date)+ NEW_Amort, MONTH(NEW_Origination_Date), DAY(NEW_Origination_Date)),NEW_Interest_Only),0,Q472)</f>
        <v>0</v>
      </c>
      <c r="N473" s="78">
        <f t="shared" si="178"/>
        <v>0</v>
      </c>
      <c r="O473" s="78">
        <f>IFERROR(IF(K473=0,0, PPMT(NEW_I_Adj,'Loan Amort Table'!K473,NEW_Amort_Periods,NEW_Orig_Loan_Amount)),0)</f>
        <v>0</v>
      </c>
      <c r="P473" s="78">
        <f>IFERROR(IF(NEW_Amort = 0, -M473* NEW_I_Adj,IPMT(NEW_I_Adj,IF(K473 = 0, 1, K473),NEW_Amort_Periods,NEW_Orig_Loan_Amount)),0)</f>
        <v>0</v>
      </c>
      <c r="Q473" s="78">
        <f t="shared" si="179"/>
        <v>0</v>
      </c>
      <c r="S473">
        <f t="shared" si="172"/>
        <v>39</v>
      </c>
      <c r="T473">
        <f t="shared" si="180"/>
        <v>468</v>
      </c>
      <c r="U473" s="49">
        <f t="shared" si="185"/>
        <v>14215</v>
      </c>
      <c r="V473" s="78">
        <f t="shared" si="181"/>
        <v>0</v>
      </c>
      <c r="W473" s="78">
        <f t="shared" ca="1" si="186"/>
        <v>0</v>
      </c>
      <c r="X473" s="78">
        <f>IFERROR(IF(OR(T473=0, U473&gt;=Refi_Origination_Date),0, PPMT(Mezz_I_Adj,'Loan Amort Table'!T473,Mezz_Amort_Periods,Mezz_Orig_Loan_Amount)),0)</f>
        <v>0</v>
      </c>
      <c r="Y473" s="78" cm="1">
        <f t="array" aca="1" ref="Y473" ca="1">IFERROR(_xlfn.IFS(U473&gt;=Refi_Origination_Date,0, Mezz_Amort = 0, -V473 * Mezz_I_Adj, 1, IPMT(Mezz_I_Adj,IF(T473 = 0, 1, T473),Mezz_Amort_Periods,Mezz_Orig_Loan_Amount)),0)</f>
        <v>0</v>
      </c>
      <c r="Z473" s="78">
        <f t="shared" si="187"/>
        <v>0</v>
      </c>
      <c r="AB473">
        <f t="shared" si="173"/>
        <v>39</v>
      </c>
      <c r="AC473">
        <f t="shared" si="182"/>
        <v>468</v>
      </c>
      <c r="AD473" s="49">
        <f t="shared" si="188"/>
        <v>14215</v>
      </c>
      <c r="AE473" s="78">
        <f t="shared" si="183"/>
        <v>0</v>
      </c>
      <c r="AF473" s="78">
        <f t="shared" ca="1" si="189"/>
        <v>0</v>
      </c>
      <c r="AG473" s="78">
        <f ca="1">IFERROR(IF(AC473=0,0, PPMT(Refi_I_Adj,'Loan Amort Table'!AC473,Refi_Amort_Periods,Refi_Orig_Loan_Amount)),0)</f>
        <v>0</v>
      </c>
      <c r="AH473" s="78">
        <f t="shared" ca="1" si="174"/>
        <v>0</v>
      </c>
      <c r="AI473" s="78">
        <f t="shared" ca="1" si="190"/>
        <v>0</v>
      </c>
    </row>
    <row r="474" spans="1:35" x14ac:dyDescent="0.25">
      <c r="A474">
        <f t="shared" si="170"/>
        <v>40</v>
      </c>
      <c r="B474">
        <f t="shared" si="175"/>
        <v>469</v>
      </c>
      <c r="C474" s="49">
        <f t="shared" si="169"/>
        <v>14246</v>
      </c>
      <c r="D474" s="78">
        <f>IF(C474&gt;EDATE(DATE(YEAR(SED_Origination_Date)+ SED_Amort, MONTH(SED_Origination_Date), DAY(SED_Origination_Date)),SED_Interest_Only),0,H473)</f>
        <v>0</v>
      </c>
      <c r="E474" s="78">
        <f t="shared" si="176"/>
        <v>0</v>
      </c>
      <c r="F474" s="78">
        <f>IFERROR(IF(OR(B474=0, C474&gt;=Refi_Origination_Date),0, PPMT(SED_I_Adj,'Loan Amort Table'!B474,SED_Amort_Periods,SED_Orig_Loan_Amount)),0)</f>
        <v>0</v>
      </c>
      <c r="G474" s="78" cm="1">
        <f t="array" ref="G474">IFERROR(_xlfn.IFS(C474&gt;=Refi_Origination_Date, 0, SED_Amort = 0, -D474 * SED_I_Adj, 1, IPMT(SED_I_Adj,IF(B474 = 0, 1, B474),SED_Amort_Periods,SED_Orig_Loan_Amount)),0)</f>
        <v>0</v>
      </c>
      <c r="H474" s="78">
        <f t="shared" si="191"/>
        <v>0</v>
      </c>
      <c r="J474">
        <f t="shared" si="171"/>
        <v>40</v>
      </c>
      <c r="K474">
        <f t="shared" si="177"/>
        <v>469</v>
      </c>
      <c r="L474" s="49">
        <f t="shared" si="184"/>
        <v>14246</v>
      </c>
      <c r="M474" s="78">
        <f>IF(L474&gt;EDATE(DATE(YEAR(NEW_Origination_Date)+ NEW_Amort, MONTH(NEW_Origination_Date), DAY(NEW_Origination_Date)),NEW_Interest_Only),0,Q473)</f>
        <v>0</v>
      </c>
      <c r="N474" s="78">
        <f t="shared" si="178"/>
        <v>0</v>
      </c>
      <c r="O474" s="78">
        <f>IFERROR(IF(K474=0,0, PPMT(NEW_I_Adj,'Loan Amort Table'!K474,NEW_Amort_Periods,NEW_Orig_Loan_Amount)),0)</f>
        <v>0</v>
      </c>
      <c r="P474" s="78">
        <f>IFERROR(IF(NEW_Amort = 0, -M474* NEW_I_Adj,IPMT(NEW_I_Adj,IF(K474 = 0, 1, K474),NEW_Amort_Periods,NEW_Orig_Loan_Amount)),0)</f>
        <v>0</v>
      </c>
      <c r="Q474" s="78">
        <f t="shared" si="179"/>
        <v>0</v>
      </c>
      <c r="S474">
        <f t="shared" si="172"/>
        <v>40</v>
      </c>
      <c r="T474">
        <f t="shared" si="180"/>
        <v>469</v>
      </c>
      <c r="U474" s="49">
        <f t="shared" si="185"/>
        <v>14246</v>
      </c>
      <c r="V474" s="78">
        <f t="shared" si="181"/>
        <v>0</v>
      </c>
      <c r="W474" s="78">
        <f t="shared" ca="1" si="186"/>
        <v>0</v>
      </c>
      <c r="X474" s="78">
        <f>IFERROR(IF(OR(T474=0, U474&gt;=Refi_Origination_Date),0, PPMT(Mezz_I_Adj,'Loan Amort Table'!T474,Mezz_Amort_Periods,Mezz_Orig_Loan_Amount)),0)</f>
        <v>0</v>
      </c>
      <c r="Y474" s="78" cm="1">
        <f t="array" aca="1" ref="Y474" ca="1">IFERROR(_xlfn.IFS(U474&gt;=Refi_Origination_Date,0, Mezz_Amort = 0, -V474 * Mezz_I_Adj, 1, IPMT(Mezz_I_Adj,IF(T474 = 0, 1, T474),Mezz_Amort_Periods,Mezz_Orig_Loan_Amount)),0)</f>
        <v>0</v>
      </c>
      <c r="Z474" s="78">
        <f t="shared" si="187"/>
        <v>0</v>
      </c>
      <c r="AB474">
        <f t="shared" si="173"/>
        <v>40</v>
      </c>
      <c r="AC474">
        <f t="shared" si="182"/>
        <v>469</v>
      </c>
      <c r="AD474" s="49">
        <f t="shared" si="188"/>
        <v>14246</v>
      </c>
      <c r="AE474" s="78">
        <f t="shared" si="183"/>
        <v>0</v>
      </c>
      <c r="AF474" s="78">
        <f t="shared" ca="1" si="189"/>
        <v>0</v>
      </c>
      <c r="AG474" s="78">
        <f ca="1">IFERROR(IF(AC474=0,0, PPMT(Refi_I_Adj,'Loan Amort Table'!AC474,Refi_Amort_Periods,Refi_Orig_Loan_Amount)),0)</f>
        <v>0</v>
      </c>
      <c r="AH474" s="78">
        <f t="shared" ca="1" si="174"/>
        <v>0</v>
      </c>
      <c r="AI474" s="78">
        <f t="shared" ca="1" si="190"/>
        <v>0</v>
      </c>
    </row>
    <row r="475" spans="1:35" x14ac:dyDescent="0.25">
      <c r="A475">
        <f t="shared" si="170"/>
        <v>40</v>
      </c>
      <c r="B475">
        <f t="shared" si="175"/>
        <v>470</v>
      </c>
      <c r="C475" s="49">
        <f t="shared" si="169"/>
        <v>14277</v>
      </c>
      <c r="D475" s="78">
        <f>IF(C475&gt;EDATE(DATE(YEAR(SED_Origination_Date)+ SED_Amort, MONTH(SED_Origination_Date), DAY(SED_Origination_Date)),SED_Interest_Only),0,H474)</f>
        <v>0</v>
      </c>
      <c r="E475" s="78">
        <f t="shared" si="176"/>
        <v>0</v>
      </c>
      <c r="F475" s="78">
        <f>IFERROR(IF(OR(B475=0, C475&gt;=Refi_Origination_Date),0, PPMT(SED_I_Adj,'Loan Amort Table'!B475,SED_Amort_Periods,SED_Orig_Loan_Amount)),0)</f>
        <v>0</v>
      </c>
      <c r="G475" s="78" cm="1">
        <f t="array" ref="G475">IFERROR(_xlfn.IFS(C475&gt;=Refi_Origination_Date, 0, SED_Amort = 0, -D475 * SED_I_Adj, 1, IPMT(SED_I_Adj,IF(B475 = 0, 1, B475),SED_Amort_Periods,SED_Orig_Loan_Amount)),0)</f>
        <v>0</v>
      </c>
      <c r="H475" s="78">
        <f t="shared" si="191"/>
        <v>0</v>
      </c>
      <c r="J475">
        <f t="shared" si="171"/>
        <v>40</v>
      </c>
      <c r="K475">
        <f t="shared" si="177"/>
        <v>470</v>
      </c>
      <c r="L475" s="49">
        <f t="shared" si="184"/>
        <v>14277</v>
      </c>
      <c r="M475" s="78">
        <f>IF(L475&gt;EDATE(DATE(YEAR(NEW_Origination_Date)+ NEW_Amort, MONTH(NEW_Origination_Date), DAY(NEW_Origination_Date)),NEW_Interest_Only),0,Q474)</f>
        <v>0</v>
      </c>
      <c r="N475" s="78">
        <f t="shared" si="178"/>
        <v>0</v>
      </c>
      <c r="O475" s="78">
        <f>IFERROR(IF(K475=0,0, PPMT(NEW_I_Adj,'Loan Amort Table'!K475,NEW_Amort_Periods,NEW_Orig_Loan_Amount)),0)</f>
        <v>0</v>
      </c>
      <c r="P475" s="78">
        <f>IFERROR(IF(NEW_Amort = 0, -M475* NEW_I_Adj,IPMT(NEW_I_Adj,IF(K475 = 0, 1, K475),NEW_Amort_Periods,NEW_Orig_Loan_Amount)),0)</f>
        <v>0</v>
      </c>
      <c r="Q475" s="78">
        <f t="shared" si="179"/>
        <v>0</v>
      </c>
      <c r="S475">
        <f t="shared" si="172"/>
        <v>40</v>
      </c>
      <c r="T475">
        <f t="shared" si="180"/>
        <v>470</v>
      </c>
      <c r="U475" s="49">
        <f t="shared" si="185"/>
        <v>14277</v>
      </c>
      <c r="V475" s="78">
        <f t="shared" si="181"/>
        <v>0</v>
      </c>
      <c r="W475" s="78">
        <f t="shared" ca="1" si="186"/>
        <v>0</v>
      </c>
      <c r="X475" s="78">
        <f>IFERROR(IF(OR(T475=0, U475&gt;=Refi_Origination_Date),0, PPMT(Mezz_I_Adj,'Loan Amort Table'!T475,Mezz_Amort_Periods,Mezz_Orig_Loan_Amount)),0)</f>
        <v>0</v>
      </c>
      <c r="Y475" s="78" cm="1">
        <f t="array" aca="1" ref="Y475" ca="1">IFERROR(_xlfn.IFS(U475&gt;=Refi_Origination_Date,0, Mezz_Amort = 0, -V475 * Mezz_I_Adj, 1, IPMT(Mezz_I_Adj,IF(T475 = 0, 1, T475),Mezz_Amort_Periods,Mezz_Orig_Loan_Amount)),0)</f>
        <v>0</v>
      </c>
      <c r="Z475" s="78">
        <f t="shared" si="187"/>
        <v>0</v>
      </c>
      <c r="AB475">
        <f t="shared" si="173"/>
        <v>40</v>
      </c>
      <c r="AC475">
        <f t="shared" si="182"/>
        <v>470</v>
      </c>
      <c r="AD475" s="49">
        <f t="shared" si="188"/>
        <v>14277</v>
      </c>
      <c r="AE475" s="78">
        <f t="shared" si="183"/>
        <v>0</v>
      </c>
      <c r="AF475" s="78">
        <f t="shared" ca="1" si="189"/>
        <v>0</v>
      </c>
      <c r="AG475" s="78">
        <f ca="1">IFERROR(IF(AC475=0,0, PPMT(Refi_I_Adj,'Loan Amort Table'!AC475,Refi_Amort_Periods,Refi_Orig_Loan_Amount)),0)</f>
        <v>0</v>
      </c>
      <c r="AH475" s="78">
        <f t="shared" ca="1" si="174"/>
        <v>0</v>
      </c>
      <c r="AI475" s="78">
        <f t="shared" ca="1" si="190"/>
        <v>0</v>
      </c>
    </row>
    <row r="476" spans="1:35" x14ac:dyDescent="0.25">
      <c r="A476">
        <f t="shared" si="170"/>
        <v>40</v>
      </c>
      <c r="B476">
        <f t="shared" si="175"/>
        <v>471</v>
      </c>
      <c r="C476" s="49">
        <f t="shared" si="169"/>
        <v>14305</v>
      </c>
      <c r="D476" s="78">
        <f>IF(C476&gt;EDATE(DATE(YEAR(SED_Origination_Date)+ SED_Amort, MONTH(SED_Origination_Date), DAY(SED_Origination_Date)),SED_Interest_Only),0,H475)</f>
        <v>0</v>
      </c>
      <c r="E476" s="78">
        <f t="shared" si="176"/>
        <v>0</v>
      </c>
      <c r="F476" s="78">
        <f>IFERROR(IF(OR(B476=0, C476&gt;=Refi_Origination_Date),0, PPMT(SED_I_Adj,'Loan Amort Table'!B476,SED_Amort_Periods,SED_Orig_Loan_Amount)),0)</f>
        <v>0</v>
      </c>
      <c r="G476" s="78" cm="1">
        <f t="array" ref="G476">IFERROR(_xlfn.IFS(C476&gt;=Refi_Origination_Date, 0, SED_Amort = 0, -D476 * SED_I_Adj, 1, IPMT(SED_I_Adj,IF(B476 = 0, 1, B476),SED_Amort_Periods,SED_Orig_Loan_Amount)),0)</f>
        <v>0</v>
      </c>
      <c r="H476" s="78">
        <f t="shared" si="191"/>
        <v>0</v>
      </c>
      <c r="J476">
        <f t="shared" si="171"/>
        <v>40</v>
      </c>
      <c r="K476">
        <f t="shared" si="177"/>
        <v>471</v>
      </c>
      <c r="L476" s="49">
        <f t="shared" si="184"/>
        <v>14305</v>
      </c>
      <c r="M476" s="78">
        <f>IF(L476&gt;EDATE(DATE(YEAR(NEW_Origination_Date)+ NEW_Amort, MONTH(NEW_Origination_Date), DAY(NEW_Origination_Date)),NEW_Interest_Only),0,Q475)</f>
        <v>0</v>
      </c>
      <c r="N476" s="78">
        <f t="shared" si="178"/>
        <v>0</v>
      </c>
      <c r="O476" s="78">
        <f>IFERROR(IF(K476=0,0, PPMT(NEW_I_Adj,'Loan Amort Table'!K476,NEW_Amort_Periods,NEW_Orig_Loan_Amount)),0)</f>
        <v>0</v>
      </c>
      <c r="P476" s="78">
        <f>IFERROR(IF(NEW_Amort = 0, -M476* NEW_I_Adj,IPMT(NEW_I_Adj,IF(K476 = 0, 1, K476),NEW_Amort_Periods,NEW_Orig_Loan_Amount)),0)</f>
        <v>0</v>
      </c>
      <c r="Q476" s="78">
        <f t="shared" si="179"/>
        <v>0</v>
      </c>
      <c r="S476">
        <f t="shared" si="172"/>
        <v>40</v>
      </c>
      <c r="T476">
        <f t="shared" si="180"/>
        <v>471</v>
      </c>
      <c r="U476" s="49">
        <f t="shared" si="185"/>
        <v>14305</v>
      </c>
      <c r="V476" s="78">
        <f t="shared" si="181"/>
        <v>0</v>
      </c>
      <c r="W476" s="78">
        <f t="shared" ca="1" si="186"/>
        <v>0</v>
      </c>
      <c r="X476" s="78">
        <f>IFERROR(IF(OR(T476=0, U476&gt;=Refi_Origination_Date),0, PPMT(Mezz_I_Adj,'Loan Amort Table'!T476,Mezz_Amort_Periods,Mezz_Orig_Loan_Amount)),0)</f>
        <v>0</v>
      </c>
      <c r="Y476" s="78" cm="1">
        <f t="array" aca="1" ref="Y476" ca="1">IFERROR(_xlfn.IFS(U476&gt;=Refi_Origination_Date,0, Mezz_Amort = 0, -V476 * Mezz_I_Adj, 1, IPMT(Mezz_I_Adj,IF(T476 = 0, 1, T476),Mezz_Amort_Periods,Mezz_Orig_Loan_Amount)),0)</f>
        <v>0</v>
      </c>
      <c r="Z476" s="78">
        <f t="shared" si="187"/>
        <v>0</v>
      </c>
      <c r="AB476">
        <f t="shared" si="173"/>
        <v>40</v>
      </c>
      <c r="AC476">
        <f t="shared" si="182"/>
        <v>471</v>
      </c>
      <c r="AD476" s="49">
        <f t="shared" si="188"/>
        <v>14305</v>
      </c>
      <c r="AE476" s="78">
        <f t="shared" si="183"/>
        <v>0</v>
      </c>
      <c r="AF476" s="78">
        <f t="shared" ca="1" si="189"/>
        <v>0</v>
      </c>
      <c r="AG476" s="78">
        <f ca="1">IFERROR(IF(AC476=0,0, PPMT(Refi_I_Adj,'Loan Amort Table'!AC476,Refi_Amort_Periods,Refi_Orig_Loan_Amount)),0)</f>
        <v>0</v>
      </c>
      <c r="AH476" s="78">
        <f t="shared" ca="1" si="174"/>
        <v>0</v>
      </c>
      <c r="AI476" s="78">
        <f t="shared" ca="1" si="190"/>
        <v>0</v>
      </c>
    </row>
    <row r="477" spans="1:35" x14ac:dyDescent="0.25">
      <c r="A477">
        <f t="shared" si="170"/>
        <v>40</v>
      </c>
      <c r="B477">
        <f t="shared" si="175"/>
        <v>472</v>
      </c>
      <c r="C477" s="49">
        <f t="shared" si="169"/>
        <v>14336</v>
      </c>
      <c r="D477" s="78">
        <f>IF(C477&gt;EDATE(DATE(YEAR(SED_Origination_Date)+ SED_Amort, MONTH(SED_Origination_Date), DAY(SED_Origination_Date)),SED_Interest_Only),0,H476)</f>
        <v>0</v>
      </c>
      <c r="E477" s="78">
        <f t="shared" si="176"/>
        <v>0</v>
      </c>
      <c r="F477" s="78">
        <f>IFERROR(IF(OR(B477=0, C477&gt;=Refi_Origination_Date),0, PPMT(SED_I_Adj,'Loan Amort Table'!B477,SED_Amort_Periods,SED_Orig_Loan_Amount)),0)</f>
        <v>0</v>
      </c>
      <c r="G477" s="78" cm="1">
        <f t="array" ref="G477">IFERROR(_xlfn.IFS(C477&gt;=Refi_Origination_Date, 0, SED_Amort = 0, -D477 * SED_I_Adj, 1, IPMT(SED_I_Adj,IF(B477 = 0, 1, B477),SED_Amort_Periods,SED_Orig_Loan_Amount)),0)</f>
        <v>0</v>
      </c>
      <c r="H477" s="78">
        <f t="shared" si="191"/>
        <v>0</v>
      </c>
      <c r="J477">
        <f t="shared" si="171"/>
        <v>40</v>
      </c>
      <c r="K477">
        <f t="shared" si="177"/>
        <v>472</v>
      </c>
      <c r="L477" s="49">
        <f t="shared" si="184"/>
        <v>14336</v>
      </c>
      <c r="M477" s="78">
        <f>IF(L477&gt;EDATE(DATE(YEAR(NEW_Origination_Date)+ NEW_Amort, MONTH(NEW_Origination_Date), DAY(NEW_Origination_Date)),NEW_Interest_Only),0,Q476)</f>
        <v>0</v>
      </c>
      <c r="N477" s="78">
        <f t="shared" si="178"/>
        <v>0</v>
      </c>
      <c r="O477" s="78">
        <f>IFERROR(IF(K477=0,0, PPMT(NEW_I_Adj,'Loan Amort Table'!K477,NEW_Amort_Periods,NEW_Orig_Loan_Amount)),0)</f>
        <v>0</v>
      </c>
      <c r="P477" s="78">
        <f>IFERROR(IF(NEW_Amort = 0, -M477* NEW_I_Adj,IPMT(NEW_I_Adj,IF(K477 = 0, 1, K477),NEW_Amort_Periods,NEW_Orig_Loan_Amount)),0)</f>
        <v>0</v>
      </c>
      <c r="Q477" s="78">
        <f t="shared" si="179"/>
        <v>0</v>
      </c>
      <c r="S477">
        <f t="shared" si="172"/>
        <v>40</v>
      </c>
      <c r="T477">
        <f t="shared" si="180"/>
        <v>472</v>
      </c>
      <c r="U477" s="49">
        <f t="shared" si="185"/>
        <v>14336</v>
      </c>
      <c r="V477" s="78">
        <f t="shared" si="181"/>
        <v>0</v>
      </c>
      <c r="W477" s="78">
        <f t="shared" ca="1" si="186"/>
        <v>0</v>
      </c>
      <c r="X477" s="78">
        <f>IFERROR(IF(OR(T477=0, U477&gt;=Refi_Origination_Date),0, PPMT(Mezz_I_Adj,'Loan Amort Table'!T477,Mezz_Amort_Periods,Mezz_Orig_Loan_Amount)),0)</f>
        <v>0</v>
      </c>
      <c r="Y477" s="78" cm="1">
        <f t="array" aca="1" ref="Y477" ca="1">IFERROR(_xlfn.IFS(U477&gt;=Refi_Origination_Date,0, Mezz_Amort = 0, -V477 * Mezz_I_Adj, 1, IPMT(Mezz_I_Adj,IF(T477 = 0, 1, T477),Mezz_Amort_Periods,Mezz_Orig_Loan_Amount)),0)</f>
        <v>0</v>
      </c>
      <c r="Z477" s="78">
        <f t="shared" si="187"/>
        <v>0</v>
      </c>
      <c r="AB477">
        <f t="shared" si="173"/>
        <v>40</v>
      </c>
      <c r="AC477">
        <f t="shared" si="182"/>
        <v>472</v>
      </c>
      <c r="AD477" s="49">
        <f t="shared" si="188"/>
        <v>14336</v>
      </c>
      <c r="AE477" s="78">
        <f t="shared" si="183"/>
        <v>0</v>
      </c>
      <c r="AF477" s="78">
        <f t="shared" ca="1" si="189"/>
        <v>0</v>
      </c>
      <c r="AG477" s="78">
        <f ca="1">IFERROR(IF(AC477=0,0, PPMT(Refi_I_Adj,'Loan Amort Table'!AC477,Refi_Amort_Periods,Refi_Orig_Loan_Amount)),0)</f>
        <v>0</v>
      </c>
      <c r="AH477" s="78">
        <f t="shared" ca="1" si="174"/>
        <v>0</v>
      </c>
      <c r="AI477" s="78">
        <f t="shared" ca="1" si="190"/>
        <v>0</v>
      </c>
    </row>
    <row r="478" spans="1:35" x14ac:dyDescent="0.25">
      <c r="A478">
        <f t="shared" si="170"/>
        <v>40</v>
      </c>
      <c r="B478">
        <f t="shared" si="175"/>
        <v>473</v>
      </c>
      <c r="C478" s="49">
        <f t="shared" si="169"/>
        <v>14366</v>
      </c>
      <c r="D478" s="78">
        <f>IF(C478&gt;EDATE(DATE(YEAR(SED_Origination_Date)+ SED_Amort, MONTH(SED_Origination_Date), DAY(SED_Origination_Date)),SED_Interest_Only),0,H477)</f>
        <v>0</v>
      </c>
      <c r="E478" s="78">
        <f t="shared" si="176"/>
        <v>0</v>
      </c>
      <c r="F478" s="78">
        <f>IFERROR(IF(OR(B478=0, C478&gt;=Refi_Origination_Date),0, PPMT(SED_I_Adj,'Loan Amort Table'!B478,SED_Amort_Periods,SED_Orig_Loan_Amount)),0)</f>
        <v>0</v>
      </c>
      <c r="G478" s="78" cm="1">
        <f t="array" ref="G478">IFERROR(_xlfn.IFS(C478&gt;=Refi_Origination_Date, 0, SED_Amort = 0, -D478 * SED_I_Adj, 1, IPMT(SED_I_Adj,IF(B478 = 0, 1, B478),SED_Amort_Periods,SED_Orig_Loan_Amount)),0)</f>
        <v>0</v>
      </c>
      <c r="H478" s="78">
        <f t="shared" si="191"/>
        <v>0</v>
      </c>
      <c r="J478">
        <f t="shared" si="171"/>
        <v>40</v>
      </c>
      <c r="K478">
        <f t="shared" si="177"/>
        <v>473</v>
      </c>
      <c r="L478" s="49">
        <f t="shared" si="184"/>
        <v>14366</v>
      </c>
      <c r="M478" s="78">
        <f>IF(L478&gt;EDATE(DATE(YEAR(NEW_Origination_Date)+ NEW_Amort, MONTH(NEW_Origination_Date), DAY(NEW_Origination_Date)),NEW_Interest_Only),0,Q477)</f>
        <v>0</v>
      </c>
      <c r="N478" s="78">
        <f t="shared" si="178"/>
        <v>0</v>
      </c>
      <c r="O478" s="78">
        <f>IFERROR(IF(K478=0,0, PPMT(NEW_I_Adj,'Loan Amort Table'!K478,NEW_Amort_Periods,NEW_Orig_Loan_Amount)),0)</f>
        <v>0</v>
      </c>
      <c r="P478" s="78">
        <f>IFERROR(IF(NEW_Amort = 0, -M478* NEW_I_Adj,IPMT(NEW_I_Adj,IF(K478 = 0, 1, K478),NEW_Amort_Periods,NEW_Orig_Loan_Amount)),0)</f>
        <v>0</v>
      </c>
      <c r="Q478" s="78">
        <f t="shared" si="179"/>
        <v>0</v>
      </c>
      <c r="S478">
        <f t="shared" si="172"/>
        <v>40</v>
      </c>
      <c r="T478">
        <f t="shared" si="180"/>
        <v>473</v>
      </c>
      <c r="U478" s="49">
        <f t="shared" si="185"/>
        <v>14366</v>
      </c>
      <c r="V478" s="78">
        <f t="shared" si="181"/>
        <v>0</v>
      </c>
      <c r="W478" s="78">
        <f t="shared" ca="1" si="186"/>
        <v>0</v>
      </c>
      <c r="X478" s="78">
        <f>IFERROR(IF(OR(T478=0, U478&gt;=Refi_Origination_Date),0, PPMT(Mezz_I_Adj,'Loan Amort Table'!T478,Mezz_Amort_Periods,Mezz_Orig_Loan_Amount)),0)</f>
        <v>0</v>
      </c>
      <c r="Y478" s="78" cm="1">
        <f t="array" aca="1" ref="Y478" ca="1">IFERROR(_xlfn.IFS(U478&gt;=Refi_Origination_Date,0, Mezz_Amort = 0, -V478 * Mezz_I_Adj, 1, IPMT(Mezz_I_Adj,IF(T478 = 0, 1, T478),Mezz_Amort_Periods,Mezz_Orig_Loan_Amount)),0)</f>
        <v>0</v>
      </c>
      <c r="Z478" s="78">
        <f t="shared" si="187"/>
        <v>0</v>
      </c>
      <c r="AB478">
        <f t="shared" si="173"/>
        <v>40</v>
      </c>
      <c r="AC478">
        <f t="shared" si="182"/>
        <v>473</v>
      </c>
      <c r="AD478" s="49">
        <f t="shared" si="188"/>
        <v>14366</v>
      </c>
      <c r="AE478" s="78">
        <f t="shared" si="183"/>
        <v>0</v>
      </c>
      <c r="AF478" s="78">
        <f t="shared" ca="1" si="189"/>
        <v>0</v>
      </c>
      <c r="AG478" s="78">
        <f ca="1">IFERROR(IF(AC478=0,0, PPMT(Refi_I_Adj,'Loan Amort Table'!AC478,Refi_Amort_Periods,Refi_Orig_Loan_Amount)),0)</f>
        <v>0</v>
      </c>
      <c r="AH478" s="78">
        <f t="shared" ca="1" si="174"/>
        <v>0</v>
      </c>
      <c r="AI478" s="78">
        <f t="shared" ca="1" si="190"/>
        <v>0</v>
      </c>
    </row>
    <row r="479" spans="1:35" x14ac:dyDescent="0.25">
      <c r="A479">
        <f t="shared" si="170"/>
        <v>40</v>
      </c>
      <c r="B479">
        <f t="shared" si="175"/>
        <v>474</v>
      </c>
      <c r="C479" s="49">
        <f t="shared" si="169"/>
        <v>14397</v>
      </c>
      <c r="D479" s="78">
        <f>IF(C479&gt;EDATE(DATE(YEAR(SED_Origination_Date)+ SED_Amort, MONTH(SED_Origination_Date), DAY(SED_Origination_Date)),SED_Interest_Only),0,H478)</f>
        <v>0</v>
      </c>
      <c r="E479" s="78">
        <f t="shared" si="176"/>
        <v>0</v>
      </c>
      <c r="F479" s="78">
        <f>IFERROR(IF(OR(B479=0, C479&gt;=Refi_Origination_Date),0, PPMT(SED_I_Adj,'Loan Amort Table'!B479,SED_Amort_Periods,SED_Orig_Loan_Amount)),0)</f>
        <v>0</v>
      </c>
      <c r="G479" s="78" cm="1">
        <f t="array" ref="G479">IFERROR(_xlfn.IFS(C479&gt;=Refi_Origination_Date, 0, SED_Amort = 0, -D479 * SED_I_Adj, 1, IPMT(SED_I_Adj,IF(B479 = 0, 1, B479),SED_Amort_Periods,SED_Orig_Loan_Amount)),0)</f>
        <v>0</v>
      </c>
      <c r="H479" s="78">
        <f t="shared" si="191"/>
        <v>0</v>
      </c>
      <c r="J479">
        <f t="shared" si="171"/>
        <v>40</v>
      </c>
      <c r="K479">
        <f t="shared" si="177"/>
        <v>474</v>
      </c>
      <c r="L479" s="49">
        <f t="shared" si="184"/>
        <v>14397</v>
      </c>
      <c r="M479" s="78">
        <f>IF(L479&gt;EDATE(DATE(YEAR(NEW_Origination_Date)+ NEW_Amort, MONTH(NEW_Origination_Date), DAY(NEW_Origination_Date)),NEW_Interest_Only),0,Q478)</f>
        <v>0</v>
      </c>
      <c r="N479" s="78">
        <f t="shared" si="178"/>
        <v>0</v>
      </c>
      <c r="O479" s="78">
        <f>IFERROR(IF(K479=0,0, PPMT(NEW_I_Adj,'Loan Amort Table'!K479,NEW_Amort_Periods,NEW_Orig_Loan_Amount)),0)</f>
        <v>0</v>
      </c>
      <c r="P479" s="78">
        <f>IFERROR(IF(NEW_Amort = 0, -M479* NEW_I_Adj,IPMT(NEW_I_Adj,IF(K479 = 0, 1, K479),NEW_Amort_Periods,NEW_Orig_Loan_Amount)),0)</f>
        <v>0</v>
      </c>
      <c r="Q479" s="78">
        <f t="shared" si="179"/>
        <v>0</v>
      </c>
      <c r="S479">
        <f t="shared" si="172"/>
        <v>40</v>
      </c>
      <c r="T479">
        <f t="shared" si="180"/>
        <v>474</v>
      </c>
      <c r="U479" s="49">
        <f t="shared" si="185"/>
        <v>14397</v>
      </c>
      <c r="V479" s="78">
        <f t="shared" si="181"/>
        <v>0</v>
      </c>
      <c r="W479" s="78">
        <f t="shared" ca="1" si="186"/>
        <v>0</v>
      </c>
      <c r="X479" s="78">
        <f>IFERROR(IF(OR(T479=0, U479&gt;=Refi_Origination_Date),0, PPMT(Mezz_I_Adj,'Loan Amort Table'!T479,Mezz_Amort_Periods,Mezz_Orig_Loan_Amount)),0)</f>
        <v>0</v>
      </c>
      <c r="Y479" s="78" cm="1">
        <f t="array" aca="1" ref="Y479" ca="1">IFERROR(_xlfn.IFS(U479&gt;=Refi_Origination_Date,0, Mezz_Amort = 0, -V479 * Mezz_I_Adj, 1, IPMT(Mezz_I_Adj,IF(T479 = 0, 1, T479),Mezz_Amort_Periods,Mezz_Orig_Loan_Amount)),0)</f>
        <v>0</v>
      </c>
      <c r="Z479" s="78">
        <f t="shared" si="187"/>
        <v>0</v>
      </c>
      <c r="AB479">
        <f t="shared" si="173"/>
        <v>40</v>
      </c>
      <c r="AC479">
        <f t="shared" si="182"/>
        <v>474</v>
      </c>
      <c r="AD479" s="49">
        <f t="shared" si="188"/>
        <v>14397</v>
      </c>
      <c r="AE479" s="78">
        <f t="shared" si="183"/>
        <v>0</v>
      </c>
      <c r="AF479" s="78">
        <f t="shared" ca="1" si="189"/>
        <v>0</v>
      </c>
      <c r="AG479" s="78">
        <f ca="1">IFERROR(IF(AC479=0,0, PPMT(Refi_I_Adj,'Loan Amort Table'!AC479,Refi_Amort_Periods,Refi_Orig_Loan_Amount)),0)</f>
        <v>0</v>
      </c>
      <c r="AH479" s="78">
        <f t="shared" ca="1" si="174"/>
        <v>0</v>
      </c>
      <c r="AI479" s="78">
        <f t="shared" ca="1" si="190"/>
        <v>0</v>
      </c>
    </row>
    <row r="480" spans="1:35" x14ac:dyDescent="0.25">
      <c r="A480">
        <f t="shared" si="170"/>
        <v>40</v>
      </c>
      <c r="B480">
        <f t="shared" si="175"/>
        <v>475</v>
      </c>
      <c r="C480" s="49">
        <f t="shared" si="169"/>
        <v>14427</v>
      </c>
      <c r="D480" s="78">
        <f>IF(C480&gt;EDATE(DATE(YEAR(SED_Origination_Date)+ SED_Amort, MONTH(SED_Origination_Date), DAY(SED_Origination_Date)),SED_Interest_Only),0,H479)</f>
        <v>0</v>
      </c>
      <c r="E480" s="78">
        <f t="shared" si="176"/>
        <v>0</v>
      </c>
      <c r="F480" s="78">
        <f>IFERROR(IF(OR(B480=0, C480&gt;=Refi_Origination_Date),0, PPMT(SED_I_Adj,'Loan Amort Table'!B480,SED_Amort_Periods,SED_Orig_Loan_Amount)),0)</f>
        <v>0</v>
      </c>
      <c r="G480" s="78" cm="1">
        <f t="array" ref="G480">IFERROR(_xlfn.IFS(C480&gt;=Refi_Origination_Date, 0, SED_Amort = 0, -D480 * SED_I_Adj, 1, IPMT(SED_I_Adj,IF(B480 = 0, 1, B480),SED_Amort_Periods,SED_Orig_Loan_Amount)),0)</f>
        <v>0</v>
      </c>
      <c r="H480" s="78">
        <f t="shared" si="191"/>
        <v>0</v>
      </c>
      <c r="J480">
        <f t="shared" si="171"/>
        <v>40</v>
      </c>
      <c r="K480">
        <f t="shared" si="177"/>
        <v>475</v>
      </c>
      <c r="L480" s="49">
        <f t="shared" si="184"/>
        <v>14427</v>
      </c>
      <c r="M480" s="78">
        <f>IF(L480&gt;EDATE(DATE(YEAR(NEW_Origination_Date)+ NEW_Amort, MONTH(NEW_Origination_Date), DAY(NEW_Origination_Date)),NEW_Interest_Only),0,Q479)</f>
        <v>0</v>
      </c>
      <c r="N480" s="78">
        <f t="shared" si="178"/>
        <v>0</v>
      </c>
      <c r="O480" s="78">
        <f>IFERROR(IF(K480=0,0, PPMT(NEW_I_Adj,'Loan Amort Table'!K480,NEW_Amort_Periods,NEW_Orig_Loan_Amount)),0)</f>
        <v>0</v>
      </c>
      <c r="P480" s="78">
        <f>IFERROR(IF(NEW_Amort = 0, -M480* NEW_I_Adj,IPMT(NEW_I_Adj,IF(K480 = 0, 1, K480),NEW_Amort_Periods,NEW_Orig_Loan_Amount)),0)</f>
        <v>0</v>
      </c>
      <c r="Q480" s="78">
        <f t="shared" si="179"/>
        <v>0</v>
      </c>
      <c r="S480">
        <f t="shared" si="172"/>
        <v>40</v>
      </c>
      <c r="T480">
        <f t="shared" si="180"/>
        <v>475</v>
      </c>
      <c r="U480" s="49">
        <f t="shared" si="185"/>
        <v>14427</v>
      </c>
      <c r="V480" s="78">
        <f t="shared" si="181"/>
        <v>0</v>
      </c>
      <c r="W480" s="78">
        <f t="shared" ca="1" si="186"/>
        <v>0</v>
      </c>
      <c r="X480" s="78">
        <f>IFERROR(IF(OR(T480=0, U480&gt;=Refi_Origination_Date),0, PPMT(Mezz_I_Adj,'Loan Amort Table'!T480,Mezz_Amort_Periods,Mezz_Orig_Loan_Amount)),0)</f>
        <v>0</v>
      </c>
      <c r="Y480" s="78" cm="1">
        <f t="array" aca="1" ref="Y480" ca="1">IFERROR(_xlfn.IFS(U480&gt;=Refi_Origination_Date,0, Mezz_Amort = 0, -V480 * Mezz_I_Adj, 1, IPMT(Mezz_I_Adj,IF(T480 = 0, 1, T480),Mezz_Amort_Periods,Mezz_Orig_Loan_Amount)),0)</f>
        <v>0</v>
      </c>
      <c r="Z480" s="78">
        <f t="shared" si="187"/>
        <v>0</v>
      </c>
      <c r="AB480">
        <f t="shared" si="173"/>
        <v>40</v>
      </c>
      <c r="AC480">
        <f t="shared" si="182"/>
        <v>475</v>
      </c>
      <c r="AD480" s="49">
        <f t="shared" si="188"/>
        <v>14427</v>
      </c>
      <c r="AE480" s="78">
        <f t="shared" si="183"/>
        <v>0</v>
      </c>
      <c r="AF480" s="78">
        <f t="shared" ca="1" si="189"/>
        <v>0</v>
      </c>
      <c r="AG480" s="78">
        <f ca="1">IFERROR(IF(AC480=0,0, PPMT(Refi_I_Adj,'Loan Amort Table'!AC480,Refi_Amort_Periods,Refi_Orig_Loan_Amount)),0)</f>
        <v>0</v>
      </c>
      <c r="AH480" s="78">
        <f t="shared" ca="1" si="174"/>
        <v>0</v>
      </c>
      <c r="AI480" s="78">
        <f t="shared" ca="1" si="190"/>
        <v>0</v>
      </c>
    </row>
    <row r="481" spans="1:35" x14ac:dyDescent="0.25">
      <c r="A481">
        <f t="shared" si="170"/>
        <v>40</v>
      </c>
      <c r="B481">
        <f t="shared" si="175"/>
        <v>476</v>
      </c>
      <c r="C481" s="49">
        <f t="shared" si="169"/>
        <v>14458</v>
      </c>
      <c r="D481" s="78">
        <f>IF(C481&gt;EDATE(DATE(YEAR(SED_Origination_Date)+ SED_Amort, MONTH(SED_Origination_Date), DAY(SED_Origination_Date)),SED_Interest_Only),0,H480)</f>
        <v>0</v>
      </c>
      <c r="E481" s="78">
        <f t="shared" si="176"/>
        <v>0</v>
      </c>
      <c r="F481" s="78">
        <f>IFERROR(IF(OR(B481=0, C481&gt;=Refi_Origination_Date),0, PPMT(SED_I_Adj,'Loan Amort Table'!B481,SED_Amort_Periods,SED_Orig_Loan_Amount)),0)</f>
        <v>0</v>
      </c>
      <c r="G481" s="78" cm="1">
        <f t="array" ref="G481">IFERROR(_xlfn.IFS(C481&gt;=Refi_Origination_Date, 0, SED_Amort = 0, -D481 * SED_I_Adj, 1, IPMT(SED_I_Adj,IF(B481 = 0, 1, B481),SED_Amort_Periods,SED_Orig_Loan_Amount)),0)</f>
        <v>0</v>
      </c>
      <c r="H481" s="78">
        <f t="shared" si="191"/>
        <v>0</v>
      </c>
      <c r="J481">
        <f t="shared" si="171"/>
        <v>40</v>
      </c>
      <c r="K481">
        <f t="shared" si="177"/>
        <v>476</v>
      </c>
      <c r="L481" s="49">
        <f t="shared" si="184"/>
        <v>14458</v>
      </c>
      <c r="M481" s="78">
        <f>IF(L481&gt;EDATE(DATE(YEAR(NEW_Origination_Date)+ NEW_Amort, MONTH(NEW_Origination_Date), DAY(NEW_Origination_Date)),NEW_Interest_Only),0,Q480)</f>
        <v>0</v>
      </c>
      <c r="N481" s="78">
        <f t="shared" si="178"/>
        <v>0</v>
      </c>
      <c r="O481" s="78">
        <f>IFERROR(IF(K481=0,0, PPMT(NEW_I_Adj,'Loan Amort Table'!K481,NEW_Amort_Periods,NEW_Orig_Loan_Amount)),0)</f>
        <v>0</v>
      </c>
      <c r="P481" s="78">
        <f>IFERROR(IF(NEW_Amort = 0, -M481* NEW_I_Adj,IPMT(NEW_I_Adj,IF(K481 = 0, 1, K481),NEW_Amort_Periods,NEW_Orig_Loan_Amount)),0)</f>
        <v>0</v>
      </c>
      <c r="Q481" s="78">
        <f t="shared" si="179"/>
        <v>0</v>
      </c>
      <c r="S481">
        <f t="shared" si="172"/>
        <v>40</v>
      </c>
      <c r="T481">
        <f t="shared" si="180"/>
        <v>476</v>
      </c>
      <c r="U481" s="49">
        <f t="shared" si="185"/>
        <v>14458</v>
      </c>
      <c r="V481" s="78">
        <f t="shared" si="181"/>
        <v>0</v>
      </c>
      <c r="W481" s="78">
        <f t="shared" ca="1" si="186"/>
        <v>0</v>
      </c>
      <c r="X481" s="78">
        <f>IFERROR(IF(OR(T481=0, U481&gt;=Refi_Origination_Date),0, PPMT(Mezz_I_Adj,'Loan Amort Table'!T481,Mezz_Amort_Periods,Mezz_Orig_Loan_Amount)),0)</f>
        <v>0</v>
      </c>
      <c r="Y481" s="78" cm="1">
        <f t="array" aca="1" ref="Y481" ca="1">IFERROR(_xlfn.IFS(U481&gt;=Refi_Origination_Date,0, Mezz_Amort = 0, -V481 * Mezz_I_Adj, 1, IPMT(Mezz_I_Adj,IF(T481 = 0, 1, T481),Mezz_Amort_Periods,Mezz_Orig_Loan_Amount)),0)</f>
        <v>0</v>
      </c>
      <c r="Z481" s="78">
        <f t="shared" si="187"/>
        <v>0</v>
      </c>
      <c r="AB481">
        <f t="shared" si="173"/>
        <v>40</v>
      </c>
      <c r="AC481">
        <f t="shared" si="182"/>
        <v>476</v>
      </c>
      <c r="AD481" s="49">
        <f t="shared" si="188"/>
        <v>14458</v>
      </c>
      <c r="AE481" s="78">
        <f t="shared" si="183"/>
        <v>0</v>
      </c>
      <c r="AF481" s="78">
        <f t="shared" ca="1" si="189"/>
        <v>0</v>
      </c>
      <c r="AG481" s="78">
        <f ca="1">IFERROR(IF(AC481=0,0, PPMT(Refi_I_Adj,'Loan Amort Table'!AC481,Refi_Amort_Periods,Refi_Orig_Loan_Amount)),0)</f>
        <v>0</v>
      </c>
      <c r="AH481" s="78">
        <f t="shared" ca="1" si="174"/>
        <v>0</v>
      </c>
      <c r="AI481" s="78">
        <f t="shared" ca="1" si="190"/>
        <v>0</v>
      </c>
    </row>
    <row r="482" spans="1:35" x14ac:dyDescent="0.25">
      <c r="A482">
        <f t="shared" si="170"/>
        <v>40</v>
      </c>
      <c r="B482">
        <f t="shared" si="175"/>
        <v>477</v>
      </c>
      <c r="C482" s="49">
        <f t="shared" si="169"/>
        <v>14489</v>
      </c>
      <c r="D482" s="78">
        <f>IF(C482&gt;EDATE(DATE(YEAR(SED_Origination_Date)+ SED_Amort, MONTH(SED_Origination_Date), DAY(SED_Origination_Date)),SED_Interest_Only),0,H481)</f>
        <v>0</v>
      </c>
      <c r="E482" s="78">
        <f t="shared" si="176"/>
        <v>0</v>
      </c>
      <c r="F482" s="78">
        <f>IFERROR(IF(OR(B482=0, C482&gt;=Refi_Origination_Date),0, PPMT(SED_I_Adj,'Loan Amort Table'!B482,SED_Amort_Periods,SED_Orig_Loan_Amount)),0)</f>
        <v>0</v>
      </c>
      <c r="G482" s="78" cm="1">
        <f t="array" ref="G482">IFERROR(_xlfn.IFS(C482&gt;=Refi_Origination_Date, 0, SED_Amort = 0, -D482 * SED_I_Adj, 1, IPMT(SED_I_Adj,IF(B482 = 0, 1, B482),SED_Amort_Periods,SED_Orig_Loan_Amount)),0)</f>
        <v>0</v>
      </c>
      <c r="H482" s="78">
        <f t="shared" si="191"/>
        <v>0</v>
      </c>
      <c r="J482">
        <f t="shared" si="171"/>
        <v>40</v>
      </c>
      <c r="K482">
        <f t="shared" si="177"/>
        <v>477</v>
      </c>
      <c r="L482" s="49">
        <f t="shared" si="184"/>
        <v>14489</v>
      </c>
      <c r="M482" s="78">
        <f>IF(L482&gt;EDATE(DATE(YEAR(NEW_Origination_Date)+ NEW_Amort, MONTH(NEW_Origination_Date), DAY(NEW_Origination_Date)),NEW_Interest_Only),0,Q481)</f>
        <v>0</v>
      </c>
      <c r="N482" s="78">
        <f t="shared" si="178"/>
        <v>0</v>
      </c>
      <c r="O482" s="78">
        <f>IFERROR(IF(K482=0,0, PPMT(NEW_I_Adj,'Loan Amort Table'!K482,NEW_Amort_Periods,NEW_Orig_Loan_Amount)),0)</f>
        <v>0</v>
      </c>
      <c r="P482" s="78">
        <f>IFERROR(IF(NEW_Amort = 0, -M482* NEW_I_Adj,IPMT(NEW_I_Adj,IF(K482 = 0, 1, K482),NEW_Amort_Periods,NEW_Orig_Loan_Amount)),0)</f>
        <v>0</v>
      </c>
      <c r="Q482" s="78">
        <f t="shared" si="179"/>
        <v>0</v>
      </c>
      <c r="S482">
        <f t="shared" si="172"/>
        <v>40</v>
      </c>
      <c r="T482">
        <f t="shared" si="180"/>
        <v>477</v>
      </c>
      <c r="U482" s="49">
        <f t="shared" si="185"/>
        <v>14489</v>
      </c>
      <c r="V482" s="78">
        <f t="shared" si="181"/>
        <v>0</v>
      </c>
      <c r="W482" s="78">
        <f t="shared" ca="1" si="186"/>
        <v>0</v>
      </c>
      <c r="X482" s="78">
        <f>IFERROR(IF(OR(T482=0, U482&gt;=Refi_Origination_Date),0, PPMT(Mezz_I_Adj,'Loan Amort Table'!T482,Mezz_Amort_Periods,Mezz_Orig_Loan_Amount)),0)</f>
        <v>0</v>
      </c>
      <c r="Y482" s="78" cm="1">
        <f t="array" aca="1" ref="Y482" ca="1">IFERROR(_xlfn.IFS(U482&gt;=Refi_Origination_Date,0, Mezz_Amort = 0, -V482 * Mezz_I_Adj, 1, IPMT(Mezz_I_Adj,IF(T482 = 0, 1, T482),Mezz_Amort_Periods,Mezz_Orig_Loan_Amount)),0)</f>
        <v>0</v>
      </c>
      <c r="Z482" s="78">
        <f t="shared" si="187"/>
        <v>0</v>
      </c>
      <c r="AB482">
        <f t="shared" si="173"/>
        <v>40</v>
      </c>
      <c r="AC482">
        <f t="shared" si="182"/>
        <v>477</v>
      </c>
      <c r="AD482" s="49">
        <f t="shared" si="188"/>
        <v>14489</v>
      </c>
      <c r="AE482" s="78">
        <f t="shared" si="183"/>
        <v>0</v>
      </c>
      <c r="AF482" s="78">
        <f t="shared" ca="1" si="189"/>
        <v>0</v>
      </c>
      <c r="AG482" s="78">
        <f ca="1">IFERROR(IF(AC482=0,0, PPMT(Refi_I_Adj,'Loan Amort Table'!AC482,Refi_Amort_Periods,Refi_Orig_Loan_Amount)),0)</f>
        <v>0</v>
      </c>
      <c r="AH482" s="78">
        <f t="shared" ca="1" si="174"/>
        <v>0</v>
      </c>
      <c r="AI482" s="78">
        <f t="shared" ca="1" si="190"/>
        <v>0</v>
      </c>
    </row>
    <row r="483" spans="1:35" x14ac:dyDescent="0.25">
      <c r="A483">
        <f t="shared" si="170"/>
        <v>40</v>
      </c>
      <c r="B483">
        <f t="shared" si="175"/>
        <v>478</v>
      </c>
      <c r="C483" s="49">
        <f t="shared" si="169"/>
        <v>14519</v>
      </c>
      <c r="D483" s="78">
        <f>IF(C483&gt;EDATE(DATE(YEAR(SED_Origination_Date)+ SED_Amort, MONTH(SED_Origination_Date), DAY(SED_Origination_Date)),SED_Interest_Only),0,H482)</f>
        <v>0</v>
      </c>
      <c r="E483" s="78">
        <f t="shared" si="176"/>
        <v>0</v>
      </c>
      <c r="F483" s="78">
        <f>IFERROR(IF(OR(B483=0, C483&gt;=Refi_Origination_Date),0, PPMT(SED_I_Adj,'Loan Amort Table'!B483,SED_Amort_Periods,SED_Orig_Loan_Amount)),0)</f>
        <v>0</v>
      </c>
      <c r="G483" s="78" cm="1">
        <f t="array" ref="G483">IFERROR(_xlfn.IFS(C483&gt;=Refi_Origination_Date, 0, SED_Amort = 0, -D483 * SED_I_Adj, 1, IPMT(SED_I_Adj,IF(B483 = 0, 1, B483),SED_Amort_Periods,SED_Orig_Loan_Amount)),0)</f>
        <v>0</v>
      </c>
      <c r="H483" s="78">
        <f t="shared" si="191"/>
        <v>0</v>
      </c>
      <c r="J483">
        <f t="shared" si="171"/>
        <v>40</v>
      </c>
      <c r="K483">
        <f t="shared" si="177"/>
        <v>478</v>
      </c>
      <c r="L483" s="49">
        <f t="shared" si="184"/>
        <v>14519</v>
      </c>
      <c r="M483" s="78">
        <f>IF(L483&gt;EDATE(DATE(YEAR(NEW_Origination_Date)+ NEW_Amort, MONTH(NEW_Origination_Date), DAY(NEW_Origination_Date)),NEW_Interest_Only),0,Q482)</f>
        <v>0</v>
      </c>
      <c r="N483" s="78">
        <f t="shared" si="178"/>
        <v>0</v>
      </c>
      <c r="O483" s="78">
        <f>IFERROR(IF(K483=0,0, PPMT(NEW_I_Adj,'Loan Amort Table'!K483,NEW_Amort_Periods,NEW_Orig_Loan_Amount)),0)</f>
        <v>0</v>
      </c>
      <c r="P483" s="78">
        <f>IFERROR(IF(NEW_Amort = 0, -M483* NEW_I_Adj,IPMT(NEW_I_Adj,IF(K483 = 0, 1, K483),NEW_Amort_Periods,NEW_Orig_Loan_Amount)),0)</f>
        <v>0</v>
      </c>
      <c r="Q483" s="78">
        <f t="shared" si="179"/>
        <v>0</v>
      </c>
      <c r="S483">
        <f t="shared" si="172"/>
        <v>40</v>
      </c>
      <c r="T483">
        <f t="shared" si="180"/>
        <v>478</v>
      </c>
      <c r="U483" s="49">
        <f t="shared" si="185"/>
        <v>14519</v>
      </c>
      <c r="V483" s="78">
        <f t="shared" si="181"/>
        <v>0</v>
      </c>
      <c r="W483" s="78">
        <f t="shared" ca="1" si="186"/>
        <v>0</v>
      </c>
      <c r="X483" s="78">
        <f>IFERROR(IF(OR(T483=0, U483&gt;=Refi_Origination_Date),0, PPMT(Mezz_I_Adj,'Loan Amort Table'!T483,Mezz_Amort_Periods,Mezz_Orig_Loan_Amount)),0)</f>
        <v>0</v>
      </c>
      <c r="Y483" s="78" cm="1">
        <f t="array" aca="1" ref="Y483" ca="1">IFERROR(_xlfn.IFS(U483&gt;=Refi_Origination_Date,0, Mezz_Amort = 0, -V483 * Mezz_I_Adj, 1, IPMT(Mezz_I_Adj,IF(T483 = 0, 1, T483),Mezz_Amort_Periods,Mezz_Orig_Loan_Amount)),0)</f>
        <v>0</v>
      </c>
      <c r="Z483" s="78">
        <f t="shared" si="187"/>
        <v>0</v>
      </c>
      <c r="AB483">
        <f t="shared" si="173"/>
        <v>40</v>
      </c>
      <c r="AC483">
        <f t="shared" si="182"/>
        <v>478</v>
      </c>
      <c r="AD483" s="49">
        <f t="shared" si="188"/>
        <v>14519</v>
      </c>
      <c r="AE483" s="78">
        <f t="shared" si="183"/>
        <v>0</v>
      </c>
      <c r="AF483" s="78">
        <f t="shared" ca="1" si="189"/>
        <v>0</v>
      </c>
      <c r="AG483" s="78">
        <f ca="1">IFERROR(IF(AC483=0,0, PPMT(Refi_I_Adj,'Loan Amort Table'!AC483,Refi_Amort_Periods,Refi_Orig_Loan_Amount)),0)</f>
        <v>0</v>
      </c>
      <c r="AH483" s="78">
        <f t="shared" ca="1" si="174"/>
        <v>0</v>
      </c>
      <c r="AI483" s="78">
        <f t="shared" ca="1" si="190"/>
        <v>0</v>
      </c>
    </row>
    <row r="484" spans="1:35" x14ac:dyDescent="0.25">
      <c r="A484">
        <f t="shared" si="170"/>
        <v>40</v>
      </c>
      <c r="B484">
        <f t="shared" si="175"/>
        <v>479</v>
      </c>
      <c r="C484" s="49">
        <f t="shared" si="169"/>
        <v>14550</v>
      </c>
      <c r="D484" s="78">
        <f>IF(C484&gt;EDATE(DATE(YEAR(SED_Origination_Date)+ SED_Amort, MONTH(SED_Origination_Date), DAY(SED_Origination_Date)),SED_Interest_Only),0,H483)</f>
        <v>0</v>
      </c>
      <c r="E484" s="78">
        <f t="shared" si="176"/>
        <v>0</v>
      </c>
      <c r="F484" s="78">
        <f>IFERROR(IF(OR(B484=0, C484&gt;=Refi_Origination_Date),0, PPMT(SED_I_Adj,'Loan Amort Table'!B484,SED_Amort_Periods,SED_Orig_Loan_Amount)),0)</f>
        <v>0</v>
      </c>
      <c r="G484" s="78" cm="1">
        <f t="array" ref="G484">IFERROR(_xlfn.IFS(C484&gt;=Refi_Origination_Date, 0, SED_Amort = 0, -D484 * SED_I_Adj, 1, IPMT(SED_I_Adj,IF(B484 = 0, 1, B484),SED_Amort_Periods,SED_Orig_Loan_Amount)),0)</f>
        <v>0</v>
      </c>
      <c r="H484" s="78">
        <f t="shared" si="191"/>
        <v>0</v>
      </c>
      <c r="J484">
        <f t="shared" si="171"/>
        <v>40</v>
      </c>
      <c r="K484">
        <f t="shared" si="177"/>
        <v>479</v>
      </c>
      <c r="L484" s="49">
        <f t="shared" si="184"/>
        <v>14550</v>
      </c>
      <c r="M484" s="78">
        <f>IF(L484&gt;EDATE(DATE(YEAR(NEW_Origination_Date)+ NEW_Amort, MONTH(NEW_Origination_Date), DAY(NEW_Origination_Date)),NEW_Interest_Only),0,Q483)</f>
        <v>0</v>
      </c>
      <c r="N484" s="78">
        <f t="shared" si="178"/>
        <v>0</v>
      </c>
      <c r="O484" s="78">
        <f>IFERROR(IF(K484=0,0, PPMT(NEW_I_Adj,'Loan Amort Table'!K484,NEW_Amort_Periods,NEW_Orig_Loan_Amount)),0)</f>
        <v>0</v>
      </c>
      <c r="P484" s="78">
        <f>IFERROR(IF(NEW_Amort = 0, -M484* NEW_I_Adj,IPMT(NEW_I_Adj,IF(K484 = 0, 1, K484),NEW_Amort_Periods,NEW_Orig_Loan_Amount)),0)</f>
        <v>0</v>
      </c>
      <c r="Q484" s="78">
        <f t="shared" si="179"/>
        <v>0</v>
      </c>
      <c r="S484">
        <f t="shared" si="172"/>
        <v>40</v>
      </c>
      <c r="T484">
        <f t="shared" si="180"/>
        <v>479</v>
      </c>
      <c r="U484" s="49">
        <f t="shared" si="185"/>
        <v>14550</v>
      </c>
      <c r="V484" s="78">
        <f t="shared" si="181"/>
        <v>0</v>
      </c>
      <c r="W484" s="78">
        <f t="shared" ca="1" si="186"/>
        <v>0</v>
      </c>
      <c r="X484" s="78">
        <f>IFERROR(IF(OR(T484=0, U484&gt;=Refi_Origination_Date),0, PPMT(Mezz_I_Adj,'Loan Amort Table'!T484,Mezz_Amort_Periods,Mezz_Orig_Loan_Amount)),0)</f>
        <v>0</v>
      </c>
      <c r="Y484" s="78" cm="1">
        <f t="array" aca="1" ref="Y484" ca="1">IFERROR(_xlfn.IFS(U484&gt;=Refi_Origination_Date,0, Mezz_Amort = 0, -V484 * Mezz_I_Adj, 1, IPMT(Mezz_I_Adj,IF(T484 = 0, 1, T484),Mezz_Amort_Periods,Mezz_Orig_Loan_Amount)),0)</f>
        <v>0</v>
      </c>
      <c r="Z484" s="78">
        <f t="shared" si="187"/>
        <v>0</v>
      </c>
      <c r="AB484">
        <f t="shared" si="173"/>
        <v>40</v>
      </c>
      <c r="AC484">
        <f t="shared" si="182"/>
        <v>479</v>
      </c>
      <c r="AD484" s="49">
        <f t="shared" si="188"/>
        <v>14550</v>
      </c>
      <c r="AE484" s="78">
        <f t="shared" si="183"/>
        <v>0</v>
      </c>
      <c r="AF484" s="78">
        <f t="shared" ca="1" si="189"/>
        <v>0</v>
      </c>
      <c r="AG484" s="78">
        <f ca="1">IFERROR(IF(AC484=0,0, PPMT(Refi_I_Adj,'Loan Amort Table'!AC484,Refi_Amort_Periods,Refi_Orig_Loan_Amount)),0)</f>
        <v>0</v>
      </c>
      <c r="AH484" s="78">
        <f t="shared" ca="1" si="174"/>
        <v>0</v>
      </c>
      <c r="AI484" s="78">
        <f t="shared" ca="1" si="190"/>
        <v>0</v>
      </c>
    </row>
    <row r="485" spans="1:35" x14ac:dyDescent="0.25">
      <c r="A485">
        <f t="shared" si="170"/>
        <v>40</v>
      </c>
      <c r="B485">
        <f t="shared" si="175"/>
        <v>480</v>
      </c>
      <c r="C485" s="49">
        <f t="shared" si="169"/>
        <v>14580</v>
      </c>
      <c r="D485" s="78">
        <f>IF(C485&gt;EDATE(DATE(YEAR(SED_Origination_Date)+ SED_Amort, MONTH(SED_Origination_Date), DAY(SED_Origination_Date)),SED_Interest_Only),0,H484)</f>
        <v>0</v>
      </c>
      <c r="E485" s="78">
        <f t="shared" si="176"/>
        <v>0</v>
      </c>
      <c r="F485" s="78">
        <f>IFERROR(IF(OR(B485=0, C485&gt;=Refi_Origination_Date),0, PPMT(SED_I_Adj,'Loan Amort Table'!B485,SED_Amort_Periods,SED_Orig_Loan_Amount)),0)</f>
        <v>0</v>
      </c>
      <c r="G485" s="78" cm="1">
        <f t="array" ref="G485">IFERROR(_xlfn.IFS(C485&gt;=Refi_Origination_Date, 0, SED_Amort = 0, -D485 * SED_I_Adj, 1, IPMT(SED_I_Adj,IF(B485 = 0, 1, B485),SED_Amort_Periods,SED_Orig_Loan_Amount)),0)</f>
        <v>0</v>
      </c>
      <c r="H485" s="78">
        <f t="shared" si="191"/>
        <v>0</v>
      </c>
      <c r="J485">
        <f t="shared" si="171"/>
        <v>40</v>
      </c>
      <c r="K485">
        <f t="shared" si="177"/>
        <v>480</v>
      </c>
      <c r="L485" s="49">
        <f t="shared" si="184"/>
        <v>14580</v>
      </c>
      <c r="M485" s="78">
        <f>IF(L485&gt;EDATE(DATE(YEAR(NEW_Origination_Date)+ NEW_Amort, MONTH(NEW_Origination_Date), DAY(NEW_Origination_Date)),NEW_Interest_Only),0,Q484)</f>
        <v>0</v>
      </c>
      <c r="N485" s="78">
        <f t="shared" si="178"/>
        <v>0</v>
      </c>
      <c r="O485" s="78">
        <f>IFERROR(IF(K485=0,0, PPMT(NEW_I_Adj,'Loan Amort Table'!K485,NEW_Amort_Periods,NEW_Orig_Loan_Amount)),0)</f>
        <v>0</v>
      </c>
      <c r="P485" s="78">
        <f>IFERROR(IF(NEW_Amort = 0, -M485* NEW_I_Adj,IPMT(NEW_I_Adj,IF(K485 = 0, 1, K485),NEW_Amort_Periods,NEW_Orig_Loan_Amount)),0)</f>
        <v>0</v>
      </c>
      <c r="Q485" s="78">
        <f t="shared" si="179"/>
        <v>0</v>
      </c>
      <c r="S485">
        <f t="shared" si="172"/>
        <v>40</v>
      </c>
      <c r="T485">
        <f t="shared" si="180"/>
        <v>480</v>
      </c>
      <c r="U485" s="49">
        <f t="shared" si="185"/>
        <v>14580</v>
      </c>
      <c r="V485" s="78">
        <f t="shared" si="181"/>
        <v>0</v>
      </c>
      <c r="W485" s="78">
        <f t="shared" ca="1" si="186"/>
        <v>0</v>
      </c>
      <c r="X485" s="78">
        <f>IFERROR(IF(OR(T485=0, U485&gt;=Refi_Origination_Date),0, PPMT(Mezz_I_Adj,'Loan Amort Table'!T485,Mezz_Amort_Periods,Mezz_Orig_Loan_Amount)),0)</f>
        <v>0</v>
      </c>
      <c r="Y485" s="78" cm="1">
        <f t="array" aca="1" ref="Y485" ca="1">IFERROR(_xlfn.IFS(U485&gt;=Refi_Origination_Date,0, Mezz_Amort = 0, -V485 * Mezz_I_Adj, 1, IPMT(Mezz_I_Adj,IF(T485 = 0, 1, T485),Mezz_Amort_Periods,Mezz_Orig_Loan_Amount)),0)</f>
        <v>0</v>
      </c>
      <c r="Z485" s="78">
        <f t="shared" si="187"/>
        <v>0</v>
      </c>
      <c r="AB485">
        <f t="shared" si="173"/>
        <v>40</v>
      </c>
      <c r="AC485">
        <f t="shared" si="182"/>
        <v>480</v>
      </c>
      <c r="AD485" s="49">
        <f t="shared" si="188"/>
        <v>14580</v>
      </c>
      <c r="AE485" s="78">
        <f t="shared" si="183"/>
        <v>0</v>
      </c>
      <c r="AF485" s="78">
        <f t="shared" ca="1" si="189"/>
        <v>0</v>
      </c>
      <c r="AG485" s="78">
        <f ca="1">IFERROR(IF(AC485=0,0, PPMT(Refi_I_Adj,'Loan Amort Table'!AC485,Refi_Amort_Periods,Refi_Orig_Loan_Amount)),0)</f>
        <v>0</v>
      </c>
      <c r="AH485" s="78">
        <f t="shared" ca="1" si="174"/>
        <v>0</v>
      </c>
      <c r="AI485" s="78">
        <f t="shared" ca="1" si="190"/>
        <v>0</v>
      </c>
    </row>
    <row r="486" spans="1:35" x14ac:dyDescent="0.25">
      <c r="A486">
        <f t="shared" si="170"/>
        <v>41</v>
      </c>
      <c r="B486">
        <f t="shared" si="175"/>
        <v>481</v>
      </c>
      <c r="C486" s="49">
        <f t="shared" si="169"/>
        <v>14611</v>
      </c>
      <c r="D486" s="78">
        <f>IF(C486&gt;EDATE(DATE(YEAR(SED_Origination_Date)+ SED_Amort, MONTH(SED_Origination_Date), DAY(SED_Origination_Date)),SED_Interest_Only),0,H485)</f>
        <v>0</v>
      </c>
      <c r="E486" s="78">
        <f t="shared" si="176"/>
        <v>0</v>
      </c>
      <c r="F486" s="78">
        <f>IFERROR(IF(OR(B486=0, C486&gt;=Refi_Origination_Date),0, PPMT(SED_I_Adj,'Loan Amort Table'!B486,SED_Amort_Periods,SED_Orig_Loan_Amount)),0)</f>
        <v>0</v>
      </c>
      <c r="G486" s="78" cm="1">
        <f t="array" ref="G486">IFERROR(_xlfn.IFS(C486&gt;=Refi_Origination_Date, 0, SED_Amort = 0, -D486 * SED_I_Adj, 1, IPMT(SED_I_Adj,IF(B486 = 0, 1, B486),SED_Amort_Periods,SED_Orig_Loan_Amount)),0)</f>
        <v>0</v>
      </c>
      <c r="H486" s="78">
        <f t="shared" si="191"/>
        <v>0</v>
      </c>
      <c r="J486">
        <f t="shared" si="171"/>
        <v>41</v>
      </c>
      <c r="K486">
        <f t="shared" si="177"/>
        <v>481</v>
      </c>
      <c r="L486" s="49">
        <f t="shared" si="184"/>
        <v>14611</v>
      </c>
      <c r="M486" s="78">
        <f>IF(L486&gt;EDATE(DATE(YEAR(NEW_Origination_Date)+ NEW_Amort, MONTH(NEW_Origination_Date), DAY(NEW_Origination_Date)),NEW_Interest_Only),0,Q485)</f>
        <v>0</v>
      </c>
      <c r="N486" s="78">
        <f t="shared" si="178"/>
        <v>0</v>
      </c>
      <c r="O486" s="78">
        <f>IFERROR(IF(K486=0,0, PPMT(NEW_I_Adj,'Loan Amort Table'!K486,NEW_Amort_Periods,NEW_Orig_Loan_Amount)),0)</f>
        <v>0</v>
      </c>
      <c r="P486" s="78">
        <f>IFERROR(IF(NEW_Amort = 0, -M486* NEW_I_Adj,IPMT(NEW_I_Adj,IF(K486 = 0, 1, K486),NEW_Amort_Periods,NEW_Orig_Loan_Amount)),0)</f>
        <v>0</v>
      </c>
      <c r="Q486" s="78">
        <f t="shared" si="179"/>
        <v>0</v>
      </c>
      <c r="S486">
        <f t="shared" si="172"/>
        <v>41</v>
      </c>
      <c r="T486">
        <f t="shared" si="180"/>
        <v>481</v>
      </c>
      <c r="U486" s="49">
        <f t="shared" si="185"/>
        <v>14611</v>
      </c>
      <c r="V486" s="78">
        <f t="shared" si="181"/>
        <v>0</v>
      </c>
      <c r="W486" s="78">
        <f t="shared" ca="1" si="186"/>
        <v>0</v>
      </c>
      <c r="X486" s="78">
        <f>IFERROR(IF(OR(T486=0, U486&gt;=Refi_Origination_Date),0, PPMT(Mezz_I_Adj,'Loan Amort Table'!T486,Mezz_Amort_Periods,Mezz_Orig_Loan_Amount)),0)</f>
        <v>0</v>
      </c>
      <c r="Y486" s="78" cm="1">
        <f t="array" aca="1" ref="Y486" ca="1">IFERROR(_xlfn.IFS(U486&gt;=Refi_Origination_Date,0, Mezz_Amort = 0, -V486 * Mezz_I_Adj, 1, IPMT(Mezz_I_Adj,IF(T486 = 0, 1, T486),Mezz_Amort_Periods,Mezz_Orig_Loan_Amount)),0)</f>
        <v>0</v>
      </c>
      <c r="Z486" s="78">
        <f t="shared" si="187"/>
        <v>0</v>
      </c>
      <c r="AB486">
        <f t="shared" si="173"/>
        <v>41</v>
      </c>
      <c r="AC486">
        <f t="shared" si="182"/>
        <v>481</v>
      </c>
      <c r="AD486" s="49">
        <f t="shared" si="188"/>
        <v>14611</v>
      </c>
      <c r="AE486" s="78">
        <f t="shared" si="183"/>
        <v>0</v>
      </c>
      <c r="AF486" s="78">
        <f t="shared" ca="1" si="189"/>
        <v>0</v>
      </c>
      <c r="AG486" s="78">
        <f ca="1">IFERROR(IF(AC486=0,0, PPMT(Refi_I_Adj,'Loan Amort Table'!AC486,Refi_Amort_Periods,Refi_Orig_Loan_Amount)),0)</f>
        <v>0</v>
      </c>
      <c r="AH486" s="78">
        <f t="shared" ca="1" si="174"/>
        <v>0</v>
      </c>
      <c r="AI486" s="78">
        <f t="shared" ca="1" si="190"/>
        <v>0</v>
      </c>
    </row>
    <row r="487" spans="1:35" x14ac:dyDescent="0.25">
      <c r="A487">
        <f t="shared" si="170"/>
        <v>41</v>
      </c>
      <c r="B487">
        <f t="shared" si="175"/>
        <v>482</v>
      </c>
      <c r="C487" s="49">
        <f t="shared" si="169"/>
        <v>14642</v>
      </c>
      <c r="D487" s="78">
        <f>IF(C487&gt;EDATE(DATE(YEAR(SED_Origination_Date)+ SED_Amort, MONTH(SED_Origination_Date), DAY(SED_Origination_Date)),SED_Interest_Only),0,H486)</f>
        <v>0</v>
      </c>
      <c r="E487" s="78">
        <f t="shared" si="176"/>
        <v>0</v>
      </c>
      <c r="F487" s="78">
        <f>IFERROR(IF(OR(B487=0, C487&gt;=Refi_Origination_Date),0, PPMT(SED_I_Adj,'Loan Amort Table'!B487,SED_Amort_Periods,SED_Orig_Loan_Amount)),0)</f>
        <v>0</v>
      </c>
      <c r="G487" s="78" cm="1">
        <f t="array" ref="G487">IFERROR(_xlfn.IFS(C487&gt;=Refi_Origination_Date, 0, SED_Amort = 0, -D487 * SED_I_Adj, 1, IPMT(SED_I_Adj,IF(B487 = 0, 1, B487),SED_Amort_Periods,SED_Orig_Loan_Amount)),0)</f>
        <v>0</v>
      </c>
      <c r="H487" s="78">
        <f t="shared" si="191"/>
        <v>0</v>
      </c>
      <c r="J487">
        <f t="shared" si="171"/>
        <v>41</v>
      </c>
      <c r="K487">
        <f t="shared" si="177"/>
        <v>482</v>
      </c>
      <c r="L487" s="49">
        <f t="shared" si="184"/>
        <v>14642</v>
      </c>
      <c r="M487" s="78">
        <f>IF(L487&gt;EDATE(DATE(YEAR(NEW_Origination_Date)+ NEW_Amort, MONTH(NEW_Origination_Date), DAY(NEW_Origination_Date)),NEW_Interest_Only),0,Q486)</f>
        <v>0</v>
      </c>
      <c r="N487" s="78">
        <f t="shared" si="178"/>
        <v>0</v>
      </c>
      <c r="O487" s="78">
        <f>IFERROR(IF(K487=0,0, PPMT(NEW_I_Adj,'Loan Amort Table'!K487,NEW_Amort_Periods,NEW_Orig_Loan_Amount)),0)</f>
        <v>0</v>
      </c>
      <c r="P487" s="78">
        <f>IFERROR(IF(NEW_Amort = 0, -M487* NEW_I_Adj,IPMT(NEW_I_Adj,IF(K487 = 0, 1, K487),NEW_Amort_Periods,NEW_Orig_Loan_Amount)),0)</f>
        <v>0</v>
      </c>
      <c r="Q487" s="78">
        <f t="shared" si="179"/>
        <v>0</v>
      </c>
      <c r="S487">
        <f t="shared" si="172"/>
        <v>41</v>
      </c>
      <c r="T487">
        <f t="shared" si="180"/>
        <v>482</v>
      </c>
      <c r="U487" s="49">
        <f t="shared" si="185"/>
        <v>14642</v>
      </c>
      <c r="V487" s="78">
        <f t="shared" si="181"/>
        <v>0</v>
      </c>
      <c r="W487" s="78">
        <f t="shared" ca="1" si="186"/>
        <v>0</v>
      </c>
      <c r="X487" s="78">
        <f>IFERROR(IF(OR(T487=0, U487&gt;=Refi_Origination_Date),0, PPMT(Mezz_I_Adj,'Loan Amort Table'!T487,Mezz_Amort_Periods,Mezz_Orig_Loan_Amount)),0)</f>
        <v>0</v>
      </c>
      <c r="Y487" s="78" cm="1">
        <f t="array" aca="1" ref="Y487" ca="1">IFERROR(_xlfn.IFS(U487&gt;=Refi_Origination_Date,0, Mezz_Amort = 0, -V487 * Mezz_I_Adj, 1, IPMT(Mezz_I_Adj,IF(T487 = 0, 1, T487),Mezz_Amort_Periods,Mezz_Orig_Loan_Amount)),0)</f>
        <v>0</v>
      </c>
      <c r="Z487" s="78">
        <f t="shared" si="187"/>
        <v>0</v>
      </c>
      <c r="AB487">
        <f t="shared" si="173"/>
        <v>41</v>
      </c>
      <c r="AC487">
        <f t="shared" si="182"/>
        <v>482</v>
      </c>
      <c r="AD487" s="49">
        <f t="shared" si="188"/>
        <v>14642</v>
      </c>
      <c r="AE487" s="78">
        <f t="shared" si="183"/>
        <v>0</v>
      </c>
      <c r="AF487" s="78">
        <f t="shared" ca="1" si="189"/>
        <v>0</v>
      </c>
      <c r="AG487" s="78">
        <f ca="1">IFERROR(IF(AC487=0,0, PPMT(Refi_I_Adj,'Loan Amort Table'!AC487,Refi_Amort_Periods,Refi_Orig_Loan_Amount)),0)</f>
        <v>0</v>
      </c>
      <c r="AH487" s="78">
        <f t="shared" ca="1" si="174"/>
        <v>0</v>
      </c>
      <c r="AI487" s="78">
        <f t="shared" ca="1" si="190"/>
        <v>0</v>
      </c>
    </row>
    <row r="488" spans="1:35" x14ac:dyDescent="0.25">
      <c r="A488">
        <f t="shared" si="170"/>
        <v>41</v>
      </c>
      <c r="B488">
        <f t="shared" si="175"/>
        <v>483</v>
      </c>
      <c r="C488" s="49">
        <f t="shared" si="169"/>
        <v>14671</v>
      </c>
      <c r="D488" s="78">
        <f>IF(C488&gt;EDATE(DATE(YEAR(SED_Origination_Date)+ SED_Amort, MONTH(SED_Origination_Date), DAY(SED_Origination_Date)),SED_Interest_Only),0,H487)</f>
        <v>0</v>
      </c>
      <c r="E488" s="78">
        <f t="shared" si="176"/>
        <v>0</v>
      </c>
      <c r="F488" s="78">
        <f>IFERROR(IF(OR(B488=0, C488&gt;=Refi_Origination_Date),0, PPMT(SED_I_Adj,'Loan Amort Table'!B488,SED_Amort_Periods,SED_Orig_Loan_Amount)),0)</f>
        <v>0</v>
      </c>
      <c r="G488" s="78" cm="1">
        <f t="array" ref="G488">IFERROR(_xlfn.IFS(C488&gt;=Refi_Origination_Date, 0, SED_Amort = 0, -D488 * SED_I_Adj, 1, IPMT(SED_I_Adj,IF(B488 = 0, 1, B488),SED_Amort_Periods,SED_Orig_Loan_Amount)),0)</f>
        <v>0</v>
      </c>
      <c r="H488" s="78">
        <f t="shared" si="191"/>
        <v>0</v>
      </c>
      <c r="J488">
        <f t="shared" si="171"/>
        <v>41</v>
      </c>
      <c r="K488">
        <f t="shared" si="177"/>
        <v>483</v>
      </c>
      <c r="L488" s="49">
        <f t="shared" si="184"/>
        <v>14671</v>
      </c>
      <c r="M488" s="78">
        <f>IF(L488&gt;EDATE(DATE(YEAR(NEW_Origination_Date)+ NEW_Amort, MONTH(NEW_Origination_Date), DAY(NEW_Origination_Date)),NEW_Interest_Only),0,Q487)</f>
        <v>0</v>
      </c>
      <c r="N488" s="78">
        <f t="shared" si="178"/>
        <v>0</v>
      </c>
      <c r="O488" s="78">
        <f>IFERROR(IF(K488=0,0, PPMT(NEW_I_Adj,'Loan Amort Table'!K488,NEW_Amort_Periods,NEW_Orig_Loan_Amount)),0)</f>
        <v>0</v>
      </c>
      <c r="P488" s="78">
        <f>IFERROR(IF(NEW_Amort = 0, -M488* NEW_I_Adj,IPMT(NEW_I_Adj,IF(K488 = 0, 1, K488),NEW_Amort_Periods,NEW_Orig_Loan_Amount)),0)</f>
        <v>0</v>
      </c>
      <c r="Q488" s="78">
        <f t="shared" si="179"/>
        <v>0</v>
      </c>
      <c r="S488">
        <f t="shared" si="172"/>
        <v>41</v>
      </c>
      <c r="T488">
        <f t="shared" si="180"/>
        <v>483</v>
      </c>
      <c r="U488" s="49">
        <f t="shared" si="185"/>
        <v>14671</v>
      </c>
      <c r="V488" s="78">
        <f t="shared" si="181"/>
        <v>0</v>
      </c>
      <c r="W488" s="78">
        <f t="shared" ca="1" si="186"/>
        <v>0</v>
      </c>
      <c r="X488" s="78">
        <f>IFERROR(IF(OR(T488=0, U488&gt;=Refi_Origination_Date),0, PPMT(Mezz_I_Adj,'Loan Amort Table'!T488,Mezz_Amort_Periods,Mezz_Orig_Loan_Amount)),0)</f>
        <v>0</v>
      </c>
      <c r="Y488" s="78" cm="1">
        <f t="array" aca="1" ref="Y488" ca="1">IFERROR(_xlfn.IFS(U488&gt;=Refi_Origination_Date,0, Mezz_Amort = 0, -V488 * Mezz_I_Adj, 1, IPMT(Mezz_I_Adj,IF(T488 = 0, 1, T488),Mezz_Amort_Periods,Mezz_Orig_Loan_Amount)),0)</f>
        <v>0</v>
      </c>
      <c r="Z488" s="78">
        <f t="shared" si="187"/>
        <v>0</v>
      </c>
      <c r="AB488">
        <f t="shared" si="173"/>
        <v>41</v>
      </c>
      <c r="AC488">
        <f t="shared" si="182"/>
        <v>483</v>
      </c>
      <c r="AD488" s="49">
        <f t="shared" si="188"/>
        <v>14671</v>
      </c>
      <c r="AE488" s="78">
        <f t="shared" si="183"/>
        <v>0</v>
      </c>
      <c r="AF488" s="78">
        <f t="shared" ca="1" si="189"/>
        <v>0</v>
      </c>
      <c r="AG488" s="78">
        <f ca="1">IFERROR(IF(AC488=0,0, PPMT(Refi_I_Adj,'Loan Amort Table'!AC488,Refi_Amort_Periods,Refi_Orig_Loan_Amount)),0)</f>
        <v>0</v>
      </c>
      <c r="AH488" s="78">
        <f t="shared" ca="1" si="174"/>
        <v>0</v>
      </c>
      <c r="AI488" s="78">
        <f t="shared" ca="1" si="190"/>
        <v>0</v>
      </c>
    </row>
    <row r="489" spans="1:35" x14ac:dyDescent="0.25">
      <c r="A489">
        <f t="shared" si="170"/>
        <v>41</v>
      </c>
      <c r="B489">
        <f t="shared" si="175"/>
        <v>484</v>
      </c>
      <c r="C489" s="49">
        <f t="shared" si="169"/>
        <v>14702</v>
      </c>
      <c r="D489" s="78">
        <f>IF(C489&gt;EDATE(DATE(YEAR(SED_Origination_Date)+ SED_Amort, MONTH(SED_Origination_Date), DAY(SED_Origination_Date)),SED_Interest_Only),0,H488)</f>
        <v>0</v>
      </c>
      <c r="E489" s="78">
        <f t="shared" si="176"/>
        <v>0</v>
      </c>
      <c r="F489" s="78">
        <f>IFERROR(IF(OR(B489=0, C489&gt;=Refi_Origination_Date),0, PPMT(SED_I_Adj,'Loan Amort Table'!B489,SED_Amort_Periods,SED_Orig_Loan_Amount)),0)</f>
        <v>0</v>
      </c>
      <c r="G489" s="78" cm="1">
        <f t="array" ref="G489">IFERROR(_xlfn.IFS(C489&gt;=Refi_Origination_Date, 0, SED_Amort = 0, -D489 * SED_I_Adj, 1, IPMT(SED_I_Adj,IF(B489 = 0, 1, B489),SED_Amort_Periods,SED_Orig_Loan_Amount)),0)</f>
        <v>0</v>
      </c>
      <c r="H489" s="78">
        <f t="shared" si="191"/>
        <v>0</v>
      </c>
      <c r="J489">
        <f t="shared" si="171"/>
        <v>41</v>
      </c>
      <c r="K489">
        <f t="shared" si="177"/>
        <v>484</v>
      </c>
      <c r="L489" s="49">
        <f t="shared" si="184"/>
        <v>14702</v>
      </c>
      <c r="M489" s="78">
        <f>IF(L489&gt;EDATE(DATE(YEAR(NEW_Origination_Date)+ NEW_Amort, MONTH(NEW_Origination_Date), DAY(NEW_Origination_Date)),NEW_Interest_Only),0,Q488)</f>
        <v>0</v>
      </c>
      <c r="N489" s="78">
        <f t="shared" si="178"/>
        <v>0</v>
      </c>
      <c r="O489" s="78">
        <f>IFERROR(IF(K489=0,0, PPMT(NEW_I_Adj,'Loan Amort Table'!K489,NEW_Amort_Periods,NEW_Orig_Loan_Amount)),0)</f>
        <v>0</v>
      </c>
      <c r="P489" s="78">
        <f>IFERROR(IF(NEW_Amort = 0, -M489* NEW_I_Adj,IPMT(NEW_I_Adj,IF(K489 = 0, 1, K489),NEW_Amort_Periods,NEW_Orig_Loan_Amount)),0)</f>
        <v>0</v>
      </c>
      <c r="Q489" s="78">
        <f t="shared" si="179"/>
        <v>0</v>
      </c>
      <c r="S489">
        <f t="shared" si="172"/>
        <v>41</v>
      </c>
      <c r="T489">
        <f t="shared" si="180"/>
        <v>484</v>
      </c>
      <c r="U489" s="49">
        <f t="shared" si="185"/>
        <v>14702</v>
      </c>
      <c r="V489" s="78">
        <f t="shared" si="181"/>
        <v>0</v>
      </c>
      <c r="W489" s="78">
        <f t="shared" ca="1" si="186"/>
        <v>0</v>
      </c>
      <c r="X489" s="78">
        <f>IFERROR(IF(OR(T489=0, U489&gt;=Refi_Origination_Date),0, PPMT(Mezz_I_Adj,'Loan Amort Table'!T489,Mezz_Amort_Periods,Mezz_Orig_Loan_Amount)),0)</f>
        <v>0</v>
      </c>
      <c r="Y489" s="78" cm="1">
        <f t="array" aca="1" ref="Y489" ca="1">IFERROR(_xlfn.IFS(U489&gt;=Refi_Origination_Date,0, Mezz_Amort = 0, -V489 * Mezz_I_Adj, 1, IPMT(Mezz_I_Adj,IF(T489 = 0, 1, T489),Mezz_Amort_Periods,Mezz_Orig_Loan_Amount)),0)</f>
        <v>0</v>
      </c>
      <c r="Z489" s="78">
        <f t="shared" si="187"/>
        <v>0</v>
      </c>
      <c r="AB489">
        <f t="shared" si="173"/>
        <v>41</v>
      </c>
      <c r="AC489">
        <f t="shared" si="182"/>
        <v>484</v>
      </c>
      <c r="AD489" s="49">
        <f t="shared" si="188"/>
        <v>14702</v>
      </c>
      <c r="AE489" s="78">
        <f t="shared" si="183"/>
        <v>0</v>
      </c>
      <c r="AF489" s="78">
        <f t="shared" ca="1" si="189"/>
        <v>0</v>
      </c>
      <c r="AG489" s="78">
        <f ca="1">IFERROR(IF(AC489=0,0, PPMT(Refi_I_Adj,'Loan Amort Table'!AC489,Refi_Amort_Periods,Refi_Orig_Loan_Amount)),0)</f>
        <v>0</v>
      </c>
      <c r="AH489" s="78">
        <f t="shared" ca="1" si="174"/>
        <v>0</v>
      </c>
      <c r="AI489" s="78">
        <f t="shared" ca="1" si="190"/>
        <v>0</v>
      </c>
    </row>
    <row r="490" spans="1:35" x14ac:dyDescent="0.25">
      <c r="A490">
        <f t="shared" si="170"/>
        <v>41</v>
      </c>
      <c r="B490">
        <f t="shared" si="175"/>
        <v>485</v>
      </c>
      <c r="C490" s="49">
        <f t="shared" si="169"/>
        <v>14732</v>
      </c>
      <c r="D490" s="78">
        <f>IF(C490&gt;EDATE(DATE(YEAR(SED_Origination_Date)+ SED_Amort, MONTH(SED_Origination_Date), DAY(SED_Origination_Date)),SED_Interest_Only),0,H489)</f>
        <v>0</v>
      </c>
      <c r="E490" s="78">
        <f t="shared" si="176"/>
        <v>0</v>
      </c>
      <c r="F490" s="78">
        <f>IFERROR(IF(OR(B490=0, C490&gt;=Refi_Origination_Date),0, PPMT(SED_I_Adj,'Loan Amort Table'!B490,SED_Amort_Periods,SED_Orig_Loan_Amount)),0)</f>
        <v>0</v>
      </c>
      <c r="G490" s="78" cm="1">
        <f t="array" ref="G490">IFERROR(_xlfn.IFS(C490&gt;=Refi_Origination_Date, 0, SED_Amort = 0, -D490 * SED_I_Adj, 1, IPMT(SED_I_Adj,IF(B490 = 0, 1, B490),SED_Amort_Periods,SED_Orig_Loan_Amount)),0)</f>
        <v>0</v>
      </c>
      <c r="H490" s="78">
        <f t="shared" si="191"/>
        <v>0</v>
      </c>
      <c r="J490">
        <f t="shared" si="171"/>
        <v>41</v>
      </c>
      <c r="K490">
        <f t="shared" si="177"/>
        <v>485</v>
      </c>
      <c r="L490" s="49">
        <f t="shared" si="184"/>
        <v>14732</v>
      </c>
      <c r="M490" s="78">
        <f>IF(L490&gt;EDATE(DATE(YEAR(NEW_Origination_Date)+ NEW_Amort, MONTH(NEW_Origination_Date), DAY(NEW_Origination_Date)),NEW_Interest_Only),0,Q489)</f>
        <v>0</v>
      </c>
      <c r="N490" s="78">
        <f t="shared" si="178"/>
        <v>0</v>
      </c>
      <c r="O490" s="78">
        <f>IFERROR(IF(K490=0,0, PPMT(NEW_I_Adj,'Loan Amort Table'!K490,NEW_Amort_Periods,NEW_Orig_Loan_Amount)),0)</f>
        <v>0</v>
      </c>
      <c r="P490" s="78">
        <f>IFERROR(IF(NEW_Amort = 0, -M490* NEW_I_Adj,IPMT(NEW_I_Adj,IF(K490 = 0, 1, K490),NEW_Amort_Periods,NEW_Orig_Loan_Amount)),0)</f>
        <v>0</v>
      </c>
      <c r="Q490" s="78">
        <f t="shared" si="179"/>
        <v>0</v>
      </c>
      <c r="S490">
        <f t="shared" si="172"/>
        <v>41</v>
      </c>
      <c r="T490">
        <f t="shared" si="180"/>
        <v>485</v>
      </c>
      <c r="U490" s="49">
        <f t="shared" si="185"/>
        <v>14732</v>
      </c>
      <c r="V490" s="78">
        <f t="shared" si="181"/>
        <v>0</v>
      </c>
      <c r="W490" s="78">
        <f t="shared" ca="1" si="186"/>
        <v>0</v>
      </c>
      <c r="X490" s="78">
        <f>IFERROR(IF(OR(T490=0, U490&gt;=Refi_Origination_Date),0, PPMT(Mezz_I_Adj,'Loan Amort Table'!T490,Mezz_Amort_Periods,Mezz_Orig_Loan_Amount)),0)</f>
        <v>0</v>
      </c>
      <c r="Y490" s="78" cm="1">
        <f t="array" aca="1" ref="Y490" ca="1">IFERROR(_xlfn.IFS(U490&gt;=Refi_Origination_Date,0, Mezz_Amort = 0, -V490 * Mezz_I_Adj, 1, IPMT(Mezz_I_Adj,IF(T490 = 0, 1, T490),Mezz_Amort_Periods,Mezz_Orig_Loan_Amount)),0)</f>
        <v>0</v>
      </c>
      <c r="Z490" s="78">
        <f t="shared" si="187"/>
        <v>0</v>
      </c>
      <c r="AB490">
        <f t="shared" si="173"/>
        <v>41</v>
      </c>
      <c r="AC490">
        <f t="shared" si="182"/>
        <v>485</v>
      </c>
      <c r="AD490" s="49">
        <f t="shared" si="188"/>
        <v>14732</v>
      </c>
      <c r="AE490" s="78">
        <f t="shared" si="183"/>
        <v>0</v>
      </c>
      <c r="AF490" s="78">
        <f t="shared" ca="1" si="189"/>
        <v>0</v>
      </c>
      <c r="AG490" s="78">
        <f ca="1">IFERROR(IF(AC490=0,0, PPMT(Refi_I_Adj,'Loan Amort Table'!AC490,Refi_Amort_Periods,Refi_Orig_Loan_Amount)),0)</f>
        <v>0</v>
      </c>
      <c r="AH490" s="78">
        <f t="shared" ca="1" si="174"/>
        <v>0</v>
      </c>
      <c r="AI490" s="78">
        <f t="shared" ca="1" si="190"/>
        <v>0</v>
      </c>
    </row>
    <row r="491" spans="1:35" x14ac:dyDescent="0.25">
      <c r="A491">
        <f t="shared" si="170"/>
        <v>41</v>
      </c>
      <c r="B491">
        <f t="shared" si="175"/>
        <v>486</v>
      </c>
      <c r="C491" s="49">
        <f t="shared" si="169"/>
        <v>14763</v>
      </c>
      <c r="D491" s="78">
        <f>IF(C491&gt;EDATE(DATE(YEAR(SED_Origination_Date)+ SED_Amort, MONTH(SED_Origination_Date), DAY(SED_Origination_Date)),SED_Interest_Only),0,H490)</f>
        <v>0</v>
      </c>
      <c r="E491" s="78">
        <f t="shared" si="176"/>
        <v>0</v>
      </c>
      <c r="F491" s="78">
        <f>IFERROR(IF(OR(B491=0, C491&gt;=Refi_Origination_Date),0, PPMT(SED_I_Adj,'Loan Amort Table'!B491,SED_Amort_Periods,SED_Orig_Loan_Amount)),0)</f>
        <v>0</v>
      </c>
      <c r="G491" s="78" cm="1">
        <f t="array" ref="G491">IFERROR(_xlfn.IFS(C491&gt;=Refi_Origination_Date, 0, SED_Amort = 0, -D491 * SED_I_Adj, 1, IPMT(SED_I_Adj,IF(B491 = 0, 1, B491),SED_Amort_Periods,SED_Orig_Loan_Amount)),0)</f>
        <v>0</v>
      </c>
      <c r="H491" s="78">
        <f t="shared" si="191"/>
        <v>0</v>
      </c>
      <c r="J491">
        <f t="shared" si="171"/>
        <v>41</v>
      </c>
      <c r="K491">
        <f t="shared" si="177"/>
        <v>486</v>
      </c>
      <c r="L491" s="49">
        <f t="shared" si="184"/>
        <v>14763</v>
      </c>
      <c r="M491" s="78">
        <f>IF(L491&gt;EDATE(DATE(YEAR(NEW_Origination_Date)+ NEW_Amort, MONTH(NEW_Origination_Date), DAY(NEW_Origination_Date)),NEW_Interest_Only),0,Q490)</f>
        <v>0</v>
      </c>
      <c r="N491" s="78">
        <f t="shared" si="178"/>
        <v>0</v>
      </c>
      <c r="O491" s="78">
        <f>IFERROR(IF(K491=0,0, PPMT(NEW_I_Adj,'Loan Amort Table'!K491,NEW_Amort_Periods,NEW_Orig_Loan_Amount)),0)</f>
        <v>0</v>
      </c>
      <c r="P491" s="78">
        <f>IFERROR(IF(NEW_Amort = 0, -M491* NEW_I_Adj,IPMT(NEW_I_Adj,IF(K491 = 0, 1, K491),NEW_Amort_Periods,NEW_Orig_Loan_Amount)),0)</f>
        <v>0</v>
      </c>
      <c r="Q491" s="78">
        <f t="shared" si="179"/>
        <v>0</v>
      </c>
      <c r="S491">
        <f t="shared" si="172"/>
        <v>41</v>
      </c>
      <c r="T491">
        <f t="shared" si="180"/>
        <v>486</v>
      </c>
      <c r="U491" s="49">
        <f t="shared" si="185"/>
        <v>14763</v>
      </c>
      <c r="V491" s="78">
        <f t="shared" si="181"/>
        <v>0</v>
      </c>
      <c r="W491" s="78">
        <f t="shared" ca="1" si="186"/>
        <v>0</v>
      </c>
      <c r="X491" s="78">
        <f>IFERROR(IF(OR(T491=0, U491&gt;=Refi_Origination_Date),0, PPMT(Mezz_I_Adj,'Loan Amort Table'!T491,Mezz_Amort_Periods,Mezz_Orig_Loan_Amount)),0)</f>
        <v>0</v>
      </c>
      <c r="Y491" s="78" cm="1">
        <f t="array" aca="1" ref="Y491" ca="1">IFERROR(_xlfn.IFS(U491&gt;=Refi_Origination_Date,0, Mezz_Amort = 0, -V491 * Mezz_I_Adj, 1, IPMT(Mezz_I_Adj,IF(T491 = 0, 1, T491),Mezz_Amort_Periods,Mezz_Orig_Loan_Amount)),0)</f>
        <v>0</v>
      </c>
      <c r="Z491" s="78">
        <f t="shared" si="187"/>
        <v>0</v>
      </c>
      <c r="AB491">
        <f t="shared" si="173"/>
        <v>41</v>
      </c>
      <c r="AC491">
        <f t="shared" si="182"/>
        <v>486</v>
      </c>
      <c r="AD491" s="49">
        <f t="shared" si="188"/>
        <v>14763</v>
      </c>
      <c r="AE491" s="78">
        <f t="shared" si="183"/>
        <v>0</v>
      </c>
      <c r="AF491" s="78">
        <f t="shared" ca="1" si="189"/>
        <v>0</v>
      </c>
      <c r="AG491" s="78">
        <f ca="1">IFERROR(IF(AC491=0,0, PPMT(Refi_I_Adj,'Loan Amort Table'!AC491,Refi_Amort_Periods,Refi_Orig_Loan_Amount)),0)</f>
        <v>0</v>
      </c>
      <c r="AH491" s="78">
        <f t="shared" ca="1" si="174"/>
        <v>0</v>
      </c>
      <c r="AI491" s="78">
        <f t="shared" ca="1" si="190"/>
        <v>0</v>
      </c>
    </row>
    <row r="492" spans="1:35" x14ac:dyDescent="0.25">
      <c r="A492">
        <f t="shared" si="170"/>
        <v>41</v>
      </c>
      <c r="B492">
        <f t="shared" si="175"/>
        <v>487</v>
      </c>
      <c r="C492" s="49">
        <f t="shared" si="169"/>
        <v>14793</v>
      </c>
      <c r="D492" s="78">
        <f>IF(C492&gt;EDATE(DATE(YEAR(SED_Origination_Date)+ SED_Amort, MONTH(SED_Origination_Date), DAY(SED_Origination_Date)),SED_Interest_Only),0,H491)</f>
        <v>0</v>
      </c>
      <c r="E492" s="78">
        <f t="shared" si="176"/>
        <v>0</v>
      </c>
      <c r="F492" s="78">
        <f>IFERROR(IF(OR(B492=0, C492&gt;=Refi_Origination_Date),0, PPMT(SED_I_Adj,'Loan Amort Table'!B492,SED_Amort_Periods,SED_Orig_Loan_Amount)),0)</f>
        <v>0</v>
      </c>
      <c r="G492" s="78" cm="1">
        <f t="array" ref="G492">IFERROR(_xlfn.IFS(C492&gt;=Refi_Origination_Date, 0, SED_Amort = 0, -D492 * SED_I_Adj, 1, IPMT(SED_I_Adj,IF(B492 = 0, 1, B492),SED_Amort_Periods,SED_Orig_Loan_Amount)),0)</f>
        <v>0</v>
      </c>
      <c r="H492" s="78">
        <f t="shared" si="191"/>
        <v>0</v>
      </c>
      <c r="J492">
        <f t="shared" si="171"/>
        <v>41</v>
      </c>
      <c r="K492">
        <f t="shared" si="177"/>
        <v>487</v>
      </c>
      <c r="L492" s="49">
        <f t="shared" si="184"/>
        <v>14793</v>
      </c>
      <c r="M492" s="78">
        <f>IF(L492&gt;EDATE(DATE(YEAR(NEW_Origination_Date)+ NEW_Amort, MONTH(NEW_Origination_Date), DAY(NEW_Origination_Date)),NEW_Interest_Only),0,Q491)</f>
        <v>0</v>
      </c>
      <c r="N492" s="78">
        <f t="shared" si="178"/>
        <v>0</v>
      </c>
      <c r="O492" s="78">
        <f>IFERROR(IF(K492=0,0, PPMT(NEW_I_Adj,'Loan Amort Table'!K492,NEW_Amort_Periods,NEW_Orig_Loan_Amount)),0)</f>
        <v>0</v>
      </c>
      <c r="P492" s="78">
        <f>IFERROR(IF(NEW_Amort = 0, -M492* NEW_I_Adj,IPMT(NEW_I_Adj,IF(K492 = 0, 1, K492),NEW_Amort_Periods,NEW_Orig_Loan_Amount)),0)</f>
        <v>0</v>
      </c>
      <c r="Q492" s="78">
        <f t="shared" si="179"/>
        <v>0</v>
      </c>
      <c r="S492">
        <f t="shared" si="172"/>
        <v>41</v>
      </c>
      <c r="T492">
        <f t="shared" si="180"/>
        <v>487</v>
      </c>
      <c r="U492" s="49">
        <f t="shared" si="185"/>
        <v>14793</v>
      </c>
      <c r="V492" s="78">
        <f t="shared" si="181"/>
        <v>0</v>
      </c>
      <c r="W492" s="78">
        <f t="shared" ca="1" si="186"/>
        <v>0</v>
      </c>
      <c r="X492" s="78">
        <f>IFERROR(IF(OR(T492=0, U492&gt;=Refi_Origination_Date),0, PPMT(Mezz_I_Adj,'Loan Amort Table'!T492,Mezz_Amort_Periods,Mezz_Orig_Loan_Amount)),0)</f>
        <v>0</v>
      </c>
      <c r="Y492" s="78" cm="1">
        <f t="array" aca="1" ref="Y492" ca="1">IFERROR(_xlfn.IFS(U492&gt;=Refi_Origination_Date,0, Mezz_Amort = 0, -V492 * Mezz_I_Adj, 1, IPMT(Mezz_I_Adj,IF(T492 = 0, 1, T492),Mezz_Amort_Periods,Mezz_Orig_Loan_Amount)),0)</f>
        <v>0</v>
      </c>
      <c r="Z492" s="78">
        <f t="shared" si="187"/>
        <v>0</v>
      </c>
      <c r="AB492">
        <f t="shared" si="173"/>
        <v>41</v>
      </c>
      <c r="AC492">
        <f t="shared" si="182"/>
        <v>487</v>
      </c>
      <c r="AD492" s="49">
        <f t="shared" si="188"/>
        <v>14793</v>
      </c>
      <c r="AE492" s="78">
        <f t="shared" si="183"/>
        <v>0</v>
      </c>
      <c r="AF492" s="78">
        <f t="shared" ca="1" si="189"/>
        <v>0</v>
      </c>
      <c r="AG492" s="78">
        <f ca="1">IFERROR(IF(AC492=0,0, PPMT(Refi_I_Adj,'Loan Amort Table'!AC492,Refi_Amort_Periods,Refi_Orig_Loan_Amount)),0)</f>
        <v>0</v>
      </c>
      <c r="AH492" s="78">
        <f t="shared" ca="1" si="174"/>
        <v>0</v>
      </c>
      <c r="AI492" s="78">
        <f t="shared" ca="1" si="190"/>
        <v>0</v>
      </c>
    </row>
    <row r="493" spans="1:35" x14ac:dyDescent="0.25">
      <c r="A493">
        <f t="shared" si="170"/>
        <v>41</v>
      </c>
      <c r="B493">
        <f t="shared" si="175"/>
        <v>488</v>
      </c>
      <c r="C493" s="49">
        <f t="shared" si="169"/>
        <v>14824</v>
      </c>
      <c r="D493" s="78">
        <f>IF(C493&gt;EDATE(DATE(YEAR(SED_Origination_Date)+ SED_Amort, MONTH(SED_Origination_Date), DAY(SED_Origination_Date)),SED_Interest_Only),0,H492)</f>
        <v>0</v>
      </c>
      <c r="E493" s="78">
        <f t="shared" si="176"/>
        <v>0</v>
      </c>
      <c r="F493" s="78">
        <f>IFERROR(IF(OR(B493=0, C493&gt;=Refi_Origination_Date),0, PPMT(SED_I_Adj,'Loan Amort Table'!B493,SED_Amort_Periods,SED_Orig_Loan_Amount)),0)</f>
        <v>0</v>
      </c>
      <c r="G493" s="78" cm="1">
        <f t="array" ref="G493">IFERROR(_xlfn.IFS(C493&gt;=Refi_Origination_Date, 0, SED_Amort = 0, -D493 * SED_I_Adj, 1, IPMT(SED_I_Adj,IF(B493 = 0, 1, B493),SED_Amort_Periods,SED_Orig_Loan_Amount)),0)</f>
        <v>0</v>
      </c>
      <c r="H493" s="78">
        <f t="shared" si="191"/>
        <v>0</v>
      </c>
      <c r="J493">
        <f t="shared" si="171"/>
        <v>41</v>
      </c>
      <c r="K493">
        <f t="shared" si="177"/>
        <v>488</v>
      </c>
      <c r="L493" s="49">
        <f t="shared" si="184"/>
        <v>14824</v>
      </c>
      <c r="M493" s="78">
        <f>IF(L493&gt;EDATE(DATE(YEAR(NEW_Origination_Date)+ NEW_Amort, MONTH(NEW_Origination_Date), DAY(NEW_Origination_Date)),NEW_Interest_Only),0,Q492)</f>
        <v>0</v>
      </c>
      <c r="N493" s="78">
        <f t="shared" si="178"/>
        <v>0</v>
      </c>
      <c r="O493" s="78">
        <f>IFERROR(IF(K493=0,0, PPMT(NEW_I_Adj,'Loan Amort Table'!K493,NEW_Amort_Periods,NEW_Orig_Loan_Amount)),0)</f>
        <v>0</v>
      </c>
      <c r="P493" s="78">
        <f>IFERROR(IF(NEW_Amort = 0, -M493* NEW_I_Adj,IPMT(NEW_I_Adj,IF(K493 = 0, 1, K493),NEW_Amort_Periods,NEW_Orig_Loan_Amount)),0)</f>
        <v>0</v>
      </c>
      <c r="Q493" s="78">
        <f t="shared" si="179"/>
        <v>0</v>
      </c>
      <c r="S493">
        <f t="shared" si="172"/>
        <v>41</v>
      </c>
      <c r="T493">
        <f t="shared" si="180"/>
        <v>488</v>
      </c>
      <c r="U493" s="49">
        <f t="shared" si="185"/>
        <v>14824</v>
      </c>
      <c r="V493" s="78">
        <f t="shared" si="181"/>
        <v>0</v>
      </c>
      <c r="W493" s="78">
        <f t="shared" ca="1" si="186"/>
        <v>0</v>
      </c>
      <c r="X493" s="78">
        <f>IFERROR(IF(OR(T493=0, U493&gt;=Refi_Origination_Date),0, PPMT(Mezz_I_Adj,'Loan Amort Table'!T493,Mezz_Amort_Periods,Mezz_Orig_Loan_Amount)),0)</f>
        <v>0</v>
      </c>
      <c r="Y493" s="78" cm="1">
        <f t="array" aca="1" ref="Y493" ca="1">IFERROR(_xlfn.IFS(U493&gt;=Refi_Origination_Date,0, Mezz_Amort = 0, -V493 * Mezz_I_Adj, 1, IPMT(Mezz_I_Adj,IF(T493 = 0, 1, T493),Mezz_Amort_Periods,Mezz_Orig_Loan_Amount)),0)</f>
        <v>0</v>
      </c>
      <c r="Z493" s="78">
        <f t="shared" si="187"/>
        <v>0</v>
      </c>
      <c r="AB493">
        <f t="shared" si="173"/>
        <v>41</v>
      </c>
      <c r="AC493">
        <f t="shared" si="182"/>
        <v>488</v>
      </c>
      <c r="AD493" s="49">
        <f t="shared" si="188"/>
        <v>14824</v>
      </c>
      <c r="AE493" s="78">
        <f t="shared" si="183"/>
        <v>0</v>
      </c>
      <c r="AF493" s="78">
        <f t="shared" ca="1" si="189"/>
        <v>0</v>
      </c>
      <c r="AG493" s="78">
        <f ca="1">IFERROR(IF(AC493=0,0, PPMT(Refi_I_Adj,'Loan Amort Table'!AC493,Refi_Amort_Periods,Refi_Orig_Loan_Amount)),0)</f>
        <v>0</v>
      </c>
      <c r="AH493" s="78">
        <f t="shared" ca="1" si="174"/>
        <v>0</v>
      </c>
      <c r="AI493" s="78">
        <f t="shared" ca="1" si="190"/>
        <v>0</v>
      </c>
    </row>
    <row r="494" spans="1:35" x14ac:dyDescent="0.25">
      <c r="A494">
        <f t="shared" si="170"/>
        <v>41</v>
      </c>
      <c r="B494">
        <f t="shared" si="175"/>
        <v>489</v>
      </c>
      <c r="C494" s="49">
        <f t="shared" si="169"/>
        <v>14855</v>
      </c>
      <c r="D494" s="78">
        <f>IF(C494&gt;EDATE(DATE(YEAR(SED_Origination_Date)+ SED_Amort, MONTH(SED_Origination_Date), DAY(SED_Origination_Date)),SED_Interest_Only),0,H493)</f>
        <v>0</v>
      </c>
      <c r="E494" s="78">
        <f t="shared" si="176"/>
        <v>0</v>
      </c>
      <c r="F494" s="78">
        <f>IFERROR(IF(OR(B494=0, C494&gt;=Refi_Origination_Date),0, PPMT(SED_I_Adj,'Loan Amort Table'!B494,SED_Amort_Periods,SED_Orig_Loan_Amount)),0)</f>
        <v>0</v>
      </c>
      <c r="G494" s="78" cm="1">
        <f t="array" ref="G494">IFERROR(_xlfn.IFS(C494&gt;=Refi_Origination_Date, 0, SED_Amort = 0, -D494 * SED_I_Adj, 1, IPMT(SED_I_Adj,IF(B494 = 0, 1, B494),SED_Amort_Periods,SED_Orig_Loan_Amount)),0)</f>
        <v>0</v>
      </c>
      <c r="H494" s="78">
        <f t="shared" si="191"/>
        <v>0</v>
      </c>
      <c r="J494">
        <f t="shared" si="171"/>
        <v>41</v>
      </c>
      <c r="K494">
        <f t="shared" si="177"/>
        <v>489</v>
      </c>
      <c r="L494" s="49">
        <f t="shared" si="184"/>
        <v>14855</v>
      </c>
      <c r="M494" s="78">
        <f>IF(L494&gt;EDATE(DATE(YEAR(NEW_Origination_Date)+ NEW_Amort, MONTH(NEW_Origination_Date), DAY(NEW_Origination_Date)),NEW_Interest_Only),0,Q493)</f>
        <v>0</v>
      </c>
      <c r="N494" s="78">
        <f t="shared" si="178"/>
        <v>0</v>
      </c>
      <c r="O494" s="78">
        <f>IFERROR(IF(K494=0,0, PPMT(NEW_I_Adj,'Loan Amort Table'!K494,NEW_Amort_Periods,NEW_Orig_Loan_Amount)),0)</f>
        <v>0</v>
      </c>
      <c r="P494" s="78">
        <f>IFERROR(IF(NEW_Amort = 0, -M494* NEW_I_Adj,IPMT(NEW_I_Adj,IF(K494 = 0, 1, K494),NEW_Amort_Periods,NEW_Orig_Loan_Amount)),0)</f>
        <v>0</v>
      </c>
      <c r="Q494" s="78">
        <f t="shared" si="179"/>
        <v>0</v>
      </c>
      <c r="S494">
        <f t="shared" si="172"/>
        <v>41</v>
      </c>
      <c r="T494">
        <f t="shared" si="180"/>
        <v>489</v>
      </c>
      <c r="U494" s="49">
        <f t="shared" si="185"/>
        <v>14855</v>
      </c>
      <c r="V494" s="78">
        <f t="shared" si="181"/>
        <v>0</v>
      </c>
      <c r="W494" s="78">
        <f t="shared" ca="1" si="186"/>
        <v>0</v>
      </c>
      <c r="X494" s="78">
        <f>IFERROR(IF(OR(T494=0, U494&gt;=Refi_Origination_Date),0, PPMT(Mezz_I_Adj,'Loan Amort Table'!T494,Mezz_Amort_Periods,Mezz_Orig_Loan_Amount)),0)</f>
        <v>0</v>
      </c>
      <c r="Y494" s="78" cm="1">
        <f t="array" aca="1" ref="Y494" ca="1">IFERROR(_xlfn.IFS(U494&gt;=Refi_Origination_Date,0, Mezz_Amort = 0, -V494 * Mezz_I_Adj, 1, IPMT(Mezz_I_Adj,IF(T494 = 0, 1, T494),Mezz_Amort_Periods,Mezz_Orig_Loan_Amount)),0)</f>
        <v>0</v>
      </c>
      <c r="Z494" s="78">
        <f t="shared" si="187"/>
        <v>0</v>
      </c>
      <c r="AB494">
        <f t="shared" si="173"/>
        <v>41</v>
      </c>
      <c r="AC494">
        <f t="shared" si="182"/>
        <v>489</v>
      </c>
      <c r="AD494" s="49">
        <f t="shared" si="188"/>
        <v>14855</v>
      </c>
      <c r="AE494" s="78">
        <f t="shared" si="183"/>
        <v>0</v>
      </c>
      <c r="AF494" s="78">
        <f t="shared" ca="1" si="189"/>
        <v>0</v>
      </c>
      <c r="AG494" s="78">
        <f ca="1">IFERROR(IF(AC494=0,0, PPMT(Refi_I_Adj,'Loan Amort Table'!AC494,Refi_Amort_Periods,Refi_Orig_Loan_Amount)),0)</f>
        <v>0</v>
      </c>
      <c r="AH494" s="78">
        <f t="shared" ca="1" si="174"/>
        <v>0</v>
      </c>
      <c r="AI494" s="78">
        <f t="shared" ca="1" si="190"/>
        <v>0</v>
      </c>
    </row>
    <row r="495" spans="1:35" x14ac:dyDescent="0.25">
      <c r="A495">
        <f t="shared" si="170"/>
        <v>41</v>
      </c>
      <c r="B495">
        <f t="shared" si="175"/>
        <v>490</v>
      </c>
      <c r="C495" s="49">
        <f t="shared" si="169"/>
        <v>14885</v>
      </c>
      <c r="D495" s="78">
        <f>IF(C495&gt;EDATE(DATE(YEAR(SED_Origination_Date)+ SED_Amort, MONTH(SED_Origination_Date), DAY(SED_Origination_Date)),SED_Interest_Only),0,H494)</f>
        <v>0</v>
      </c>
      <c r="E495" s="78">
        <f t="shared" si="176"/>
        <v>0</v>
      </c>
      <c r="F495" s="78">
        <f>IFERROR(IF(OR(B495=0, C495&gt;=Refi_Origination_Date),0, PPMT(SED_I_Adj,'Loan Amort Table'!B495,SED_Amort_Periods,SED_Orig_Loan_Amount)),0)</f>
        <v>0</v>
      </c>
      <c r="G495" s="78" cm="1">
        <f t="array" ref="G495">IFERROR(_xlfn.IFS(C495&gt;=Refi_Origination_Date, 0, SED_Amort = 0, -D495 * SED_I_Adj, 1, IPMT(SED_I_Adj,IF(B495 = 0, 1, B495),SED_Amort_Periods,SED_Orig_Loan_Amount)),0)</f>
        <v>0</v>
      </c>
      <c r="H495" s="78">
        <f t="shared" si="191"/>
        <v>0</v>
      </c>
      <c r="J495">
        <f t="shared" si="171"/>
        <v>41</v>
      </c>
      <c r="K495">
        <f t="shared" si="177"/>
        <v>490</v>
      </c>
      <c r="L495" s="49">
        <f t="shared" si="184"/>
        <v>14885</v>
      </c>
      <c r="M495" s="78">
        <f>IF(L495&gt;EDATE(DATE(YEAR(NEW_Origination_Date)+ NEW_Amort, MONTH(NEW_Origination_Date), DAY(NEW_Origination_Date)),NEW_Interest_Only),0,Q494)</f>
        <v>0</v>
      </c>
      <c r="N495" s="78">
        <f t="shared" si="178"/>
        <v>0</v>
      </c>
      <c r="O495" s="78">
        <f>IFERROR(IF(K495=0,0, PPMT(NEW_I_Adj,'Loan Amort Table'!K495,NEW_Amort_Periods,NEW_Orig_Loan_Amount)),0)</f>
        <v>0</v>
      </c>
      <c r="P495" s="78">
        <f>IFERROR(IF(NEW_Amort = 0, -M495* NEW_I_Adj,IPMT(NEW_I_Adj,IF(K495 = 0, 1, K495),NEW_Amort_Periods,NEW_Orig_Loan_Amount)),0)</f>
        <v>0</v>
      </c>
      <c r="Q495" s="78">
        <f t="shared" si="179"/>
        <v>0</v>
      </c>
      <c r="S495">
        <f t="shared" si="172"/>
        <v>41</v>
      </c>
      <c r="T495">
        <f t="shared" si="180"/>
        <v>490</v>
      </c>
      <c r="U495" s="49">
        <f t="shared" si="185"/>
        <v>14885</v>
      </c>
      <c r="V495" s="78">
        <f t="shared" si="181"/>
        <v>0</v>
      </c>
      <c r="W495" s="78">
        <f t="shared" ca="1" si="186"/>
        <v>0</v>
      </c>
      <c r="X495" s="78">
        <f>IFERROR(IF(OR(T495=0, U495&gt;=Refi_Origination_Date),0, PPMT(Mezz_I_Adj,'Loan Amort Table'!T495,Mezz_Amort_Periods,Mezz_Orig_Loan_Amount)),0)</f>
        <v>0</v>
      </c>
      <c r="Y495" s="78" cm="1">
        <f t="array" aca="1" ref="Y495" ca="1">IFERROR(_xlfn.IFS(U495&gt;=Refi_Origination_Date,0, Mezz_Amort = 0, -V495 * Mezz_I_Adj, 1, IPMT(Mezz_I_Adj,IF(T495 = 0, 1, T495),Mezz_Amort_Periods,Mezz_Orig_Loan_Amount)),0)</f>
        <v>0</v>
      </c>
      <c r="Z495" s="78">
        <f t="shared" si="187"/>
        <v>0</v>
      </c>
      <c r="AB495">
        <f t="shared" si="173"/>
        <v>41</v>
      </c>
      <c r="AC495">
        <f t="shared" si="182"/>
        <v>490</v>
      </c>
      <c r="AD495" s="49">
        <f t="shared" si="188"/>
        <v>14885</v>
      </c>
      <c r="AE495" s="78">
        <f t="shared" si="183"/>
        <v>0</v>
      </c>
      <c r="AF495" s="78">
        <f t="shared" ca="1" si="189"/>
        <v>0</v>
      </c>
      <c r="AG495" s="78">
        <f ca="1">IFERROR(IF(AC495=0,0, PPMT(Refi_I_Adj,'Loan Amort Table'!AC495,Refi_Amort_Periods,Refi_Orig_Loan_Amount)),0)</f>
        <v>0</v>
      </c>
      <c r="AH495" s="78">
        <f t="shared" ca="1" si="174"/>
        <v>0</v>
      </c>
      <c r="AI495" s="78">
        <f t="shared" ca="1" si="190"/>
        <v>0</v>
      </c>
    </row>
    <row r="496" spans="1:35" x14ac:dyDescent="0.25">
      <c r="A496">
        <f t="shared" si="170"/>
        <v>41</v>
      </c>
      <c r="B496">
        <f t="shared" si="175"/>
        <v>491</v>
      </c>
      <c r="C496" s="49">
        <f t="shared" si="169"/>
        <v>14916</v>
      </c>
      <c r="D496" s="78">
        <f>IF(C496&gt;EDATE(DATE(YEAR(SED_Origination_Date)+ SED_Amort, MONTH(SED_Origination_Date), DAY(SED_Origination_Date)),SED_Interest_Only),0,H495)</f>
        <v>0</v>
      </c>
      <c r="E496" s="78">
        <f t="shared" si="176"/>
        <v>0</v>
      </c>
      <c r="F496" s="78">
        <f>IFERROR(IF(OR(B496=0, C496&gt;=Refi_Origination_Date),0, PPMT(SED_I_Adj,'Loan Amort Table'!B496,SED_Amort_Periods,SED_Orig_Loan_Amount)),0)</f>
        <v>0</v>
      </c>
      <c r="G496" s="78" cm="1">
        <f t="array" ref="G496">IFERROR(_xlfn.IFS(C496&gt;=Refi_Origination_Date, 0, SED_Amort = 0, -D496 * SED_I_Adj, 1, IPMT(SED_I_Adj,IF(B496 = 0, 1, B496),SED_Amort_Periods,SED_Orig_Loan_Amount)),0)</f>
        <v>0</v>
      </c>
      <c r="H496" s="78">
        <f t="shared" si="191"/>
        <v>0</v>
      </c>
      <c r="J496">
        <f t="shared" si="171"/>
        <v>41</v>
      </c>
      <c r="K496">
        <f t="shared" si="177"/>
        <v>491</v>
      </c>
      <c r="L496" s="49">
        <f t="shared" si="184"/>
        <v>14916</v>
      </c>
      <c r="M496" s="78">
        <f>IF(L496&gt;EDATE(DATE(YEAR(NEW_Origination_Date)+ NEW_Amort, MONTH(NEW_Origination_Date), DAY(NEW_Origination_Date)),NEW_Interest_Only),0,Q495)</f>
        <v>0</v>
      </c>
      <c r="N496" s="78">
        <f t="shared" si="178"/>
        <v>0</v>
      </c>
      <c r="O496" s="78">
        <f>IFERROR(IF(K496=0,0, PPMT(NEW_I_Adj,'Loan Amort Table'!K496,NEW_Amort_Periods,NEW_Orig_Loan_Amount)),0)</f>
        <v>0</v>
      </c>
      <c r="P496" s="78">
        <f>IFERROR(IF(NEW_Amort = 0, -M496* NEW_I_Adj,IPMT(NEW_I_Adj,IF(K496 = 0, 1, K496),NEW_Amort_Periods,NEW_Orig_Loan_Amount)),0)</f>
        <v>0</v>
      </c>
      <c r="Q496" s="78">
        <f t="shared" si="179"/>
        <v>0</v>
      </c>
      <c r="S496">
        <f t="shared" si="172"/>
        <v>41</v>
      </c>
      <c r="T496">
        <f t="shared" si="180"/>
        <v>491</v>
      </c>
      <c r="U496" s="49">
        <f t="shared" si="185"/>
        <v>14916</v>
      </c>
      <c r="V496" s="78">
        <f t="shared" si="181"/>
        <v>0</v>
      </c>
      <c r="W496" s="78">
        <f t="shared" ca="1" si="186"/>
        <v>0</v>
      </c>
      <c r="X496" s="78">
        <f>IFERROR(IF(OR(T496=0, U496&gt;=Refi_Origination_Date),0, PPMT(Mezz_I_Adj,'Loan Amort Table'!T496,Mezz_Amort_Periods,Mezz_Orig_Loan_Amount)),0)</f>
        <v>0</v>
      </c>
      <c r="Y496" s="78" cm="1">
        <f t="array" aca="1" ref="Y496" ca="1">IFERROR(_xlfn.IFS(U496&gt;=Refi_Origination_Date,0, Mezz_Amort = 0, -V496 * Mezz_I_Adj, 1, IPMT(Mezz_I_Adj,IF(T496 = 0, 1, T496),Mezz_Amort_Periods,Mezz_Orig_Loan_Amount)),0)</f>
        <v>0</v>
      </c>
      <c r="Z496" s="78">
        <f t="shared" si="187"/>
        <v>0</v>
      </c>
      <c r="AB496">
        <f t="shared" si="173"/>
        <v>41</v>
      </c>
      <c r="AC496">
        <f t="shared" si="182"/>
        <v>491</v>
      </c>
      <c r="AD496" s="49">
        <f t="shared" si="188"/>
        <v>14916</v>
      </c>
      <c r="AE496" s="78">
        <f t="shared" si="183"/>
        <v>0</v>
      </c>
      <c r="AF496" s="78">
        <f t="shared" ca="1" si="189"/>
        <v>0</v>
      </c>
      <c r="AG496" s="78">
        <f ca="1">IFERROR(IF(AC496=0,0, PPMT(Refi_I_Adj,'Loan Amort Table'!AC496,Refi_Amort_Periods,Refi_Orig_Loan_Amount)),0)</f>
        <v>0</v>
      </c>
      <c r="AH496" s="78">
        <f t="shared" ca="1" si="174"/>
        <v>0</v>
      </c>
      <c r="AI496" s="78">
        <f t="shared" ca="1" si="190"/>
        <v>0</v>
      </c>
    </row>
    <row r="497" spans="1:35" x14ac:dyDescent="0.25">
      <c r="A497">
        <f t="shared" si="170"/>
        <v>41</v>
      </c>
      <c r="B497">
        <f t="shared" si="175"/>
        <v>492</v>
      </c>
      <c r="C497" s="49">
        <f t="shared" si="169"/>
        <v>14946</v>
      </c>
      <c r="D497" s="78">
        <f>IF(C497&gt;EDATE(DATE(YEAR(SED_Origination_Date)+ SED_Amort, MONTH(SED_Origination_Date), DAY(SED_Origination_Date)),SED_Interest_Only),0,H496)</f>
        <v>0</v>
      </c>
      <c r="E497" s="78">
        <f t="shared" si="176"/>
        <v>0</v>
      </c>
      <c r="F497" s="78">
        <f>IFERROR(IF(OR(B497=0, C497&gt;=Refi_Origination_Date),0, PPMT(SED_I_Adj,'Loan Amort Table'!B497,SED_Amort_Periods,SED_Orig_Loan_Amount)),0)</f>
        <v>0</v>
      </c>
      <c r="G497" s="78" cm="1">
        <f t="array" ref="G497">IFERROR(_xlfn.IFS(C497&gt;=Refi_Origination_Date, 0, SED_Amort = 0, -D497 * SED_I_Adj, 1, IPMT(SED_I_Adj,IF(B497 = 0, 1, B497),SED_Amort_Periods,SED_Orig_Loan_Amount)),0)</f>
        <v>0</v>
      </c>
      <c r="H497" s="78">
        <f t="shared" si="191"/>
        <v>0</v>
      </c>
      <c r="J497">
        <f t="shared" si="171"/>
        <v>41</v>
      </c>
      <c r="K497">
        <f t="shared" si="177"/>
        <v>492</v>
      </c>
      <c r="L497" s="49">
        <f t="shared" si="184"/>
        <v>14946</v>
      </c>
      <c r="M497" s="78">
        <f>IF(L497&gt;EDATE(DATE(YEAR(NEW_Origination_Date)+ NEW_Amort, MONTH(NEW_Origination_Date), DAY(NEW_Origination_Date)),NEW_Interest_Only),0,Q496)</f>
        <v>0</v>
      </c>
      <c r="N497" s="78">
        <f t="shared" si="178"/>
        <v>0</v>
      </c>
      <c r="O497" s="78">
        <f>IFERROR(IF(K497=0,0, PPMT(NEW_I_Adj,'Loan Amort Table'!K497,NEW_Amort_Periods,NEW_Orig_Loan_Amount)),0)</f>
        <v>0</v>
      </c>
      <c r="P497" s="78">
        <f>IFERROR(IF(NEW_Amort = 0, -M497* NEW_I_Adj,IPMT(NEW_I_Adj,IF(K497 = 0, 1, K497),NEW_Amort_Periods,NEW_Orig_Loan_Amount)),0)</f>
        <v>0</v>
      </c>
      <c r="Q497" s="78">
        <f t="shared" si="179"/>
        <v>0</v>
      </c>
      <c r="S497">
        <f t="shared" si="172"/>
        <v>41</v>
      </c>
      <c r="T497">
        <f t="shared" si="180"/>
        <v>492</v>
      </c>
      <c r="U497" s="49">
        <f t="shared" si="185"/>
        <v>14946</v>
      </c>
      <c r="V497" s="78">
        <f t="shared" si="181"/>
        <v>0</v>
      </c>
      <c r="W497" s="78">
        <f t="shared" ca="1" si="186"/>
        <v>0</v>
      </c>
      <c r="X497" s="78">
        <f>IFERROR(IF(OR(T497=0, U497&gt;=Refi_Origination_Date),0, PPMT(Mezz_I_Adj,'Loan Amort Table'!T497,Mezz_Amort_Periods,Mezz_Orig_Loan_Amount)),0)</f>
        <v>0</v>
      </c>
      <c r="Y497" s="78" cm="1">
        <f t="array" aca="1" ref="Y497" ca="1">IFERROR(_xlfn.IFS(U497&gt;=Refi_Origination_Date,0, Mezz_Amort = 0, -V497 * Mezz_I_Adj, 1, IPMT(Mezz_I_Adj,IF(T497 = 0, 1, T497),Mezz_Amort_Periods,Mezz_Orig_Loan_Amount)),0)</f>
        <v>0</v>
      </c>
      <c r="Z497" s="78">
        <f t="shared" si="187"/>
        <v>0</v>
      </c>
      <c r="AB497">
        <f t="shared" si="173"/>
        <v>41</v>
      </c>
      <c r="AC497">
        <f t="shared" si="182"/>
        <v>492</v>
      </c>
      <c r="AD497" s="49">
        <f t="shared" si="188"/>
        <v>14946</v>
      </c>
      <c r="AE497" s="78">
        <f t="shared" si="183"/>
        <v>0</v>
      </c>
      <c r="AF497" s="78">
        <f t="shared" ca="1" si="189"/>
        <v>0</v>
      </c>
      <c r="AG497" s="78">
        <f ca="1">IFERROR(IF(AC497=0,0, PPMT(Refi_I_Adj,'Loan Amort Table'!AC497,Refi_Amort_Periods,Refi_Orig_Loan_Amount)),0)</f>
        <v>0</v>
      </c>
      <c r="AH497" s="78">
        <f t="shared" ca="1" si="174"/>
        <v>0</v>
      </c>
      <c r="AI497" s="78">
        <f t="shared" ca="1" si="190"/>
        <v>0</v>
      </c>
    </row>
    <row r="498" spans="1:35" x14ac:dyDescent="0.25">
      <c r="A498">
        <f t="shared" si="170"/>
        <v>42</v>
      </c>
      <c r="B498">
        <f t="shared" si="175"/>
        <v>493</v>
      </c>
      <c r="C498" s="49">
        <f t="shared" si="169"/>
        <v>14977</v>
      </c>
      <c r="D498" s="78">
        <f>IF(C498&gt;EDATE(DATE(YEAR(SED_Origination_Date)+ SED_Amort, MONTH(SED_Origination_Date), DAY(SED_Origination_Date)),SED_Interest_Only),0,H497)</f>
        <v>0</v>
      </c>
      <c r="E498" s="78">
        <f t="shared" si="176"/>
        <v>0</v>
      </c>
      <c r="F498" s="78">
        <f>IFERROR(IF(OR(B498=0, C498&gt;=Refi_Origination_Date),0, PPMT(SED_I_Adj,'Loan Amort Table'!B498,SED_Amort_Periods,SED_Orig_Loan_Amount)),0)</f>
        <v>0</v>
      </c>
      <c r="G498" s="78" cm="1">
        <f t="array" ref="G498">IFERROR(_xlfn.IFS(C498&gt;=Refi_Origination_Date, 0, SED_Amort = 0, -D498 * SED_I_Adj, 1, IPMT(SED_I_Adj,IF(B498 = 0, 1, B498),SED_Amort_Periods,SED_Orig_Loan_Amount)),0)</f>
        <v>0</v>
      </c>
      <c r="H498" s="78">
        <f t="shared" si="191"/>
        <v>0</v>
      </c>
      <c r="J498">
        <f t="shared" si="171"/>
        <v>42</v>
      </c>
      <c r="K498">
        <f t="shared" si="177"/>
        <v>493</v>
      </c>
      <c r="L498" s="49">
        <f t="shared" si="184"/>
        <v>14977</v>
      </c>
      <c r="M498" s="78">
        <f>IF(L498&gt;EDATE(DATE(YEAR(NEW_Origination_Date)+ NEW_Amort, MONTH(NEW_Origination_Date), DAY(NEW_Origination_Date)),NEW_Interest_Only),0,Q497)</f>
        <v>0</v>
      </c>
      <c r="N498" s="78">
        <f t="shared" si="178"/>
        <v>0</v>
      </c>
      <c r="O498" s="78">
        <f>IFERROR(IF(K498=0,0, PPMT(NEW_I_Adj,'Loan Amort Table'!K498,NEW_Amort_Periods,NEW_Orig_Loan_Amount)),0)</f>
        <v>0</v>
      </c>
      <c r="P498" s="78">
        <f>IFERROR(IF(NEW_Amort = 0, -M498* NEW_I_Adj,IPMT(NEW_I_Adj,IF(K498 = 0, 1, K498),NEW_Amort_Periods,NEW_Orig_Loan_Amount)),0)</f>
        <v>0</v>
      </c>
      <c r="Q498" s="78">
        <f t="shared" si="179"/>
        <v>0</v>
      </c>
      <c r="S498">
        <f t="shared" si="172"/>
        <v>42</v>
      </c>
      <c r="T498">
        <f t="shared" si="180"/>
        <v>493</v>
      </c>
      <c r="U498" s="49">
        <f t="shared" si="185"/>
        <v>14977</v>
      </c>
      <c r="V498" s="78">
        <f t="shared" si="181"/>
        <v>0</v>
      </c>
      <c r="W498" s="78">
        <f t="shared" ca="1" si="186"/>
        <v>0</v>
      </c>
      <c r="X498" s="78">
        <f>IFERROR(IF(OR(T498=0, U498&gt;=Refi_Origination_Date),0, PPMT(Mezz_I_Adj,'Loan Amort Table'!T498,Mezz_Amort_Periods,Mezz_Orig_Loan_Amount)),0)</f>
        <v>0</v>
      </c>
      <c r="Y498" s="78" cm="1">
        <f t="array" aca="1" ref="Y498" ca="1">IFERROR(_xlfn.IFS(U498&gt;=Refi_Origination_Date,0, Mezz_Amort = 0, -V498 * Mezz_I_Adj, 1, IPMT(Mezz_I_Adj,IF(T498 = 0, 1, T498),Mezz_Amort_Periods,Mezz_Orig_Loan_Amount)),0)</f>
        <v>0</v>
      </c>
      <c r="Z498" s="78">
        <f t="shared" si="187"/>
        <v>0</v>
      </c>
      <c r="AB498">
        <f t="shared" si="173"/>
        <v>42</v>
      </c>
      <c r="AC498">
        <f t="shared" si="182"/>
        <v>493</v>
      </c>
      <c r="AD498" s="49">
        <f t="shared" si="188"/>
        <v>14977</v>
      </c>
      <c r="AE498" s="78">
        <f t="shared" si="183"/>
        <v>0</v>
      </c>
      <c r="AF498" s="78">
        <f t="shared" ca="1" si="189"/>
        <v>0</v>
      </c>
      <c r="AG498" s="78">
        <f ca="1">IFERROR(IF(AC498=0,0, PPMT(Refi_I_Adj,'Loan Amort Table'!AC498,Refi_Amort_Periods,Refi_Orig_Loan_Amount)),0)</f>
        <v>0</v>
      </c>
      <c r="AH498" s="78">
        <f t="shared" ca="1" si="174"/>
        <v>0</v>
      </c>
      <c r="AI498" s="78">
        <f t="shared" ca="1" si="190"/>
        <v>0</v>
      </c>
    </row>
    <row r="499" spans="1:35" x14ac:dyDescent="0.25">
      <c r="A499">
        <f t="shared" si="170"/>
        <v>42</v>
      </c>
      <c r="B499">
        <f t="shared" si="175"/>
        <v>494</v>
      </c>
      <c r="C499" s="49">
        <f t="shared" si="169"/>
        <v>15008</v>
      </c>
      <c r="D499" s="78">
        <f>IF(C499&gt;EDATE(DATE(YEAR(SED_Origination_Date)+ SED_Amort, MONTH(SED_Origination_Date), DAY(SED_Origination_Date)),SED_Interest_Only),0,H498)</f>
        <v>0</v>
      </c>
      <c r="E499" s="78">
        <f t="shared" si="176"/>
        <v>0</v>
      </c>
      <c r="F499" s="78">
        <f>IFERROR(IF(OR(B499=0, C499&gt;=Refi_Origination_Date),0, PPMT(SED_I_Adj,'Loan Amort Table'!B499,SED_Amort_Periods,SED_Orig_Loan_Amount)),0)</f>
        <v>0</v>
      </c>
      <c r="G499" s="78" cm="1">
        <f t="array" ref="G499">IFERROR(_xlfn.IFS(C499&gt;=Refi_Origination_Date, 0, SED_Amort = 0, -D499 * SED_I_Adj, 1, IPMT(SED_I_Adj,IF(B499 = 0, 1, B499),SED_Amort_Periods,SED_Orig_Loan_Amount)),0)</f>
        <v>0</v>
      </c>
      <c r="H499" s="78">
        <f t="shared" si="191"/>
        <v>0</v>
      </c>
      <c r="J499">
        <f t="shared" si="171"/>
        <v>42</v>
      </c>
      <c r="K499">
        <f t="shared" si="177"/>
        <v>494</v>
      </c>
      <c r="L499" s="49">
        <f t="shared" si="184"/>
        <v>15008</v>
      </c>
      <c r="M499" s="78">
        <f>IF(L499&gt;EDATE(DATE(YEAR(NEW_Origination_Date)+ NEW_Amort, MONTH(NEW_Origination_Date), DAY(NEW_Origination_Date)),NEW_Interest_Only),0,Q498)</f>
        <v>0</v>
      </c>
      <c r="N499" s="78">
        <f t="shared" si="178"/>
        <v>0</v>
      </c>
      <c r="O499" s="78">
        <f>IFERROR(IF(K499=0,0, PPMT(NEW_I_Adj,'Loan Amort Table'!K499,NEW_Amort_Periods,NEW_Orig_Loan_Amount)),0)</f>
        <v>0</v>
      </c>
      <c r="P499" s="78">
        <f>IFERROR(IF(NEW_Amort = 0, -M499* NEW_I_Adj,IPMT(NEW_I_Adj,IF(K499 = 0, 1, K499),NEW_Amort_Periods,NEW_Orig_Loan_Amount)),0)</f>
        <v>0</v>
      </c>
      <c r="Q499" s="78">
        <f t="shared" si="179"/>
        <v>0</v>
      </c>
      <c r="S499">
        <f t="shared" si="172"/>
        <v>42</v>
      </c>
      <c r="T499">
        <f t="shared" si="180"/>
        <v>494</v>
      </c>
      <c r="U499" s="49">
        <f t="shared" si="185"/>
        <v>15008</v>
      </c>
      <c r="V499" s="78">
        <f t="shared" si="181"/>
        <v>0</v>
      </c>
      <c r="W499" s="78">
        <f t="shared" ca="1" si="186"/>
        <v>0</v>
      </c>
      <c r="X499" s="78">
        <f>IFERROR(IF(OR(T499=0, U499&gt;=Refi_Origination_Date),0, PPMT(Mezz_I_Adj,'Loan Amort Table'!T499,Mezz_Amort_Periods,Mezz_Orig_Loan_Amount)),0)</f>
        <v>0</v>
      </c>
      <c r="Y499" s="78" cm="1">
        <f t="array" aca="1" ref="Y499" ca="1">IFERROR(_xlfn.IFS(U499&gt;=Refi_Origination_Date,0, Mezz_Amort = 0, -V499 * Mezz_I_Adj, 1, IPMT(Mezz_I_Adj,IF(T499 = 0, 1, T499),Mezz_Amort_Periods,Mezz_Orig_Loan_Amount)),0)</f>
        <v>0</v>
      </c>
      <c r="Z499" s="78">
        <f t="shared" si="187"/>
        <v>0</v>
      </c>
      <c r="AB499">
        <f t="shared" si="173"/>
        <v>42</v>
      </c>
      <c r="AC499">
        <f t="shared" si="182"/>
        <v>494</v>
      </c>
      <c r="AD499" s="49">
        <f t="shared" si="188"/>
        <v>15008</v>
      </c>
      <c r="AE499" s="78">
        <f t="shared" si="183"/>
        <v>0</v>
      </c>
      <c r="AF499" s="78">
        <f t="shared" ca="1" si="189"/>
        <v>0</v>
      </c>
      <c r="AG499" s="78">
        <f ca="1">IFERROR(IF(AC499=0,0, PPMT(Refi_I_Adj,'Loan Amort Table'!AC499,Refi_Amort_Periods,Refi_Orig_Loan_Amount)),0)</f>
        <v>0</v>
      </c>
      <c r="AH499" s="78">
        <f t="shared" ca="1" si="174"/>
        <v>0</v>
      </c>
      <c r="AI499" s="78">
        <f t="shared" ca="1" si="190"/>
        <v>0</v>
      </c>
    </row>
    <row r="500" spans="1:35" x14ac:dyDescent="0.25">
      <c r="A500">
        <f t="shared" si="170"/>
        <v>42</v>
      </c>
      <c r="B500">
        <f t="shared" si="175"/>
        <v>495</v>
      </c>
      <c r="C500" s="49">
        <f t="shared" si="169"/>
        <v>15036</v>
      </c>
      <c r="D500" s="78">
        <f>IF(C500&gt;EDATE(DATE(YEAR(SED_Origination_Date)+ SED_Amort, MONTH(SED_Origination_Date), DAY(SED_Origination_Date)),SED_Interest_Only),0,H499)</f>
        <v>0</v>
      </c>
      <c r="E500" s="78">
        <f t="shared" si="176"/>
        <v>0</v>
      </c>
      <c r="F500" s="78">
        <f>IFERROR(IF(OR(B500=0, C500&gt;=Refi_Origination_Date),0, PPMT(SED_I_Adj,'Loan Amort Table'!B500,SED_Amort_Periods,SED_Orig_Loan_Amount)),0)</f>
        <v>0</v>
      </c>
      <c r="G500" s="78" cm="1">
        <f t="array" ref="G500">IFERROR(_xlfn.IFS(C500&gt;=Refi_Origination_Date, 0, SED_Amort = 0, -D500 * SED_I_Adj, 1, IPMT(SED_I_Adj,IF(B500 = 0, 1, B500),SED_Amort_Periods,SED_Orig_Loan_Amount)),0)</f>
        <v>0</v>
      </c>
      <c r="H500" s="78">
        <f t="shared" si="191"/>
        <v>0</v>
      </c>
      <c r="J500">
        <f t="shared" si="171"/>
        <v>42</v>
      </c>
      <c r="K500">
        <f t="shared" si="177"/>
        <v>495</v>
      </c>
      <c r="L500" s="49">
        <f t="shared" si="184"/>
        <v>15036</v>
      </c>
      <c r="M500" s="78">
        <f>IF(L500&gt;EDATE(DATE(YEAR(NEW_Origination_Date)+ NEW_Amort, MONTH(NEW_Origination_Date), DAY(NEW_Origination_Date)),NEW_Interest_Only),0,Q499)</f>
        <v>0</v>
      </c>
      <c r="N500" s="78">
        <f t="shared" si="178"/>
        <v>0</v>
      </c>
      <c r="O500" s="78">
        <f>IFERROR(IF(K500=0,0, PPMT(NEW_I_Adj,'Loan Amort Table'!K500,NEW_Amort_Periods,NEW_Orig_Loan_Amount)),0)</f>
        <v>0</v>
      </c>
      <c r="P500" s="78">
        <f>IFERROR(IF(NEW_Amort = 0, -M500* NEW_I_Adj,IPMT(NEW_I_Adj,IF(K500 = 0, 1, K500),NEW_Amort_Periods,NEW_Orig_Loan_Amount)),0)</f>
        <v>0</v>
      </c>
      <c r="Q500" s="78">
        <f t="shared" si="179"/>
        <v>0</v>
      </c>
      <c r="S500">
        <f t="shared" si="172"/>
        <v>42</v>
      </c>
      <c r="T500">
        <f t="shared" si="180"/>
        <v>495</v>
      </c>
      <c r="U500" s="49">
        <f t="shared" si="185"/>
        <v>15036</v>
      </c>
      <c r="V500" s="78">
        <f t="shared" si="181"/>
        <v>0</v>
      </c>
      <c r="W500" s="78">
        <f t="shared" ca="1" si="186"/>
        <v>0</v>
      </c>
      <c r="X500" s="78">
        <f>IFERROR(IF(OR(T500=0, U500&gt;=Refi_Origination_Date),0, PPMT(Mezz_I_Adj,'Loan Amort Table'!T500,Mezz_Amort_Periods,Mezz_Orig_Loan_Amount)),0)</f>
        <v>0</v>
      </c>
      <c r="Y500" s="78" cm="1">
        <f t="array" aca="1" ref="Y500" ca="1">IFERROR(_xlfn.IFS(U500&gt;=Refi_Origination_Date,0, Mezz_Amort = 0, -V500 * Mezz_I_Adj, 1, IPMT(Mezz_I_Adj,IF(T500 = 0, 1, T500),Mezz_Amort_Periods,Mezz_Orig_Loan_Amount)),0)</f>
        <v>0</v>
      </c>
      <c r="Z500" s="78">
        <f t="shared" si="187"/>
        <v>0</v>
      </c>
      <c r="AB500">
        <f t="shared" si="173"/>
        <v>42</v>
      </c>
      <c r="AC500">
        <f t="shared" si="182"/>
        <v>495</v>
      </c>
      <c r="AD500" s="49">
        <f t="shared" si="188"/>
        <v>15036</v>
      </c>
      <c r="AE500" s="78">
        <f t="shared" si="183"/>
        <v>0</v>
      </c>
      <c r="AF500" s="78">
        <f t="shared" ca="1" si="189"/>
        <v>0</v>
      </c>
      <c r="AG500" s="78">
        <f ca="1">IFERROR(IF(AC500=0,0, PPMT(Refi_I_Adj,'Loan Amort Table'!AC500,Refi_Amort_Periods,Refi_Orig_Loan_Amount)),0)</f>
        <v>0</v>
      </c>
      <c r="AH500" s="78">
        <f t="shared" ca="1" si="174"/>
        <v>0</v>
      </c>
      <c r="AI500" s="78">
        <f t="shared" ca="1" si="190"/>
        <v>0</v>
      </c>
    </row>
    <row r="501" spans="1:35" x14ac:dyDescent="0.25">
      <c r="A501" s="535" t="s">
        <v>179</v>
      </c>
      <c r="B501" s="535" t="s">
        <v>179</v>
      </c>
      <c r="C501" s="535" t="s">
        <v>179</v>
      </c>
      <c r="D501" s="535" t="s">
        <v>179</v>
      </c>
      <c r="E501" s="535" t="s">
        <v>179</v>
      </c>
      <c r="F501" s="535" t="s">
        <v>179</v>
      </c>
      <c r="G501" s="535" t="s">
        <v>179</v>
      </c>
      <c r="H501" s="535" t="s">
        <v>179</v>
      </c>
      <c r="I501" s="535" t="s">
        <v>179</v>
      </c>
      <c r="J501" s="535" t="s">
        <v>179</v>
      </c>
      <c r="K501" s="535" t="s">
        <v>179</v>
      </c>
      <c r="L501" s="535" t="s">
        <v>179</v>
      </c>
      <c r="M501" s="535" t="s">
        <v>179</v>
      </c>
      <c r="N501" s="535" t="s">
        <v>179</v>
      </c>
      <c r="O501" s="535" t="s">
        <v>179</v>
      </c>
      <c r="P501" s="535" t="s">
        <v>179</v>
      </c>
      <c r="Q501" s="535" t="s">
        <v>179</v>
      </c>
      <c r="S501" s="535" t="s">
        <v>179</v>
      </c>
      <c r="T501" s="535" t="s">
        <v>179</v>
      </c>
      <c r="U501" s="535" t="s">
        <v>179</v>
      </c>
      <c r="V501" s="535" t="s">
        <v>179</v>
      </c>
      <c r="W501" s="535" t="s">
        <v>179</v>
      </c>
      <c r="X501" s="535" t="s">
        <v>179</v>
      </c>
      <c r="Y501" s="535" t="s">
        <v>179</v>
      </c>
      <c r="Z501" s="535" t="s">
        <v>179</v>
      </c>
      <c r="AB501" s="535" t="s">
        <v>179</v>
      </c>
      <c r="AC501" s="535" t="s">
        <v>179</v>
      </c>
      <c r="AD501" s="535" t="s">
        <v>179</v>
      </c>
      <c r="AE501" s="535" t="s">
        <v>179</v>
      </c>
      <c r="AF501" s="535" t="s">
        <v>179</v>
      </c>
      <c r="AG501" s="535" t="s">
        <v>179</v>
      </c>
      <c r="AH501" s="535" t="s">
        <v>179</v>
      </c>
      <c r="AI501" s="535" t="s">
        <v>179</v>
      </c>
    </row>
  </sheetData>
  <mergeCells count="4">
    <mergeCell ref="A3:B3"/>
    <mergeCell ref="J3:K3"/>
    <mergeCell ref="S3:T3"/>
    <mergeCell ref="AB3:AC3"/>
  </mergeCells>
  <pageMargins left="0.7" right="0.7" top="0.75" bottom="0.75" header="0.3" footer="0.3"/>
  <pageSetup orientation="portrait" r:id="rId1"/>
  <customProperties>
    <customPr name="GUID" r:id="rId2"/>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BE36-6F93-4A18-83CA-F3CFB48265E2}">
  <sheetPr codeName="Sheet10">
    <tabColor rgb="FFD8E2EC"/>
  </sheetPr>
  <dimension ref="A1:AE68"/>
  <sheetViews>
    <sheetView topLeftCell="C1" zoomScale="130" zoomScaleNormal="130" workbookViewId="0">
      <selection activeCell="H34" sqref="H34:H35"/>
    </sheetView>
  </sheetViews>
  <sheetFormatPr defaultColWidth="8.85546875" defaultRowHeight="15" x14ac:dyDescent="0.25"/>
  <cols>
    <col min="1" max="1" width="18.42578125" hidden="1" customWidth="1"/>
    <col min="2" max="2" width="0" hidden="1" customWidth="1"/>
    <col min="3" max="3" width="3.28515625" customWidth="1"/>
    <col min="4" max="4" width="37" bestFit="1" customWidth="1"/>
    <col min="5" max="5" width="1.28515625" customWidth="1"/>
    <col min="6" max="6" width="12" bestFit="1" customWidth="1"/>
    <col min="7" max="7" width="3.85546875" customWidth="1"/>
    <col min="8" max="8" width="16.28515625" customWidth="1"/>
    <col min="9" max="9" width="4.140625" customWidth="1"/>
    <col min="10" max="10" width="14.140625" bestFit="1" customWidth="1"/>
    <col min="11" max="11" width="3.85546875" customWidth="1"/>
    <col min="12" max="12" width="13.28515625" bestFit="1" customWidth="1"/>
    <col min="13" max="13" width="5.28515625" customWidth="1"/>
    <col min="14" max="14" width="16.42578125" customWidth="1"/>
    <col min="15" max="15" width="11.42578125" bestFit="1" customWidth="1"/>
    <col min="16" max="16" width="22.28515625" customWidth="1"/>
    <col min="17" max="18" width="5.28515625" customWidth="1"/>
    <col min="19" max="19" width="24.42578125" customWidth="1"/>
    <col min="20" max="22" width="12.7109375" customWidth="1"/>
    <col min="23" max="23" width="14.28515625" bestFit="1" customWidth="1"/>
    <col min="24" max="29" width="12.7109375" customWidth="1"/>
  </cols>
  <sheetData>
    <row r="1" spans="1:31" ht="5.25" customHeight="1" x14ac:dyDescent="0.25">
      <c r="C1" s="84"/>
      <c r="D1" s="96"/>
      <c r="E1" s="96"/>
      <c r="F1" s="96"/>
      <c r="G1" s="96"/>
      <c r="H1" s="96"/>
      <c r="I1" s="84"/>
      <c r="J1" s="84"/>
      <c r="K1" s="84"/>
      <c r="L1" s="84"/>
      <c r="M1" s="84"/>
      <c r="N1" s="84"/>
      <c r="O1" s="84"/>
      <c r="P1" s="84"/>
      <c r="Q1" s="84"/>
      <c r="R1" s="84"/>
      <c r="S1" s="85"/>
      <c r="T1" s="85"/>
      <c r="U1" s="93"/>
      <c r="V1" s="93"/>
      <c r="W1" s="93"/>
      <c r="X1" s="93"/>
      <c r="Y1" s="93"/>
      <c r="Z1" s="93"/>
      <c r="AA1" s="93"/>
      <c r="AB1" s="93"/>
      <c r="AC1" s="93"/>
      <c r="AD1" s="93"/>
      <c r="AE1" s="87"/>
    </row>
    <row r="2" spans="1:31" ht="15.75" customHeight="1" x14ac:dyDescent="0.25">
      <c r="C2" s="94"/>
      <c r="D2" s="100" t="s">
        <v>180</v>
      </c>
      <c r="E2" s="1083"/>
      <c r="F2" s="1083"/>
      <c r="G2" s="1083"/>
      <c r="H2" s="1083"/>
      <c r="I2" s="95"/>
      <c r="J2" s="86"/>
      <c r="K2" s="86"/>
      <c r="L2" s="86"/>
      <c r="M2" s="86"/>
      <c r="N2" s="86"/>
      <c r="O2" s="86"/>
      <c r="P2" s="86"/>
      <c r="Q2" s="86"/>
      <c r="R2" s="86"/>
      <c r="S2" s="85"/>
      <c r="T2" s="85"/>
      <c r="U2" s="85"/>
      <c r="V2" s="85"/>
      <c r="W2" s="85"/>
      <c r="X2" s="85"/>
      <c r="Y2" s="85"/>
      <c r="Z2" s="85"/>
      <c r="AA2" s="85"/>
      <c r="AB2" s="85"/>
      <c r="AC2" s="85"/>
      <c r="AD2" s="85"/>
      <c r="AE2" s="89"/>
    </row>
    <row r="3" spans="1:31" ht="15.75" customHeight="1" x14ac:dyDescent="0.25">
      <c r="C3" s="86"/>
      <c r="D3" s="99" t="s">
        <v>181</v>
      </c>
      <c r="E3" s="93"/>
      <c r="F3" s="1084" t="s">
        <v>182</v>
      </c>
      <c r="G3" s="1085"/>
      <c r="H3" s="1086"/>
      <c r="I3" s="86"/>
      <c r="J3" s="86"/>
      <c r="K3" s="86"/>
      <c r="L3" s="86"/>
      <c r="M3" s="86"/>
      <c r="N3" s="86"/>
      <c r="O3" s="86"/>
      <c r="P3" s="86"/>
      <c r="Q3" s="86"/>
      <c r="R3" s="86"/>
      <c r="S3" s="85"/>
      <c r="T3" s="85"/>
      <c r="U3" s="85"/>
      <c r="V3" s="85"/>
      <c r="W3" s="85"/>
      <c r="X3" s="85"/>
      <c r="Y3" s="85"/>
      <c r="Z3" s="85"/>
      <c r="AA3" s="85"/>
      <c r="AB3" s="85"/>
      <c r="AC3" s="85"/>
      <c r="AD3" s="85"/>
      <c r="AE3" s="89"/>
    </row>
    <row r="4" spans="1:31" ht="15.75" customHeight="1" thickBot="1" x14ac:dyDescent="0.3">
      <c r="A4" s="917" t="s">
        <v>183</v>
      </c>
      <c r="C4" s="86"/>
      <c r="D4" s="97" t="s">
        <v>184</v>
      </c>
      <c r="E4" s="85"/>
      <c r="F4" s="1087" t="s">
        <v>185</v>
      </c>
      <c r="G4" s="1088"/>
      <c r="H4" s="1089"/>
      <c r="I4" s="86"/>
      <c r="J4" s="86"/>
      <c r="K4" s="86"/>
      <c r="L4" s="86"/>
      <c r="M4" s="86"/>
      <c r="N4" s="86"/>
      <c r="O4" s="86"/>
      <c r="P4" s="86"/>
      <c r="Q4" s="86"/>
      <c r="R4" s="86"/>
      <c r="S4" s="85"/>
      <c r="T4" s="85"/>
      <c r="U4" s="85"/>
      <c r="V4" s="85"/>
      <c r="W4" s="85"/>
      <c r="X4" s="85"/>
      <c r="Y4" s="85"/>
      <c r="Z4" s="85"/>
      <c r="AA4" s="85"/>
      <c r="AB4" s="85"/>
      <c r="AC4" s="85"/>
      <c r="AD4" s="85"/>
      <c r="AE4" s="89"/>
    </row>
    <row r="5" spans="1:31" ht="15.75" customHeight="1" x14ac:dyDescent="0.25">
      <c r="A5" s="916" t="s">
        <v>186</v>
      </c>
      <c r="C5" s="86"/>
      <c r="D5" s="98" t="s">
        <v>187</v>
      </c>
      <c r="E5" s="91"/>
      <c r="F5" s="1090" t="s">
        <v>185</v>
      </c>
      <c r="G5" s="1091"/>
      <c r="H5" s="1092"/>
      <c r="I5" s="86"/>
      <c r="J5" s="86"/>
      <c r="K5" s="86"/>
      <c r="L5" s="86"/>
      <c r="M5" s="86"/>
      <c r="N5" s="86"/>
      <c r="O5" s="86"/>
      <c r="P5" s="86"/>
      <c r="Q5" s="86"/>
      <c r="R5" s="86"/>
      <c r="S5" s="85"/>
      <c r="T5" s="85"/>
      <c r="U5" s="85"/>
      <c r="V5" s="85"/>
      <c r="W5" s="85"/>
      <c r="X5" s="85"/>
      <c r="Y5" s="85"/>
      <c r="Z5" s="85"/>
      <c r="AA5" s="85"/>
      <c r="AB5" s="85"/>
      <c r="AC5" s="85"/>
      <c r="AD5" s="85"/>
      <c r="AE5" s="89"/>
    </row>
    <row r="6" spans="1:31" ht="15.75" customHeight="1" x14ac:dyDescent="0.25">
      <c r="A6" s="915" t="s">
        <v>188</v>
      </c>
      <c r="B6" s="1052"/>
      <c r="C6" s="94"/>
      <c r="D6" s="100" t="s">
        <v>165</v>
      </c>
      <c r="E6" s="1083"/>
      <c r="F6" s="1083"/>
      <c r="G6" s="1083"/>
      <c r="H6" s="1083"/>
      <c r="I6" s="95"/>
      <c r="J6" s="86"/>
      <c r="K6" s="86"/>
      <c r="L6" s="86"/>
      <c r="M6" s="86"/>
      <c r="N6" s="1008"/>
      <c r="O6" s="86"/>
      <c r="P6" s="86"/>
      <c r="Q6" s="86"/>
      <c r="R6" s="86"/>
      <c r="S6" s="85"/>
      <c r="T6" s="85"/>
      <c r="U6" s="85"/>
      <c r="V6" s="85"/>
      <c r="W6" s="85"/>
      <c r="X6" s="85"/>
      <c r="Y6" s="85"/>
      <c r="Z6" s="85"/>
      <c r="AA6" s="85"/>
      <c r="AB6" s="85"/>
      <c r="AC6" s="85"/>
      <c r="AD6" s="85"/>
      <c r="AE6" s="89"/>
    </row>
    <row r="7" spans="1:31" x14ac:dyDescent="0.25">
      <c r="A7" s="915" t="s">
        <v>189</v>
      </c>
      <c r="C7" s="86"/>
      <c r="D7" s="99" t="s">
        <v>190</v>
      </c>
      <c r="F7" s="1084" t="s">
        <v>191</v>
      </c>
      <c r="G7" s="1085"/>
      <c r="H7" s="1086"/>
      <c r="I7" s="86"/>
      <c r="J7" s="86"/>
      <c r="K7" s="86"/>
      <c r="L7" s="86"/>
      <c r="M7" s="86"/>
      <c r="N7" s="86"/>
      <c r="O7" s="86"/>
      <c r="P7" s="86"/>
      <c r="Q7" s="86"/>
      <c r="R7" s="86"/>
      <c r="S7" s="85"/>
      <c r="T7" s="85"/>
      <c r="U7" s="85"/>
      <c r="V7" s="85"/>
      <c r="W7" s="85"/>
      <c r="X7" s="85"/>
      <c r="Y7" s="85"/>
      <c r="Z7" s="85"/>
      <c r="AA7" s="85"/>
      <c r="AB7" s="85"/>
      <c r="AC7" s="85"/>
      <c r="AD7" s="85"/>
      <c r="AE7" s="89"/>
    </row>
    <row r="8" spans="1:31" x14ac:dyDescent="0.25">
      <c r="A8" s="915"/>
      <c r="C8" s="86"/>
      <c r="D8" s="99"/>
      <c r="F8" s="86"/>
      <c r="G8" s="86"/>
      <c r="H8" s="86"/>
      <c r="I8" s="86"/>
      <c r="J8" s="86"/>
      <c r="K8" s="86"/>
      <c r="L8" s="86"/>
      <c r="M8" s="86"/>
      <c r="N8" s="86"/>
      <c r="O8" s="86"/>
      <c r="P8" s="86"/>
      <c r="Q8" s="86"/>
      <c r="R8" s="86"/>
      <c r="S8" s="85"/>
      <c r="T8" s="85"/>
      <c r="U8" s="85"/>
      <c r="V8" s="85"/>
      <c r="W8" s="85"/>
      <c r="X8" s="85"/>
      <c r="Y8" s="85"/>
      <c r="Z8" s="85"/>
      <c r="AA8" s="85"/>
      <c r="AB8" s="85"/>
      <c r="AC8" s="85"/>
      <c r="AD8" s="85"/>
      <c r="AE8" s="89"/>
    </row>
    <row r="9" spans="1:31" x14ac:dyDescent="0.25">
      <c r="A9" s="915"/>
      <c r="C9" s="86"/>
      <c r="D9" s="99"/>
      <c r="F9" s="86"/>
      <c r="G9" s="86"/>
      <c r="H9" s="86"/>
      <c r="I9" s="86"/>
      <c r="J9" s="86"/>
      <c r="K9" s="86"/>
      <c r="L9" s="86"/>
      <c r="M9" s="86"/>
      <c r="N9" s="86"/>
      <c r="O9" s="86"/>
      <c r="P9" s="86"/>
      <c r="Q9" s="86"/>
      <c r="R9" s="86"/>
      <c r="S9" s="85"/>
      <c r="T9" s="85"/>
      <c r="U9" s="85"/>
      <c r="V9" s="85"/>
      <c r="W9" s="85"/>
      <c r="X9" s="85"/>
      <c r="Y9" s="85"/>
      <c r="Z9" s="85"/>
      <c r="AA9" s="85"/>
      <c r="AB9" s="85"/>
      <c r="AC9" s="85"/>
      <c r="AD9" s="85"/>
      <c r="AE9" s="89"/>
    </row>
    <row r="10" spans="1:31" x14ac:dyDescent="0.25">
      <c r="A10" s="915"/>
      <c r="C10" s="86"/>
      <c r="D10" s="99"/>
      <c r="F10" s="86"/>
      <c r="G10" s="86"/>
      <c r="H10" s="86"/>
      <c r="I10" s="86"/>
      <c r="J10" s="86"/>
      <c r="K10" s="86"/>
      <c r="L10" s="86"/>
      <c r="M10" s="86"/>
      <c r="N10" s="86"/>
      <c r="O10" s="86"/>
      <c r="P10" s="86"/>
      <c r="Q10" s="86"/>
      <c r="R10" s="86"/>
      <c r="S10" s="85"/>
      <c r="T10" s="85"/>
      <c r="U10" s="85"/>
      <c r="V10" s="85"/>
      <c r="W10" s="85"/>
      <c r="X10" s="85"/>
      <c r="Y10" s="85"/>
      <c r="Z10" s="85"/>
      <c r="AA10" s="85"/>
      <c r="AB10" s="85"/>
      <c r="AC10" s="85"/>
      <c r="AD10" s="85"/>
      <c r="AE10" s="89"/>
    </row>
    <row r="11" spans="1:31" x14ac:dyDescent="0.25">
      <c r="A11" s="915"/>
      <c r="C11" s="86"/>
      <c r="D11" s="99"/>
      <c r="F11" s="86"/>
      <c r="G11" s="86"/>
      <c r="H11" s="86"/>
      <c r="I11" s="86"/>
      <c r="J11" s="86"/>
      <c r="K11" s="86"/>
      <c r="L11" s="86"/>
      <c r="M11" s="86"/>
      <c r="N11" s="86"/>
      <c r="O11" s="86"/>
      <c r="P11" s="86"/>
      <c r="Q11" s="86"/>
      <c r="R11" s="86"/>
      <c r="S11" s="85"/>
      <c r="T11" s="85"/>
      <c r="U11" s="85"/>
      <c r="V11" s="85"/>
      <c r="W11" s="85"/>
      <c r="X11" s="85"/>
      <c r="Y11" s="85"/>
      <c r="Z11" s="85"/>
      <c r="AA11" s="85"/>
      <c r="AB11" s="85"/>
      <c r="AC11" s="85"/>
      <c r="AD11" s="85"/>
      <c r="AE11" s="89"/>
    </row>
    <row r="12" spans="1:31" ht="9" customHeight="1" x14ac:dyDescent="0.25">
      <c r="A12" s="915" t="s">
        <v>192</v>
      </c>
      <c r="C12" s="86"/>
      <c r="D12" s="86"/>
      <c r="E12" s="86"/>
      <c r="F12" s="86"/>
      <c r="G12" s="86"/>
      <c r="H12" s="86"/>
      <c r="I12" s="86"/>
      <c r="J12" s="86"/>
      <c r="K12" s="86"/>
      <c r="L12" s="86"/>
      <c r="M12" s="86"/>
      <c r="N12" s="86"/>
      <c r="O12" s="86"/>
      <c r="P12" s="86"/>
      <c r="Q12" s="86"/>
      <c r="R12" s="86"/>
      <c r="S12" s="88"/>
      <c r="T12" s="85"/>
      <c r="U12" s="85"/>
      <c r="V12" s="85"/>
      <c r="W12" s="85"/>
      <c r="X12" s="85"/>
      <c r="Y12" s="85"/>
      <c r="Z12" s="85"/>
      <c r="AA12" s="85"/>
      <c r="AB12" s="85"/>
      <c r="AC12" s="85"/>
      <c r="AD12" s="85"/>
      <c r="AE12" s="89"/>
    </row>
    <row r="13" spans="1:31" x14ac:dyDescent="0.25">
      <c r="A13" s="918" t="s">
        <v>193</v>
      </c>
      <c r="D13" s="1080" t="s">
        <v>194</v>
      </c>
      <c r="E13" s="1081"/>
      <c r="F13" s="1081"/>
      <c r="G13" s="1081"/>
      <c r="H13" s="1081"/>
      <c r="I13" s="1081"/>
      <c r="J13" s="1081"/>
      <c r="K13" s="1081"/>
      <c r="L13" s="1082"/>
      <c r="M13" s="549"/>
      <c r="N13" s="549"/>
      <c r="O13" s="549"/>
      <c r="P13" s="549"/>
      <c r="Q13" s="549"/>
      <c r="R13" s="549"/>
      <c r="S13" s="1078" t="s">
        <v>195</v>
      </c>
      <c r="T13" s="1079"/>
      <c r="U13" s="1079"/>
      <c r="V13" s="1079"/>
      <c r="W13" s="1079"/>
      <c r="X13" s="1079"/>
      <c r="Y13" s="1079"/>
      <c r="Z13" s="1079"/>
      <c r="AA13" s="1079"/>
      <c r="AB13" s="1079"/>
      <c r="AC13" s="1079"/>
      <c r="AD13" s="85"/>
      <c r="AE13" s="89"/>
    </row>
    <row r="14" spans="1:31" ht="6" customHeight="1" x14ac:dyDescent="0.25">
      <c r="A14" s="918" t="s">
        <v>196</v>
      </c>
      <c r="C14" s="86"/>
      <c r="D14" s="86"/>
      <c r="E14" s="86"/>
      <c r="F14" s="86"/>
      <c r="G14" s="86"/>
      <c r="H14" s="86"/>
      <c r="I14" s="86"/>
      <c r="J14" s="86"/>
      <c r="K14" s="86"/>
      <c r="L14" s="86"/>
      <c r="M14" s="86"/>
      <c r="N14" s="86"/>
      <c r="O14" s="86"/>
      <c r="P14" s="86"/>
      <c r="Q14" s="86"/>
      <c r="R14" s="86"/>
      <c r="S14" s="978"/>
      <c r="T14" s="540"/>
      <c r="U14" s="540"/>
      <c r="V14" s="540"/>
      <c r="W14" s="540"/>
      <c r="X14" s="540"/>
      <c r="Y14" s="540"/>
      <c r="Z14" s="540"/>
      <c r="AA14" s="540"/>
      <c r="AB14" s="540"/>
      <c r="AC14" s="540"/>
      <c r="AD14" s="85"/>
      <c r="AE14" s="89"/>
    </row>
    <row r="15" spans="1:31" ht="15.75" customHeight="1" x14ac:dyDescent="0.25">
      <c r="A15" s="918" t="s">
        <v>197</v>
      </c>
      <c r="C15" s="84"/>
      <c r="D15" s="306"/>
      <c r="E15" s="306"/>
      <c r="F15" s="307" t="s">
        <v>198</v>
      </c>
      <c r="G15" s="308"/>
      <c r="H15" s="309" t="s">
        <v>166</v>
      </c>
      <c r="I15" s="310"/>
      <c r="J15" s="307" t="s">
        <v>167</v>
      </c>
      <c r="K15" s="310"/>
      <c r="L15" s="307" t="s">
        <v>199</v>
      </c>
      <c r="M15" s="84"/>
      <c r="N15" s="992" t="s">
        <v>200</v>
      </c>
      <c r="O15" s="991"/>
      <c r="P15" s="991"/>
      <c r="Q15" s="84"/>
      <c r="R15" s="84"/>
      <c r="S15" s="979" t="s">
        <v>172</v>
      </c>
      <c r="T15" s="539">
        <f>EDATE(DATE(YEAR(Date_of_Analysis)+1,MONTH(Date_of_Analysis),DAY(EOMONTH(Date_of_Analysis,0))),-1)</f>
        <v>366</v>
      </c>
      <c r="U15" s="539">
        <f>DATE(YEAR(T15)+1, MONTH(T15), 1)</f>
        <v>701</v>
      </c>
      <c r="V15" s="539">
        <f t="shared" ref="V15:AC15" si="0">DATE(YEAR(U15)+1, MONTH(U15), 1)</f>
        <v>1066</v>
      </c>
      <c r="W15" s="539">
        <f t="shared" si="0"/>
        <v>1431</v>
      </c>
      <c r="X15" s="539">
        <f t="shared" si="0"/>
        <v>1797</v>
      </c>
      <c r="Y15" s="539">
        <f t="shared" si="0"/>
        <v>2162</v>
      </c>
      <c r="Z15" s="539">
        <f t="shared" si="0"/>
        <v>2527</v>
      </c>
      <c r="AA15" s="539">
        <f t="shared" si="0"/>
        <v>2892</v>
      </c>
      <c r="AB15" s="539">
        <f t="shared" si="0"/>
        <v>3258</v>
      </c>
      <c r="AC15" s="539">
        <f t="shared" si="0"/>
        <v>3623</v>
      </c>
      <c r="AD15" s="85"/>
      <c r="AE15" s="89"/>
    </row>
    <row r="16" spans="1:31" ht="4.3499999999999996" customHeight="1" x14ac:dyDescent="0.25">
      <c r="A16" s="918" t="s">
        <v>201</v>
      </c>
      <c r="C16" s="84"/>
      <c r="D16" s="306"/>
      <c r="E16" s="306"/>
      <c r="F16" s="311"/>
      <c r="G16" s="312"/>
      <c r="H16" s="313"/>
      <c r="I16" s="306"/>
      <c r="J16" s="311"/>
      <c r="K16" s="306"/>
      <c r="L16" s="311"/>
      <c r="M16" s="84"/>
      <c r="N16" s="993"/>
      <c r="O16" s="993"/>
      <c r="P16" s="993"/>
      <c r="Q16" s="84"/>
      <c r="R16" s="84"/>
      <c r="S16" s="980"/>
      <c r="T16" s="541"/>
      <c r="U16" s="541"/>
      <c r="V16" s="541"/>
      <c r="W16" s="541"/>
      <c r="X16" s="541"/>
      <c r="Y16" s="541"/>
      <c r="Z16" s="541"/>
      <c r="AA16" s="541"/>
      <c r="AB16" s="541"/>
      <c r="AC16" s="541"/>
      <c r="AD16" s="85"/>
      <c r="AE16" s="89"/>
    </row>
    <row r="17" spans="1:31" ht="15.75" customHeight="1" x14ac:dyDescent="0.25">
      <c r="A17" s="918" t="s">
        <v>202</v>
      </c>
      <c r="C17" s="84"/>
      <c r="D17" s="314" t="s">
        <v>203</v>
      </c>
      <c r="E17" s="315"/>
      <c r="F17" s="337"/>
      <c r="G17" s="316"/>
      <c r="H17" s="337"/>
      <c r="I17" s="317"/>
      <c r="J17" s="337"/>
      <c r="K17" s="317"/>
      <c r="L17" s="337"/>
      <c r="M17" s="318"/>
      <c r="N17" s="1075" t="s">
        <v>204</v>
      </c>
      <c r="O17" s="1076"/>
      <c r="P17" s="1077"/>
      <c r="Q17" s="84"/>
      <c r="R17" s="84"/>
      <c r="S17" s="981" t="s">
        <v>198</v>
      </c>
      <c r="T17" s="542"/>
      <c r="U17" s="542"/>
      <c r="V17" s="542"/>
      <c r="W17" s="542"/>
      <c r="X17" s="542"/>
      <c r="Y17" s="542"/>
      <c r="Z17" s="542"/>
      <c r="AA17" s="542"/>
      <c r="AB17" s="542"/>
      <c r="AC17" s="542"/>
      <c r="AD17" s="85"/>
      <c r="AE17" s="89"/>
    </row>
    <row r="18" spans="1:31" ht="15.75" customHeight="1" x14ac:dyDescent="0.25">
      <c r="A18" s="918" t="s">
        <v>205</v>
      </c>
      <c r="C18" s="84"/>
      <c r="D18" s="314" t="s">
        <v>206</v>
      </c>
      <c r="E18" s="315"/>
      <c r="F18" s="1058"/>
      <c r="G18" s="1059"/>
      <c r="H18" s="1060">
        <f>Date_of_Analysis</f>
        <v>0</v>
      </c>
      <c r="I18" s="1061"/>
      <c r="J18" s="1062">
        <f>Date_of_Analysis</f>
        <v>0</v>
      </c>
      <c r="K18" s="1061"/>
      <c r="L18" s="1058"/>
      <c r="M18" s="318"/>
      <c r="N18" s="996" t="str">
        <f>IF(L15=0,"","As of "&amp;TEXT(L15,"mmmm-yyyy")&amp;":")</f>
        <v>As of Refinance Loan:</v>
      </c>
      <c r="O18" s="997"/>
      <c r="P18" s="998"/>
      <c r="Q18" s="84"/>
      <c r="R18" s="84"/>
      <c r="S18" s="982" t="s">
        <v>178</v>
      </c>
      <c r="T18" s="543" cm="1">
        <f t="array" ref="T18">IF(Acq_Financing_Type_Switch = "Financed - Assumed Loan", IFERROR(SUM(_xlfn._xlws.FILTER(INDEX(SED_Table,0,7), (INDEX(SED_Table,0,3) &lt;= T$15) * (INDEX(SED_Table,0,3) &gt;= EDATE(T$15,-12)))),0),0)</f>
        <v>0</v>
      </c>
      <c r="U18" s="543" cm="1">
        <f t="array" ref="U18">IF(Acq_Financing_Type_Switch = "Financed - Assumed Loan", IFERROR(SUM(_xlfn._xlws.FILTER(INDEX(SED_Table,0,7), (INDEX(SED_Table,0,3) &lt;= U$15) * (INDEX(SED_Table,0,3) &gt;= EDATE(U$15,-11)))),0),0)</f>
        <v>0</v>
      </c>
      <c r="V18" s="543" cm="1">
        <f t="array" ref="V18">IF(Acq_Financing_Type_Switch = "Financed - Assumed Loan", IFERROR(SUM(_xlfn._xlws.FILTER(INDEX(SED_Table,0,7), (INDEX(SED_Table,0,3) &lt;= V$15) * (INDEX(SED_Table,0,3) &gt;= EDATE(V$15,-11)))),0),0)</f>
        <v>0</v>
      </c>
      <c r="W18" s="543" cm="1">
        <f t="array" ref="W18">IF(Acq_Financing_Type_Switch = "Financed - Assumed Loan", IFERROR(SUM(_xlfn._xlws.FILTER(INDEX(SED_Table,0,7), (INDEX(SED_Table,0,3) &lt;= W$15) * (INDEX(SED_Table,0,3) &gt;= EDATE(W$15,-11)))),0),0)</f>
        <v>0</v>
      </c>
      <c r="X18" s="543" cm="1">
        <f t="array" ref="X18">IF(Acq_Financing_Type_Switch = "Financed - Assumed Loan", IFERROR(SUM(_xlfn._xlws.FILTER(INDEX(SED_Table,0,7), (INDEX(SED_Table,0,3) &lt;= X$15) * (INDEX(SED_Table,0,3) &gt;= EDATE(X$15,-11)))),0),0)</f>
        <v>0</v>
      </c>
      <c r="Y18" s="543" cm="1">
        <f t="array" ref="Y18">IF(Acq_Financing_Type_Switch = "Financed - Assumed Loan", IFERROR(SUM(_xlfn._xlws.FILTER(INDEX(SED_Table,0,7), (INDEX(SED_Table,0,3) &lt;= Y$15) * (INDEX(SED_Table,0,3) &gt;= EDATE(Y$15,-11)))),0),0)</f>
        <v>0</v>
      </c>
      <c r="Z18" s="543" cm="1">
        <f t="array" ref="Z18">IF(Acq_Financing_Type_Switch = "Financed - Assumed Loan", IFERROR(SUM(_xlfn._xlws.FILTER(INDEX(SED_Table,0,7), (INDEX(SED_Table,0,3) &lt;= Z$15) * (INDEX(SED_Table,0,3) &gt;= EDATE(Z$15,-11)))),0),0)</f>
        <v>0</v>
      </c>
      <c r="AA18" s="543" cm="1">
        <f t="array" ref="AA18">IF(Acq_Financing_Type_Switch = "Financed - Assumed Loan", IFERROR(SUM(_xlfn._xlws.FILTER(INDEX(SED_Table,0,7), (INDEX(SED_Table,0,3) &lt;= AA$15) * (INDEX(SED_Table,0,3) &gt;= EDATE(AA$15,-11)))),0),0)</f>
        <v>0</v>
      </c>
      <c r="AB18" s="543" cm="1">
        <f t="array" ref="AB18">IF(Acq_Financing_Type_Switch = "Financed - Assumed Loan", IFERROR(SUM(_xlfn._xlws.FILTER(INDEX(SED_Table,0,7), (INDEX(SED_Table,0,3) &lt;= AB$15) * (INDEX(SED_Table,0,3) &gt;= EDATE(AB$15,-11)))),0),0)</f>
        <v>0</v>
      </c>
      <c r="AC18" s="543" cm="1">
        <f t="array" ref="AC18">IF(Acq_Financing_Type_Switch = "Financed - Assumed Loan", IFERROR(SUM(_xlfn._xlws.FILTER(INDEX(SED_Table,0,7), (INDEX(SED_Table,0,3) &lt;= AC$15) * (INDEX(SED_Table,0,3) &gt;= EDATE(AC$15,-11)))),0),0)</f>
        <v>0</v>
      </c>
      <c r="AD18" s="85"/>
      <c r="AE18" s="89"/>
    </row>
    <row r="19" spans="1:31" ht="15.75" customHeight="1" x14ac:dyDescent="0.25">
      <c r="A19" s="918" t="s">
        <v>207</v>
      </c>
      <c r="C19" s="321"/>
      <c r="D19" s="314" t="s">
        <v>208</v>
      </c>
      <c r="E19" s="322"/>
      <c r="F19" s="338"/>
      <c r="G19" s="316"/>
      <c r="H19" s="323">
        <f>NEW_Orig_Loan_Amount</f>
        <v>0</v>
      </c>
      <c r="I19" s="316"/>
      <c r="J19" s="323">
        <f>Mezz_Orig_Loan_Amount</f>
        <v>0</v>
      </c>
      <c r="K19" s="324"/>
      <c r="L19" s="1009" t="str">
        <f>IFERROR(IF(N17="LTV using User Defined Cap Rate on NOI in Year of Refinance", L20*O19,Calculations!E9),0)</f>
        <v/>
      </c>
      <c r="M19" s="994"/>
      <c r="N19" s="999" t="str">
        <f>IF(L15=0,"","Asset Value")</f>
        <v>Asset Value</v>
      </c>
      <c r="O19" s="1000" t="str">
        <f>IFERROR(HLOOKUP(Refi_Origination_Date,'Cash Flow'!G4:P31,26)/O23,"")</f>
        <v/>
      </c>
      <c r="P19" s="1001"/>
      <c r="Q19" s="86"/>
      <c r="R19" s="86"/>
      <c r="S19" s="983" t="s">
        <v>177</v>
      </c>
      <c r="T19" s="543" cm="1">
        <f t="array" ref="T19">IF(Acq_Financing_Type_Switch = "Financed - Assumed Loan", IFERROR(SUM(_xlfn._xlws.FILTER(INDEX(SED_Table,0,6), (INDEX(SED_Table,0,3) &lt;= T$15) * (INDEX(SED_Table,0,3) &gt;= EDATE(T$15,-12)))),0), 0)</f>
        <v>0</v>
      </c>
      <c r="U19" s="543" cm="1">
        <f t="array" ref="U19">IF(Acq_Financing_Type_Switch = "Financed - Assumed Loan", IFERROR(SUM(_xlfn._xlws.FILTER(INDEX(SED_Table,0,6), (INDEX(SED_Table,0,3) &lt;= U$15) * (INDEX(SED_Table,0,3) &gt;= EDATE(U$15,-11)))),0), 0)</f>
        <v>0</v>
      </c>
      <c r="V19" s="543" cm="1">
        <f t="array" ref="V19">IF(Acq_Financing_Type_Switch = "Financed - Assumed Loan", IFERROR(SUM(_xlfn._xlws.FILTER(INDEX(SED_Table,0,6), (INDEX(SED_Table,0,3) &lt;= V$15) * (INDEX(SED_Table,0,3) &gt;= EDATE(V$15,-11)))),0), 0)</f>
        <v>0</v>
      </c>
      <c r="W19" s="543" cm="1">
        <f t="array" ref="W19">IF(Acq_Financing_Type_Switch = "Financed - Assumed Loan", IFERROR(SUM(_xlfn._xlws.FILTER(INDEX(SED_Table,0,6), (INDEX(SED_Table,0,3) &lt;= W$15) * (INDEX(SED_Table,0,3) &gt;= EDATE(W$15,-11)))),0), 0)</f>
        <v>0</v>
      </c>
      <c r="X19" s="543" cm="1">
        <f t="array" ref="X19">IF(Acq_Financing_Type_Switch = "Financed - Assumed Loan", IFERROR(SUM(_xlfn._xlws.FILTER(INDEX(SED_Table,0,6), (INDEX(SED_Table,0,3) &lt;= X$15) * (INDEX(SED_Table,0,3) &gt;= EDATE(X$15,-11)))),0), 0)</f>
        <v>0</v>
      </c>
      <c r="Y19" s="543" cm="1">
        <f t="array" ref="Y19">IF(Acq_Financing_Type_Switch = "Financed - Assumed Loan", IFERROR(SUM(_xlfn._xlws.FILTER(INDEX(SED_Table,0,6), (INDEX(SED_Table,0,3) &lt;= Y$15) * (INDEX(SED_Table,0,3) &gt;= EDATE(Y$15,-11)))),0), 0)</f>
        <v>0</v>
      </c>
      <c r="Z19" s="543" cm="1">
        <f t="array" ref="Z19">IF(Acq_Financing_Type_Switch = "Financed - Assumed Loan", IFERROR(SUM(_xlfn._xlws.FILTER(INDEX(SED_Table,0,6), (INDEX(SED_Table,0,3) &lt;= Z$15) * (INDEX(SED_Table,0,3) &gt;= EDATE(Z$15,-11)))),0), 0)</f>
        <v>0</v>
      </c>
      <c r="AA19" s="543" cm="1">
        <f t="array" ref="AA19">IF(Acq_Financing_Type_Switch = "Financed - Assumed Loan", IFERROR(SUM(_xlfn._xlws.FILTER(INDEX(SED_Table,0,6), (INDEX(SED_Table,0,3) &lt;= AA$15) * (INDEX(SED_Table,0,3) &gt;= EDATE(AA$15,-11)))),0), 0)</f>
        <v>0</v>
      </c>
      <c r="AB19" s="543" cm="1">
        <f t="array" ref="AB19">IF(Acq_Financing_Type_Switch = "Financed - Assumed Loan", IFERROR(SUM(_xlfn._xlws.FILTER(INDEX(SED_Table,0,6), (INDEX(SED_Table,0,3) &lt;= AB$15) * (INDEX(SED_Table,0,3) &gt;= EDATE(AB$15,-11)))),0), 0)</f>
        <v>0</v>
      </c>
      <c r="AC19" s="543" cm="1">
        <f t="array" ref="AC19">IF(Acq_Financing_Type_Switch = "Financed - Assumed Loan", IFERROR(SUM(_xlfn._xlws.FILTER(INDEX(SED_Table,0,6), (INDEX(SED_Table,0,3) &lt;= AC$15) * (INDEX(SED_Table,0,3) &gt;= EDATE(AC$15,-11)))),0), 0)</f>
        <v>0</v>
      </c>
      <c r="AD19" s="85"/>
      <c r="AE19" s="89"/>
    </row>
    <row r="20" spans="1:31" ht="15.75" customHeight="1" x14ac:dyDescent="0.25">
      <c r="A20" s="919" t="s">
        <v>209</v>
      </c>
      <c r="C20" s="84"/>
      <c r="D20" s="314" t="s">
        <v>210</v>
      </c>
      <c r="E20" s="315"/>
      <c r="F20" s="538" t="e">
        <f>SED_Orig_Loan_Amount/sale_price</f>
        <v>#DIV/0!</v>
      </c>
      <c r="G20" s="316"/>
      <c r="H20" s="339"/>
      <c r="I20" s="317"/>
      <c r="J20" s="339"/>
      <c r="K20" s="317"/>
      <c r="L20" s="1010"/>
      <c r="M20" s="995"/>
      <c r="N20" s="1000" t="str">
        <f>IF(L15=0,"","Existing Debt")</f>
        <v>Existing Debt</v>
      </c>
      <c r="O20" s="1000" t="str">
        <f>Calculations!E9</f>
        <v/>
      </c>
      <c r="P20" s="1002">
        <f ca="1">IFERROR(VLOOKUP(DATE(YEAR(Refi_Origination_Date),MONTH(Refi_Origination_Date),1),'Loan Amort Table'!AD6:AI500,6),"")</f>
        <v>0</v>
      </c>
      <c r="Q20" s="84"/>
      <c r="R20" s="84"/>
      <c r="S20" s="981" t="s">
        <v>166</v>
      </c>
      <c r="T20" s="544"/>
      <c r="U20" s="544"/>
      <c r="V20" s="544"/>
      <c r="W20" s="544"/>
      <c r="X20" s="544"/>
      <c r="Y20" s="544"/>
      <c r="Z20" s="544"/>
      <c r="AA20" s="544"/>
      <c r="AB20" s="544"/>
      <c r="AC20" s="544"/>
      <c r="AD20" s="85"/>
      <c r="AE20" s="89"/>
    </row>
    <row r="21" spans="1:31" ht="15.75" customHeight="1" x14ac:dyDescent="0.25">
      <c r="A21" s="919" t="s">
        <v>211</v>
      </c>
      <c r="C21" s="84"/>
      <c r="D21" s="314" t="s">
        <v>175</v>
      </c>
      <c r="E21" s="315"/>
      <c r="F21" s="327">
        <f>SED_Loan_Balance</f>
        <v>0</v>
      </c>
      <c r="G21" s="316"/>
      <c r="H21" s="327">
        <f>NEW_Loan_Balance</f>
        <v>0</v>
      </c>
      <c r="I21" s="317"/>
      <c r="J21" s="328">
        <f ca="1">Mezz_Loan_Balance</f>
        <v>0</v>
      </c>
      <c r="K21" s="317"/>
      <c r="L21" s="328">
        <f ca="1">Refi_Loan_Balance</f>
        <v>0</v>
      </c>
      <c r="M21" s="995"/>
      <c r="N21" s="999" t="str">
        <f>IF(L15=0,"","LTV")</f>
        <v>LTV</v>
      </c>
      <c r="O21" s="1003" t="str">
        <f>IFERROR(O20/O19,"")</f>
        <v/>
      </c>
      <c r="P21" s="1001"/>
      <c r="Q21" s="84"/>
      <c r="R21" s="84"/>
      <c r="S21" s="982" t="s">
        <v>178</v>
      </c>
      <c r="T21" s="543" cm="1">
        <f t="array" ref="T21">IF(Acq_Financing_Type_Switch = "Financed - New Loan", IFERROR(SUM(_xlfn._xlws.FILTER(INDEX(NEW_Table,0,7), (INDEX(NEW_Table,0,3) &lt;= T$15) * (INDEX(NEW_Table,0,3) &gt;= EDATE(T$15,-12)))),0), 0)</f>
        <v>0</v>
      </c>
      <c r="U21" s="543" cm="1">
        <f t="array" ref="U21">IF(Acq_Financing_Type_Switch = "Financed - New Loan", IFERROR(SUM(_xlfn._xlws.FILTER(INDEX(NEW_Table,0,7), (INDEX(NEW_Table,0,3) &lt;= U$15) * (INDEX(NEW_Table,0,3) &gt;= EDATE(U$15,-11)))),0), 0)</f>
        <v>0</v>
      </c>
      <c r="V21" s="543" cm="1">
        <f t="array" ref="V21">IF(Acq_Financing_Type_Switch = "Financed - New Loan", IFERROR(SUM(_xlfn._xlws.FILTER(INDEX(NEW_Table,0,7), (INDEX(NEW_Table,0,3) &lt;= V$15) * (INDEX(NEW_Table,0,3) &gt;= EDATE(V$15,-11)))),0), 0)</f>
        <v>0</v>
      </c>
      <c r="W21" s="543" cm="1">
        <f t="array" ref="W21">IF(Acq_Financing_Type_Switch = "Financed - New Loan", IFERROR(SUM(_xlfn._xlws.FILTER(INDEX(NEW_Table,0,7), (INDEX(NEW_Table,0,3) &lt;= W$15) * (INDEX(NEW_Table,0,3) &gt;= EDATE(W$15,-11)))),0), 0)</f>
        <v>0</v>
      </c>
      <c r="X21" s="543" cm="1">
        <f t="array" ref="X21">IF(Acq_Financing_Type_Switch = "Financed - New Loan", IFERROR(SUM(_xlfn._xlws.FILTER(INDEX(NEW_Table,0,7), (INDEX(NEW_Table,0,3) &lt;= X$15) * (INDEX(NEW_Table,0,3) &gt;= EDATE(X$15,-11)))),0), 0)</f>
        <v>0</v>
      </c>
      <c r="Y21" s="543" cm="1">
        <f t="array" ref="Y21">IF(Acq_Financing_Type_Switch = "Financed - New Loan", IFERROR(SUM(_xlfn._xlws.FILTER(INDEX(NEW_Table,0,7), (INDEX(NEW_Table,0,3) &lt;= Y$15) * (INDEX(NEW_Table,0,3) &gt;= EDATE(Y$15,-11)))),0), 0)</f>
        <v>0</v>
      </c>
      <c r="Z21" s="543" cm="1">
        <f t="array" ref="Z21">IF(Acq_Financing_Type_Switch = "Financed - New Loan", IFERROR(SUM(_xlfn._xlws.FILTER(INDEX(NEW_Table,0,7), (INDEX(NEW_Table,0,3) &lt;= Z$15) * (INDEX(NEW_Table,0,3) &gt;= EDATE(Z$15,-11)))),0), 0)</f>
        <v>0</v>
      </c>
      <c r="AA21" s="543" cm="1">
        <f t="array" ref="AA21">IF(Acq_Financing_Type_Switch = "Financed - New Loan", IFERROR(SUM(_xlfn._xlws.FILTER(INDEX(NEW_Table,0,7), (INDEX(NEW_Table,0,3) &lt;= AA$15) * (INDEX(NEW_Table,0,3) &gt;= EDATE(AA$15,-11)))),0), 0)</f>
        <v>0</v>
      </c>
      <c r="AB21" s="543" cm="1">
        <f t="array" ref="AB21">IF(Acq_Financing_Type_Switch = "Financed - New Loan", IFERROR(SUM(_xlfn._xlws.FILTER(INDEX(NEW_Table,0,7), (INDEX(NEW_Table,0,3) &lt;= AB$15) * (INDEX(NEW_Table,0,3) &gt;= EDATE(AB$15,-11)))),0), 0)</f>
        <v>0</v>
      </c>
      <c r="AC21" s="543" cm="1">
        <f t="array" ref="AC21">IF(Acq_Financing_Type_Switch = "Financed - New Loan", IFERROR(SUM(_xlfn._xlws.FILTER(INDEX(NEW_Table,0,7), (INDEX(NEW_Table,0,3) &lt;= AC$15) * (INDEX(NEW_Table,0,3) &gt;= EDATE(AC$15,-11)))),0), 0)</f>
        <v>0</v>
      </c>
      <c r="AD21" s="85"/>
      <c r="AE21" s="89"/>
    </row>
    <row r="22" spans="1:31" ht="15.75" customHeight="1" x14ac:dyDescent="0.25">
      <c r="A22" s="919" t="s">
        <v>212</v>
      </c>
      <c r="C22" s="84"/>
      <c r="D22" s="314" t="s">
        <v>213</v>
      </c>
      <c r="E22" s="315"/>
      <c r="F22" s="340"/>
      <c r="G22" s="329"/>
      <c r="H22" s="340"/>
      <c r="I22" s="330"/>
      <c r="J22" s="340"/>
      <c r="K22" s="330"/>
      <c r="L22" s="340"/>
      <c r="M22" s="995"/>
      <c r="N22" s="1004" t="str">
        <f>IF(L15=0,"","DSCR")</f>
        <v>DSCR</v>
      </c>
      <c r="O22" s="1005" t="str">
        <f>IFERROR(HLOOKUP(Refi_Origination_Date,'Cash Flow'!G4:P31,26)/-L31,"")</f>
        <v/>
      </c>
      <c r="P22" s="1006"/>
      <c r="Q22" s="84"/>
      <c r="R22" s="84"/>
      <c r="S22" s="983" t="s">
        <v>177</v>
      </c>
      <c r="T22" s="543" cm="1">
        <f t="array" ref="T22">IF(Acq_Financing_Type_Switch = "Financed - New Loan", IFERROR(SUM(_xlfn._xlws.FILTER(INDEX(NEW_Table,0,6), (INDEX(NEW_Table,0,3) &lt;= T$15) * (INDEX(NEW_Table,0,3) &gt;= EDATE(T$15,-12)))),0), 0)</f>
        <v>0</v>
      </c>
      <c r="U22" s="543" cm="1">
        <f t="array" ref="U22">IF(Acq_Financing_Type_Switch = "Financed - New Loan", IFERROR(SUM(_xlfn._xlws.FILTER(INDEX(NEW_Table,0,6), (INDEX(NEW_Table,0,3) &lt;= U$15) * (INDEX(NEW_Table,0,3) &gt;= EDATE(U$15,-11)))),0), 0)</f>
        <v>0</v>
      </c>
      <c r="V22" s="543" cm="1">
        <f t="array" ref="V22">IF(Acq_Financing_Type_Switch = "Financed - New Loan", IFERROR(SUM(_xlfn._xlws.FILTER(INDEX(NEW_Table,0,6), (INDEX(NEW_Table,0,3) &lt;= V$15) * (INDEX(NEW_Table,0,3) &gt;= EDATE(V$15,-11)))),0), 0)</f>
        <v>0</v>
      </c>
      <c r="W22" s="543" cm="1">
        <f t="array" ref="W22">IF(Acq_Financing_Type_Switch = "Financed - New Loan", IFERROR(SUM(_xlfn._xlws.FILTER(INDEX(NEW_Table,0,6), (INDEX(NEW_Table,0,3) &lt;= W$15) * (INDEX(NEW_Table,0,3) &gt;= EDATE(W$15,-11)))),0), 0)</f>
        <v>0</v>
      </c>
      <c r="X22" s="543" cm="1">
        <f t="array" ref="X22">IF(Acq_Financing_Type_Switch = "Financed - New Loan", IFERROR(SUM(_xlfn._xlws.FILTER(INDEX(NEW_Table,0,6), (INDEX(NEW_Table,0,3) &lt;= X$15) * (INDEX(NEW_Table,0,3) &gt;= EDATE(X$15,-11)))),0), 0)</f>
        <v>0</v>
      </c>
      <c r="Y22" s="543" cm="1">
        <f t="array" ref="Y22">IF(Acq_Financing_Type_Switch = "Financed - New Loan", IFERROR(SUM(_xlfn._xlws.FILTER(INDEX(NEW_Table,0,6), (INDEX(NEW_Table,0,3) &lt;= Y$15) * (INDEX(NEW_Table,0,3) &gt;= EDATE(Y$15,-11)))),0), 0)</f>
        <v>0</v>
      </c>
      <c r="Z22" s="543" cm="1">
        <f t="array" ref="Z22">IF(Acq_Financing_Type_Switch = "Financed - New Loan", IFERROR(SUM(_xlfn._xlws.FILTER(INDEX(NEW_Table,0,6), (INDEX(NEW_Table,0,3) &lt;= Z$15) * (INDEX(NEW_Table,0,3) &gt;= EDATE(Z$15,-11)))),0), 0)</f>
        <v>0</v>
      </c>
      <c r="AA22" s="543" cm="1">
        <f t="array" ref="AA22">IF(Acq_Financing_Type_Switch = "Financed - New Loan", IFERROR(SUM(_xlfn._xlws.FILTER(INDEX(NEW_Table,0,6), (INDEX(NEW_Table,0,3) &lt;= AA$15) * (INDEX(NEW_Table,0,3) &gt;= EDATE(AA$15,-11)))),0), 0)</f>
        <v>0</v>
      </c>
      <c r="AB22" s="543" cm="1">
        <f t="array" ref="AB22">IF(Acq_Financing_Type_Switch = "Financed - New Loan", IFERROR(SUM(_xlfn._xlws.FILTER(INDEX(NEW_Table,0,6), (INDEX(NEW_Table,0,3) &lt;= AB$15) * (INDEX(NEW_Table,0,3) &gt;= EDATE(AB$15,-11)))),0), 0)</f>
        <v>0</v>
      </c>
      <c r="AC22" s="543" cm="1">
        <f t="array" ref="AC22">IF(Acq_Financing_Type_Switch = "Financed - New Loan", IFERROR(SUM(_xlfn._xlws.FILTER(INDEX(NEW_Table,0,6), (INDEX(NEW_Table,0,3) &lt;= AC$15) * (INDEX(NEW_Table,0,3) &gt;= EDATE(AC$15,-11)))),0), 0)</f>
        <v>0</v>
      </c>
      <c r="AD22" s="85"/>
      <c r="AE22" s="89"/>
    </row>
    <row r="23" spans="1:31" ht="15.75" customHeight="1" x14ac:dyDescent="0.25">
      <c r="C23" s="321"/>
      <c r="D23" s="314" t="s">
        <v>214</v>
      </c>
      <c r="E23" s="322"/>
      <c r="F23" s="337"/>
      <c r="G23" s="316"/>
      <c r="H23" s="337"/>
      <c r="I23" s="316"/>
      <c r="J23" s="337"/>
      <c r="K23" s="316"/>
      <c r="L23" s="337"/>
      <c r="M23" s="994"/>
      <c r="N23" s="1004" t="s">
        <v>215</v>
      </c>
      <c r="O23" s="1007"/>
      <c r="P23" s="1006"/>
      <c r="Q23" s="86"/>
      <c r="R23" s="86"/>
      <c r="S23" s="981" t="s">
        <v>167</v>
      </c>
      <c r="T23" s="544"/>
      <c r="U23" s="544"/>
      <c r="V23" s="544"/>
      <c r="W23" s="544"/>
      <c r="X23" s="544"/>
      <c r="Y23" s="544"/>
      <c r="Z23" s="544"/>
      <c r="AA23" s="544"/>
      <c r="AB23" s="544"/>
      <c r="AC23" s="544"/>
      <c r="AD23" s="85"/>
      <c r="AE23" s="89"/>
    </row>
    <row r="24" spans="1:31" ht="15.75" customHeight="1" x14ac:dyDescent="0.25">
      <c r="C24" s="84"/>
      <c r="D24" s="314" t="s">
        <v>216</v>
      </c>
      <c r="E24" s="315"/>
      <c r="F24" s="337"/>
      <c r="G24" s="316"/>
      <c r="H24" s="337"/>
      <c r="I24" s="317"/>
      <c r="J24" s="326" t="e">
        <f>Mezz_Term</f>
        <v>#NUM!</v>
      </c>
      <c r="K24" s="317"/>
      <c r="L24" s="337"/>
      <c r="M24" s="318"/>
      <c r="N24" s="977"/>
      <c r="O24" s="977"/>
      <c r="P24" s="84"/>
      <c r="Q24" s="84"/>
      <c r="R24" s="84"/>
      <c r="S24" s="982" t="s">
        <v>178</v>
      </c>
      <c r="T24" s="543" cm="1">
        <f t="array" ref="T24">IF(Mezz_Switch = "Yes", IFERROR(SUM(_xlfn._xlws.FILTER(INDEX(Mezz_Table,0,7), (INDEX(Mezz_Table,0,3) &lt;= T$15) * (INDEX(Mezz_Table,0,3) &gt;= EDATE(T$15,-12)))),0), 0)</f>
        <v>0</v>
      </c>
      <c r="U24" s="543" cm="1">
        <f t="array" aca="1" ref="U24" ca="1">IF(Mezz_Switch = "Yes", IFERROR(SUM(_xlfn._xlws.FILTER(INDEX(Mezz_Table,0,7), (INDEX(Mezz_Table,0,3) &lt;= U$15) * (INDEX(Mezz_Table,0,3) &gt;= EDATE(U$15,-11)))),0), 0)</f>
        <v>0</v>
      </c>
      <c r="V24" s="543" cm="1">
        <f t="array" aca="1" ref="V24" ca="1">IF(Mezz_Switch = "Yes", IFERROR(SUM(_xlfn._xlws.FILTER(INDEX(Mezz_Table,0,7), (INDEX(Mezz_Table,0,3) &lt;= V$15) * (INDEX(Mezz_Table,0,3) &gt;= EDATE(V$15,-11)))),0), 0)</f>
        <v>0</v>
      </c>
      <c r="W24" s="543" cm="1">
        <f t="array" aca="1" ref="W24" ca="1">IF(Mezz_Switch = "Yes", IFERROR(SUM(_xlfn._xlws.FILTER(INDEX(Mezz_Table,0,7), (INDEX(Mezz_Table,0,3) &lt;= W$15) * (INDEX(Mezz_Table,0,3) &gt;= EDATE(W$15,-11)))),0), 0)</f>
        <v>0</v>
      </c>
      <c r="X24" s="543" cm="1">
        <f t="array" aca="1" ref="X24" ca="1">IF(Mezz_Switch = "Yes", IFERROR(SUM(_xlfn._xlws.FILTER(INDEX(Mezz_Table,0,7), (INDEX(Mezz_Table,0,3) &lt;= X$15) * (INDEX(Mezz_Table,0,3) &gt;= EDATE(X$15,-11)))),0), 0)</f>
        <v>0</v>
      </c>
      <c r="Y24" s="543" cm="1">
        <f t="array" aca="1" ref="Y24" ca="1">IF(Mezz_Switch = "Yes", IFERROR(SUM(_xlfn._xlws.FILTER(INDEX(Mezz_Table,0,7), (INDEX(Mezz_Table,0,3) &lt;= Y$15) * (INDEX(Mezz_Table,0,3) &gt;= EDATE(Y$15,-11)))),0), 0)</f>
        <v>0</v>
      </c>
      <c r="Z24" s="543" cm="1">
        <f t="array" aca="1" ref="Z24" ca="1">IF(Mezz_Switch = "Yes", IFERROR(SUM(_xlfn._xlws.FILTER(INDEX(Mezz_Table,0,7), (INDEX(Mezz_Table,0,3) &lt;= Z$15) * (INDEX(Mezz_Table,0,3) &gt;= EDATE(Z$15,-11)))),0), 0)</f>
        <v>0</v>
      </c>
      <c r="AA24" s="543" cm="1">
        <f t="array" aca="1" ref="AA24" ca="1">IF(Mezz_Switch = "Yes", IFERROR(SUM(_xlfn._xlws.FILTER(INDEX(Mezz_Table,0,7), (INDEX(Mezz_Table,0,3) &lt;= AA$15) * (INDEX(Mezz_Table,0,3) &gt;= EDATE(AA$15,-11)))),0), 0)</f>
        <v>0</v>
      </c>
      <c r="AB24" s="543" cm="1">
        <f t="array" aca="1" ref="AB24" ca="1">IF(Mezz_Switch = "Yes", IFERROR(SUM(_xlfn._xlws.FILTER(INDEX(Mezz_Table,0,7), (INDEX(Mezz_Table,0,3) &lt;= AB$15) * (INDEX(Mezz_Table,0,3) &gt;= EDATE(AB$15,-11)))),0), 0)</f>
        <v>0</v>
      </c>
      <c r="AC24" s="543" cm="1">
        <f t="array" aca="1" ref="AC24" ca="1">IF(Mezz_Switch = "Yes", IFERROR(SUM(_xlfn._xlws.FILTER(INDEX(Mezz_Table,0,7), (INDEX(Mezz_Table,0,3) &lt;= AC$15) * (INDEX(Mezz_Table,0,3) &gt;= EDATE(AC$15,-11)))),0), 0)</f>
        <v>0</v>
      </c>
      <c r="AD24" s="85"/>
      <c r="AE24" s="89"/>
    </row>
    <row r="25" spans="1:31" ht="15.75" customHeight="1" x14ac:dyDescent="0.25">
      <c r="C25" s="84"/>
      <c r="D25" s="314" t="s">
        <v>217</v>
      </c>
      <c r="E25" s="315"/>
      <c r="F25" s="319" t="str">
        <f>IFERROR(SED_Loan_Due_Date,"")</f>
        <v/>
      </c>
      <c r="G25" s="316"/>
      <c r="H25" s="319" t="e">
        <f>NEW_Loan_Due_Date</f>
        <v>#NUM!</v>
      </c>
      <c r="I25" s="317"/>
      <c r="J25" s="320" t="e">
        <f>Mezz_Loan_Due_Date</f>
        <v>#NUM!</v>
      </c>
      <c r="K25" s="317"/>
      <c r="L25" s="320" t="str">
        <f>Refi_Loan_Due_Date</f>
        <v/>
      </c>
      <c r="M25" s="318"/>
      <c r="N25" s="1011" t="s">
        <v>218</v>
      </c>
      <c r="O25" s="1012" t="str">
        <f>IF(Refi_Orig_Loan_Amount&gt;O20,Refi_Orig_Loan_Amount-O20,"")</f>
        <v/>
      </c>
      <c r="P25" s="84"/>
      <c r="Q25" s="84"/>
      <c r="R25" s="84"/>
      <c r="S25" s="983" t="s">
        <v>177</v>
      </c>
      <c r="T25" s="543" cm="1">
        <f t="array" ref="T25">IF(Mezz_Switch = "Yes", IFERROR(SUM(_xlfn._xlws.FILTER(INDEX(Mezz_Table,0,6), (INDEX(Mezz_Table,0,3) &lt;= T$15) * (INDEX(Mezz_Table,0,3) &gt;= EDATE(T$15,-12)))),0), 0)</f>
        <v>0</v>
      </c>
      <c r="U25" s="543" cm="1">
        <f t="array" ref="U25">IF(Mezz_Switch = "Yes", IFERROR(SUM(_xlfn._xlws.FILTER(INDEX(Mezz_Table,0,6), (INDEX(Mezz_Table,0,3) &lt;= U$15) * (INDEX(Mezz_Table,0,3) &gt;= EDATE(U$15,-11)))),0), 0)</f>
        <v>0</v>
      </c>
      <c r="V25" s="543" cm="1">
        <f t="array" ref="V25">IF(Mezz_Switch = "Yes", IFERROR(SUM(_xlfn._xlws.FILTER(INDEX(Mezz_Table,0,6), (INDEX(Mezz_Table,0,3) &lt;= V$15) * (INDEX(Mezz_Table,0,3) &gt;= EDATE(V$15,-11)))),0), 0)</f>
        <v>0</v>
      </c>
      <c r="W25" s="543" cm="1">
        <f t="array" ref="W25">IF(Mezz_Switch = "Yes", IFERROR(SUM(_xlfn._xlws.FILTER(INDEX(Mezz_Table,0,6), (INDEX(Mezz_Table,0,3) &lt;= W$15) * (INDEX(Mezz_Table,0,3) &gt;= EDATE(W$15,-11)))),0), 0)</f>
        <v>0</v>
      </c>
      <c r="X25" s="543" cm="1">
        <f t="array" ref="X25">IF(Mezz_Switch = "Yes", IFERROR(SUM(_xlfn._xlws.FILTER(INDEX(Mezz_Table,0,6), (INDEX(Mezz_Table,0,3) &lt;= X$15) * (INDEX(Mezz_Table,0,3) &gt;= EDATE(X$15,-11)))),0), 0)</f>
        <v>0</v>
      </c>
      <c r="Y25" s="543" cm="1">
        <f t="array" ref="Y25">IF(Mezz_Switch = "Yes", IFERROR(SUM(_xlfn._xlws.FILTER(INDEX(Mezz_Table,0,6), (INDEX(Mezz_Table,0,3) &lt;= Y$15) * (INDEX(Mezz_Table,0,3) &gt;= EDATE(Y$15,-11)))),0), 0)</f>
        <v>0</v>
      </c>
      <c r="Z25" s="543" cm="1">
        <f t="array" ref="Z25">IF(Mezz_Switch = "Yes", IFERROR(SUM(_xlfn._xlws.FILTER(INDEX(Mezz_Table,0,6), (INDEX(Mezz_Table,0,3) &lt;= Z$15) * (INDEX(Mezz_Table,0,3) &gt;= EDATE(Z$15,-11)))),0), 0)</f>
        <v>0</v>
      </c>
      <c r="AA25" s="543" cm="1">
        <f t="array" ref="AA25">IF(Mezz_Switch = "Yes", IFERROR(SUM(_xlfn._xlws.FILTER(INDEX(Mezz_Table,0,6), (INDEX(Mezz_Table,0,3) &lt;= AA$15) * (INDEX(Mezz_Table,0,3) &gt;= EDATE(AA$15,-11)))),0), 0)</f>
        <v>0</v>
      </c>
      <c r="AB25" s="543" cm="1">
        <f t="array" ref="AB25">IF(Mezz_Switch = "Yes", IFERROR(SUM(_xlfn._xlws.FILTER(INDEX(Mezz_Table,0,6), (INDEX(Mezz_Table,0,3) &lt;= AB$15) * (INDEX(Mezz_Table,0,3) &gt;= EDATE(AB$15,-11)))),0), 0)</f>
        <v>0</v>
      </c>
      <c r="AC25" s="543" cm="1">
        <f t="array" ref="AC25">IF(Mezz_Switch = "Yes", IFERROR(SUM(_xlfn._xlws.FILTER(INDEX(Mezz_Table,0,6), (INDEX(Mezz_Table,0,3) &lt;= AC$15) * (INDEX(Mezz_Table,0,3) &gt;= EDATE(AC$15,-11)))),0), 0)</f>
        <v>0</v>
      </c>
      <c r="AD25" s="85"/>
      <c r="AE25" s="89"/>
    </row>
    <row r="26" spans="1:31" ht="15.75" customHeight="1" x14ac:dyDescent="0.25">
      <c r="C26" s="84"/>
      <c r="D26" s="314" t="s">
        <v>219</v>
      </c>
      <c r="E26" s="315"/>
      <c r="F26" s="341"/>
      <c r="G26" s="331"/>
      <c r="H26" s="341"/>
      <c r="I26" s="332"/>
      <c r="J26" s="341"/>
      <c r="K26" s="332"/>
      <c r="L26" s="341"/>
      <c r="M26" s="318"/>
      <c r="N26" s="84"/>
      <c r="O26" s="84"/>
      <c r="P26" s="84"/>
      <c r="Q26" s="84"/>
      <c r="R26" s="84"/>
      <c r="S26" s="981" t="s">
        <v>199</v>
      </c>
      <c r="T26" s="544"/>
      <c r="U26" s="544"/>
      <c r="V26" s="544"/>
      <c r="W26" s="544"/>
      <c r="X26" s="544"/>
      <c r="Y26" s="544"/>
      <c r="Z26" s="544"/>
      <c r="AA26" s="544"/>
      <c r="AB26" s="544"/>
      <c r="AC26" s="544"/>
      <c r="AD26" s="85"/>
      <c r="AE26" s="89"/>
    </row>
    <row r="27" spans="1:31" ht="15.75" customHeight="1" x14ac:dyDescent="0.25">
      <c r="C27" s="84"/>
      <c r="D27" s="314" t="s">
        <v>220</v>
      </c>
      <c r="E27" s="315"/>
      <c r="F27" s="341"/>
      <c r="G27" s="331"/>
      <c r="H27" s="341"/>
      <c r="I27" s="332"/>
      <c r="J27" s="341"/>
      <c r="K27" s="332"/>
      <c r="L27" s="341"/>
      <c r="M27" s="318"/>
      <c r="N27" s="84"/>
      <c r="O27" s="84"/>
      <c r="P27" s="84"/>
      <c r="Q27" s="84"/>
      <c r="R27" s="84"/>
      <c r="S27" s="982" t="s">
        <v>178</v>
      </c>
      <c r="T27" s="543" cm="1">
        <f t="array" ref="T27">IF(Refi_Switch = "Yes", IFERROR(SUM(_xlfn._xlws.FILTER(INDEX(Refi_Table,0,7), (INDEX(Refi_Table,0,3) &lt;= T$15) * (INDEX(Refi_Table,0,3) &gt;= EDATE(T$15,-12)))),0),0)</f>
        <v>0</v>
      </c>
      <c r="U27" s="543" cm="1">
        <f t="array" aca="1" ref="U27" ca="1">IF(Refi_Switch = "Yes", IFERROR(SUM(_xlfn._xlws.FILTER(INDEX(Refi_Table,0,7), (INDEX(Refi_Table,0,3) &lt;= U$15) * (INDEX(Refi_Table,0,3) &gt;= EDATE(U$15,-11)))),0),0)</f>
        <v>0</v>
      </c>
      <c r="V27" s="543" cm="1">
        <f t="array" aca="1" ref="V27" ca="1">IF(Refi_Switch = "Yes", IFERROR(SUM(_xlfn._xlws.FILTER(INDEX(Refi_Table,0,7), (INDEX(Refi_Table,0,3) &lt;= V$15) * (INDEX(Refi_Table,0,3) &gt;= EDATE(V$15,-11)))),0),0)</f>
        <v>0</v>
      </c>
      <c r="W27" s="543" cm="1">
        <f t="array" aca="1" ref="W27" ca="1">IF(Refi_Switch = "Yes", IFERROR(SUM(_xlfn._xlws.FILTER(INDEX(Refi_Table,0,7), (INDEX(Refi_Table,0,3) &lt;= W$15) * (INDEX(Refi_Table,0,3) &gt;= EDATE(W$15,-11)))),0),0)</f>
        <v>0</v>
      </c>
      <c r="X27" s="543" cm="1">
        <f t="array" aca="1" ref="X27" ca="1">IF(Refi_Switch = "Yes", IFERROR(SUM(_xlfn._xlws.FILTER(INDEX(Refi_Table,0,7), (INDEX(Refi_Table,0,3) &lt;= X$15) * (INDEX(Refi_Table,0,3) &gt;= EDATE(X$15,-11)))),0),0)</f>
        <v>0</v>
      </c>
      <c r="Y27" s="543" cm="1">
        <f t="array" aca="1" ref="Y27" ca="1">IF(Refi_Switch = "Yes", IFERROR(SUM(_xlfn._xlws.FILTER(INDEX(Refi_Table,0,7), (INDEX(Refi_Table,0,3) &lt;= Y$15) * (INDEX(Refi_Table,0,3) &gt;= EDATE(Y$15,-11)))),0),0)</f>
        <v>0</v>
      </c>
      <c r="Z27" s="543" cm="1">
        <f t="array" aca="1" ref="Z27" ca="1">IF(Refi_Switch = "Yes", IFERROR(SUM(_xlfn._xlws.FILTER(INDEX(Refi_Table,0,7), (INDEX(Refi_Table,0,3) &lt;= Z$15) * (INDEX(Refi_Table,0,3) &gt;= EDATE(Z$15,-11)))),0),0)</f>
        <v>0</v>
      </c>
      <c r="AA27" s="543" cm="1">
        <f t="array" aca="1" ref="AA27" ca="1">IF(Refi_Switch = "Yes", IFERROR(SUM(_xlfn._xlws.FILTER(INDEX(Refi_Table,0,7), (INDEX(Refi_Table,0,3) &lt;= AA$15) * (INDEX(Refi_Table,0,3) &gt;= EDATE(AA$15,-11)))),0),0)</f>
        <v>0</v>
      </c>
      <c r="AB27" s="543" cm="1">
        <f t="array" aca="1" ref="AB27" ca="1">IF(Refi_Switch = "Yes", IFERROR(SUM(_xlfn._xlws.FILTER(INDEX(Refi_Table,0,7), (INDEX(Refi_Table,0,3) &lt;= AB$15) * (INDEX(Refi_Table,0,3) &gt;= EDATE(AB$15,-11)))),0),0)</f>
        <v>0</v>
      </c>
      <c r="AC27" s="543" cm="1">
        <f t="array" aca="1" ref="AC27" ca="1">IF(Refi_Switch = "Yes", IFERROR(SUM(_xlfn._xlws.FILTER(INDEX(Refi_Table,0,7), (INDEX(Refi_Table,0,3) &lt;= AC$15) * (INDEX(Refi_Table,0,3) &gt;= EDATE(AC$15,-11)))),0),0)</f>
        <v>0</v>
      </c>
      <c r="AD27" s="85"/>
      <c r="AE27" s="89"/>
    </row>
    <row r="28" spans="1:31" ht="15.75" customHeight="1" x14ac:dyDescent="0.25">
      <c r="C28" s="84"/>
      <c r="D28" s="314" t="s">
        <v>221</v>
      </c>
      <c r="E28" s="315"/>
      <c r="F28" s="333">
        <f>IFERROR(SED_Loan_Constant,0)</f>
        <v>0</v>
      </c>
      <c r="G28" s="316"/>
      <c r="H28" s="333">
        <f>IFERROR(NEW_Loan_Constant,0)</f>
        <v>0</v>
      </c>
      <c r="I28" s="317"/>
      <c r="J28" s="334">
        <f ca="1">IFERROR(Mezz_Loan_Constant,0)</f>
        <v>0</v>
      </c>
      <c r="K28" s="317"/>
      <c r="L28" s="334">
        <f ca="1">IFERROR(Refi_Loan_Constant,0)</f>
        <v>0</v>
      </c>
      <c r="M28" s="318"/>
      <c r="N28" s="1056"/>
      <c r="O28" s="84"/>
      <c r="P28" s="84"/>
      <c r="Q28" s="84"/>
      <c r="R28" s="84"/>
      <c r="S28" s="984" t="s">
        <v>177</v>
      </c>
      <c r="T28" s="543" cm="1">
        <f t="array" ref="T28">IF(Refi_Switch = "Yes", IFERROR(SUM(_xlfn._xlws.FILTER(INDEX(Refi_Table,0,6), (INDEX(Refi_Table,0,3) &lt;= T$15) * (INDEX(Refi_Table,0,3) &gt;= EDATE(T$15,-12)))),0), 0)</f>
        <v>0</v>
      </c>
      <c r="U28" s="543" cm="1">
        <f t="array" aca="1" ref="U28" ca="1">IF(Refi_Switch = "Yes", IFERROR(SUM(_xlfn._xlws.FILTER(INDEX(Refi_Table,0,6), (INDEX(Refi_Table,0,3) &lt;= U$15) * (INDEX(Refi_Table,0,3) &gt;= EDATE(U$15,-11)))),0), 0)</f>
        <v>0</v>
      </c>
      <c r="V28" s="543" cm="1">
        <f t="array" aca="1" ref="V28" ca="1">IF(Refi_Switch = "Yes", IFERROR(SUM(_xlfn._xlws.FILTER(INDEX(Refi_Table,0,6), (INDEX(Refi_Table,0,3) &lt;= V$15) * (INDEX(Refi_Table,0,3) &gt;= EDATE(V$15,-11)))),0), 0)</f>
        <v>0</v>
      </c>
      <c r="W28" s="543" cm="1">
        <f t="array" aca="1" ref="W28" ca="1">IF(Refi_Switch = "Yes", IFERROR(SUM(_xlfn._xlws.FILTER(INDEX(Refi_Table,0,6), (INDEX(Refi_Table,0,3) &lt;= W$15) * (INDEX(Refi_Table,0,3) &gt;= EDATE(W$15,-11)))),0), 0)</f>
        <v>0</v>
      </c>
      <c r="X28" s="543" cm="1">
        <f t="array" aca="1" ref="X28" ca="1">IF(Refi_Switch = "Yes", IFERROR(SUM(_xlfn._xlws.FILTER(INDEX(Refi_Table,0,6), (INDEX(Refi_Table,0,3) &lt;= X$15) * (INDEX(Refi_Table,0,3) &gt;= EDATE(X$15,-11)))),0), 0)</f>
        <v>0</v>
      </c>
      <c r="Y28" s="543" cm="1">
        <f t="array" aca="1" ref="Y28" ca="1">IF(Refi_Switch = "Yes", IFERROR(SUM(_xlfn._xlws.FILTER(INDEX(Refi_Table,0,6), (INDEX(Refi_Table,0,3) &lt;= Y$15) * (INDEX(Refi_Table,0,3) &gt;= EDATE(Y$15,-11)))),0), 0)</f>
        <v>0</v>
      </c>
      <c r="Z28" s="543" cm="1">
        <f t="array" aca="1" ref="Z28" ca="1">IF(Refi_Switch = "Yes", IFERROR(SUM(_xlfn._xlws.FILTER(INDEX(Refi_Table,0,6), (INDEX(Refi_Table,0,3) &lt;= Z$15) * (INDEX(Refi_Table,0,3) &gt;= EDATE(Z$15,-11)))),0), 0)</f>
        <v>0</v>
      </c>
      <c r="AA28" s="543" cm="1">
        <f t="array" aca="1" ref="AA28" ca="1">IF(Refi_Switch = "Yes", IFERROR(SUM(_xlfn._xlws.FILTER(INDEX(Refi_Table,0,6), (INDEX(Refi_Table,0,3) &lt;= AA$15) * (INDEX(Refi_Table,0,3) &gt;= EDATE(AA$15,-11)))),0), 0)</f>
        <v>0</v>
      </c>
      <c r="AB28" s="543" cm="1">
        <f t="array" aca="1" ref="AB28" ca="1">IF(Refi_Switch = "Yes", IFERROR(SUM(_xlfn._xlws.FILTER(INDEX(Refi_Table,0,6), (INDEX(Refi_Table,0,3) &lt;= AB$15) * (INDEX(Refi_Table,0,3) &gt;= EDATE(AB$15,-11)))),0), 0)</f>
        <v>0</v>
      </c>
      <c r="AC28" s="543" cm="1">
        <f t="array" aca="1" ref="AC28" ca="1">IF(Refi_Switch = "Yes", IFERROR(SUM(_xlfn._xlws.FILTER(INDEX(Refi_Table,0,6), (INDEX(Refi_Table,0,3) &lt;= AC$15) * (INDEX(Refi_Table,0,3) &gt;= EDATE(AC$15,-11)))),0), 0)</f>
        <v>0</v>
      </c>
      <c r="AD28" s="85"/>
      <c r="AE28" s="89"/>
    </row>
    <row r="29" spans="1:31" ht="15.75" customHeight="1" x14ac:dyDescent="0.25">
      <c r="C29" s="321"/>
      <c r="D29" s="314" t="s">
        <v>222</v>
      </c>
      <c r="E29" s="322"/>
      <c r="F29" s="335">
        <f>IFERROR(PMT(F22/12,F27*12,SED_Orig_Loan_Amount),0)</f>
        <v>0</v>
      </c>
      <c r="G29" s="316"/>
      <c r="H29" s="335">
        <f>IFERROR(NEW_PMT,0)</f>
        <v>0</v>
      </c>
      <c r="I29" s="316"/>
      <c r="J29" s="335">
        <f>IFERROR(PMT(J22/12,J27*12,J19),0)</f>
        <v>0</v>
      </c>
      <c r="K29" s="316"/>
      <c r="L29" s="335">
        <f>IFERROR(PMT(L22/12,L27*12,L19),0)</f>
        <v>0</v>
      </c>
      <c r="M29" s="95"/>
      <c r="N29" s="86"/>
      <c r="O29" s="86"/>
      <c r="P29" s="86"/>
      <c r="Q29" s="86"/>
      <c r="R29" s="86"/>
      <c r="S29" s="985"/>
      <c r="T29" s="546"/>
      <c r="U29" s="545"/>
      <c r="V29" s="545"/>
      <c r="W29" s="545"/>
      <c r="X29" s="545"/>
      <c r="Y29" s="545"/>
      <c r="Z29" s="545"/>
      <c r="AA29" s="545"/>
      <c r="AB29" s="545"/>
      <c r="AC29" s="545"/>
      <c r="AD29" s="88"/>
      <c r="AE29" s="89"/>
    </row>
    <row r="30" spans="1:31" ht="15.75" customHeight="1" x14ac:dyDescent="0.25">
      <c r="C30" s="321"/>
      <c r="D30" s="314" t="s">
        <v>223</v>
      </c>
      <c r="E30" s="322"/>
      <c r="F30" s="335">
        <f>IF(SED_Amort = 0, -F19*(F22/12), SED_IPMT)</f>
        <v>0</v>
      </c>
      <c r="G30" s="316"/>
      <c r="H30" s="335">
        <f>IF(NEW_Amort = 0, -H19*(H22/12), NEW_IPMT)</f>
        <v>0</v>
      </c>
      <c r="I30" s="316"/>
      <c r="J30" s="335">
        <f>IF(Mezz_Amort = 0, -J19*(J22/12), Mezz_IPMT)</f>
        <v>0</v>
      </c>
      <c r="K30" s="316"/>
      <c r="L30" s="335" t="e">
        <f>IF(Refi_Amort = 0, -L19*(L22/12), Refi_IPMT)</f>
        <v>#VALUE!</v>
      </c>
      <c r="M30" s="95"/>
      <c r="N30" s="86"/>
      <c r="O30" s="86"/>
      <c r="P30" s="86"/>
      <c r="Q30" s="86"/>
      <c r="R30" s="86"/>
      <c r="S30" s="980" t="s">
        <v>224</v>
      </c>
      <c r="T30" s="547">
        <f>T18+T21+T24+T27</f>
        <v>0</v>
      </c>
      <c r="U30" s="547">
        <f t="shared" ref="U30:AC30" ca="1" si="1">U18+U21+U24+U27</f>
        <v>0</v>
      </c>
      <c r="V30" s="547">
        <f t="shared" ca="1" si="1"/>
        <v>0</v>
      </c>
      <c r="W30" s="547">
        <f t="shared" ca="1" si="1"/>
        <v>0</v>
      </c>
      <c r="X30" s="547">
        <f t="shared" ca="1" si="1"/>
        <v>0</v>
      </c>
      <c r="Y30" s="547">
        <f t="shared" ca="1" si="1"/>
        <v>0</v>
      </c>
      <c r="Z30" s="547">
        <f t="shared" ca="1" si="1"/>
        <v>0</v>
      </c>
      <c r="AA30" s="547">
        <f t="shared" ca="1" si="1"/>
        <v>0</v>
      </c>
      <c r="AB30" s="547">
        <f t="shared" ca="1" si="1"/>
        <v>0</v>
      </c>
      <c r="AC30" s="547">
        <f t="shared" ca="1" si="1"/>
        <v>0</v>
      </c>
      <c r="AD30" s="85"/>
      <c r="AE30" s="89"/>
    </row>
    <row r="31" spans="1:31" ht="15.75" customHeight="1" x14ac:dyDescent="0.25">
      <c r="C31" s="84"/>
      <c r="D31" s="314" t="s">
        <v>225</v>
      </c>
      <c r="E31" s="315"/>
      <c r="F31" s="327">
        <f>F29*12</f>
        <v>0</v>
      </c>
      <c r="G31" s="316"/>
      <c r="H31" s="327">
        <f>H29*12</f>
        <v>0</v>
      </c>
      <c r="I31" s="317"/>
      <c r="J31" s="328">
        <f>J29*12</f>
        <v>0</v>
      </c>
      <c r="K31" s="317"/>
      <c r="L31" s="328">
        <f>L29*12</f>
        <v>0</v>
      </c>
      <c r="M31" s="318"/>
      <c r="N31" s="84"/>
      <c r="O31" s="84"/>
      <c r="P31" s="84"/>
      <c r="Q31" s="84"/>
      <c r="R31" s="84"/>
      <c r="S31" s="986" t="s">
        <v>226</v>
      </c>
      <c r="T31" s="547">
        <f>T19+T22+T25+T28</f>
        <v>0</v>
      </c>
      <c r="U31" s="547">
        <f t="shared" ref="U31:AC31" ca="1" si="2">U19+U22+U25+U28</f>
        <v>0</v>
      </c>
      <c r="V31" s="547">
        <f t="shared" ca="1" si="2"/>
        <v>0</v>
      </c>
      <c r="W31" s="547">
        <f t="shared" ca="1" si="2"/>
        <v>0</v>
      </c>
      <c r="X31" s="547">
        <f t="shared" ca="1" si="2"/>
        <v>0</v>
      </c>
      <c r="Y31" s="547">
        <f t="shared" ca="1" si="2"/>
        <v>0</v>
      </c>
      <c r="Z31" s="547">
        <f t="shared" ca="1" si="2"/>
        <v>0</v>
      </c>
      <c r="AA31" s="547">
        <f t="shared" ca="1" si="2"/>
        <v>0</v>
      </c>
      <c r="AB31" s="547">
        <f t="shared" ca="1" si="2"/>
        <v>0</v>
      </c>
      <c r="AC31" s="547">
        <f t="shared" ca="1" si="2"/>
        <v>0</v>
      </c>
      <c r="AD31" s="85"/>
      <c r="AE31" s="89"/>
    </row>
    <row r="32" spans="1:31" ht="15.75" customHeight="1" x14ac:dyDescent="0.25">
      <c r="C32" s="84"/>
      <c r="D32" s="314" t="s">
        <v>227</v>
      </c>
      <c r="E32" s="315"/>
      <c r="F32" s="327">
        <f>IF(F27 = 0, -F21,SED_FV)</f>
        <v>0</v>
      </c>
      <c r="G32" s="316"/>
      <c r="H32" s="327">
        <f>IF(H27 = 0, -H21,NEW_FV)</f>
        <v>0</v>
      </c>
      <c r="I32" s="317"/>
      <c r="J32" s="328">
        <f ca="1">IF(J27 = 0, -J21,Mezz_FV)</f>
        <v>0</v>
      </c>
      <c r="K32" s="317"/>
      <c r="L32" s="328">
        <f ca="1">IF(L27 = 0, -L21,Refi_FV)</f>
        <v>0</v>
      </c>
      <c r="M32" s="318"/>
      <c r="N32" s="84"/>
      <c r="O32" s="84"/>
      <c r="P32" s="84"/>
      <c r="Q32" s="84"/>
      <c r="R32" s="84"/>
      <c r="S32" s="986" t="s">
        <v>228</v>
      </c>
      <c r="T32" s="543" t="str">
        <f t="shared" ref="T32:AC32" si="3">IF(YEAR(Refi_Origination_Date) = YEAR(T15),Refi_Orig_Loan_Amount,0)</f>
        <v/>
      </c>
      <c r="U32" s="543">
        <f t="shared" si="3"/>
        <v>0</v>
      </c>
      <c r="V32" s="543">
        <f t="shared" si="3"/>
        <v>0</v>
      </c>
      <c r="W32" s="543">
        <f t="shared" si="3"/>
        <v>0</v>
      </c>
      <c r="X32" s="543">
        <f t="shared" si="3"/>
        <v>0</v>
      </c>
      <c r="Y32" s="543">
        <f t="shared" si="3"/>
        <v>0</v>
      </c>
      <c r="Z32" s="543">
        <f t="shared" si="3"/>
        <v>0</v>
      </c>
      <c r="AA32" s="543">
        <f t="shared" si="3"/>
        <v>0</v>
      </c>
      <c r="AB32" s="543">
        <f t="shared" si="3"/>
        <v>0</v>
      </c>
      <c r="AC32" s="543">
        <f t="shared" si="3"/>
        <v>0</v>
      </c>
      <c r="AD32" s="85"/>
      <c r="AE32" s="89"/>
    </row>
    <row r="33" spans="3:31" ht="15.75" customHeight="1" x14ac:dyDescent="0.25">
      <c r="C33" s="84"/>
      <c r="D33" s="314" t="s">
        <v>229</v>
      </c>
      <c r="E33" s="315"/>
      <c r="F33" s="325">
        <f>IFERROR(SED_TIme_Remaining,0)</f>
        <v>0</v>
      </c>
      <c r="G33" s="316"/>
      <c r="H33" s="325">
        <f>IFERROR(NEW_Time_Remaining,0)</f>
        <v>0</v>
      </c>
      <c r="I33" s="317"/>
      <c r="J33" s="326" t="e">
        <f>Mezz_Time_Remaining</f>
        <v>#NUM!</v>
      </c>
      <c r="K33" s="317"/>
      <c r="L33" s="326">
        <f>IFERROR(Refi_Time_Remaining,0)</f>
        <v>0</v>
      </c>
      <c r="M33" s="318"/>
      <c r="N33" s="84"/>
      <c r="O33" s="84"/>
      <c r="P33" s="84"/>
      <c r="Q33" s="84"/>
      <c r="R33" s="84"/>
      <c r="S33" s="986" t="s">
        <v>230</v>
      </c>
      <c r="T33" s="543" cm="1">
        <f t="array" ref="T33">IFERROR(IF(YEAR(SED_Loan_Due_Date) = YEAR(T15), IFERROR(-MIN(_xlfn._xlws.FILTER(INDEX(SED_Table,0,8),INDEX(SED_Table,0,8)&lt;&gt;0)),0),0),0) + IFERROR(IF(YEAR(Mezz_Loan_Due_Date) = YEAR(T15),IFERROR(-MIN(_xlfn._xlws.FILTER(INDEX(Mezz_Table,0,8),INDEX(Mezz_Table,0,8)&lt;&gt;0)),0),0),0)</f>
        <v>0</v>
      </c>
      <c r="U33" s="543" cm="1">
        <f t="array" ref="U33">IFERROR(IF(YEAR(SED_Loan_Due_Date) = YEAR(U15), IFERROR(-MIN(_xlfn._xlws.FILTER(INDEX(SED_Table,0,8),INDEX(SED_Table,0,8)&lt;&gt;0)),0),0),0) + IFERROR(IF(YEAR(Mezz_Loan_Due_Date) = YEAR(U15),IFERROR(-MIN(_xlfn._xlws.FILTER(INDEX(Mezz_Table,0,8),INDEX(Mezz_Table,0,8)&lt;&gt;0)),0),0),0)</f>
        <v>0</v>
      </c>
      <c r="V33" s="543" cm="1">
        <f t="array" ref="V33">IFERROR(IF(YEAR(SED_Loan_Due_Date) = YEAR(V15), IFERROR(-MIN(_xlfn._xlws.FILTER(INDEX(SED_Table,0,8),INDEX(SED_Table,0,8)&lt;&gt;0)),0),0),0) + IFERROR(IF(YEAR(Mezz_Loan_Due_Date) = YEAR(V15),IFERROR(-MIN(_xlfn._xlws.FILTER(INDEX(Mezz_Table,0,8),INDEX(Mezz_Table,0,8)&lt;&gt;0)),0),0),0)</f>
        <v>0</v>
      </c>
      <c r="W33" s="543" cm="1">
        <f t="array" ref="W33">IFERROR(IF(YEAR(SED_Loan_Due_Date) = YEAR(W15), IFERROR(-MIN(_xlfn._xlws.FILTER(INDEX(SED_Table,0,8),INDEX(SED_Table,0,8)&lt;&gt;0)),0),0),0) + IFERROR(IF(YEAR(Mezz_Loan_Due_Date) = YEAR(W15),IFERROR(-MIN(_xlfn._xlws.FILTER(INDEX(Mezz_Table,0,8),INDEX(Mezz_Table,0,8)&lt;&gt;0)),0),0),0)</f>
        <v>0</v>
      </c>
      <c r="X33" s="543" cm="1">
        <f t="array" ref="X33">IFERROR(IF(YEAR(SED_Loan_Due_Date) = YEAR(X15), IFERROR(-MIN(_xlfn._xlws.FILTER(INDEX(SED_Table,0,8),INDEX(SED_Table,0,8)&lt;&gt;0)),0),0),0) + IFERROR(IF(YEAR(Mezz_Loan_Due_Date) = YEAR(X15),IFERROR(-MIN(_xlfn._xlws.FILTER(INDEX(Mezz_Table,0,8),INDEX(Mezz_Table,0,8)&lt;&gt;0)),0),0),0)</f>
        <v>0</v>
      </c>
      <c r="Y33" s="543" cm="1">
        <f t="array" ref="Y33">IFERROR(IF(YEAR(SED_Loan_Due_Date) = YEAR(Y15), IFERROR(-MIN(_xlfn._xlws.FILTER(INDEX(SED_Table,0,8),INDEX(SED_Table,0,8)&lt;&gt;0)),0),0),0) + IFERROR(IF(YEAR(Mezz_Loan_Due_Date) = YEAR(Y15),IFERROR(-MIN(_xlfn._xlws.FILTER(INDEX(Mezz_Table,0,8),INDEX(Mezz_Table,0,8)&lt;&gt;0)),0),0),0)</f>
        <v>0</v>
      </c>
      <c r="Z33" s="543" cm="1">
        <f t="array" ref="Z33">IFERROR(IF(YEAR(SED_Loan_Due_Date) = YEAR(Z15), IFERROR(-MIN(_xlfn._xlws.FILTER(INDEX(SED_Table,0,8),INDEX(SED_Table,0,8)&lt;&gt;0)),0),0),0) + IFERROR(IF(YEAR(Mezz_Loan_Due_Date) = YEAR(Z15),IFERROR(-MIN(_xlfn._xlws.FILTER(INDEX(Mezz_Table,0,8),INDEX(Mezz_Table,0,8)&lt;&gt;0)),0),0),0)</f>
        <v>0</v>
      </c>
      <c r="AA33" s="543" cm="1">
        <f t="array" ref="AA33">IFERROR(IF(YEAR(SED_Loan_Due_Date) = YEAR(AA15), IFERROR(-MIN(_xlfn._xlws.FILTER(INDEX(SED_Table,0,8),INDEX(SED_Table,0,8)&lt;&gt;0)),0),0),0) + IFERROR(IF(YEAR(Mezz_Loan_Due_Date) = YEAR(AA15),IFERROR(-MIN(_xlfn._xlws.FILTER(INDEX(Mezz_Table,0,8),INDEX(Mezz_Table,0,8)&lt;&gt;0)),0),0),0)</f>
        <v>0</v>
      </c>
      <c r="AB33" s="543" cm="1">
        <f t="array" ref="AB33">IFERROR(IF(YEAR(SED_Loan_Due_Date) = YEAR(AB15), IFERROR(-MIN(_xlfn._xlws.FILTER(INDEX(SED_Table,0,8),INDEX(SED_Table,0,8)&lt;&gt;0)),0),0),0) + IFERROR(IF(YEAR(Mezz_Loan_Due_Date) = YEAR(AB15),IFERROR(-MIN(_xlfn._xlws.FILTER(INDEX(Mezz_Table,0,8),INDEX(Mezz_Table,0,8)&lt;&gt;0)),0),0),0)</f>
        <v>0</v>
      </c>
      <c r="AC33" s="543" cm="1">
        <f t="array" ref="AC33">IFERROR(IF(YEAR(SED_Loan_Due_Date) = YEAR(AC15), IFERROR(-MIN(_xlfn._xlws.FILTER(INDEX(SED_Table,0,8),INDEX(SED_Table,0,8)&lt;&gt;0)),0),0),0) + IFERROR(IF(YEAR(Mezz_Loan_Due_Date) = YEAR(AC15),IFERROR(-MIN(_xlfn._xlws.FILTER(INDEX(Mezz_Table,0,8),INDEX(Mezz_Table,0,8)&lt;&gt;0)),0),0),0)</f>
        <v>0</v>
      </c>
      <c r="AD33" s="85"/>
      <c r="AE33" s="89"/>
    </row>
    <row r="34" spans="3:31" ht="15.75" customHeight="1" x14ac:dyDescent="0.25">
      <c r="C34" s="84"/>
      <c r="D34" s="314" t="s">
        <v>231</v>
      </c>
      <c r="E34" s="315"/>
      <c r="F34" s="340"/>
      <c r="G34" s="329"/>
      <c r="H34" s="340"/>
      <c r="I34" s="330"/>
      <c r="J34" s="340"/>
      <c r="K34" s="330"/>
      <c r="L34" s="340"/>
      <c r="M34" s="318"/>
      <c r="N34" s="84"/>
      <c r="O34" s="84"/>
      <c r="P34" s="84"/>
      <c r="Q34" s="84"/>
      <c r="R34" s="84"/>
      <c r="S34" s="986" t="s">
        <v>232</v>
      </c>
      <c r="T34" s="543" t="e">
        <f t="shared" ref="T34:AC34" si="4">IF(T32=0,0,T32*-Refi_Origination_Feee)</f>
        <v>#VALUE!</v>
      </c>
      <c r="U34" s="543">
        <f t="shared" si="4"/>
        <v>0</v>
      </c>
      <c r="V34" s="543">
        <f t="shared" si="4"/>
        <v>0</v>
      </c>
      <c r="W34" s="543">
        <f>IF(W32=0,0,W32*-Refi_Origination_Feee)</f>
        <v>0</v>
      </c>
      <c r="X34" s="543">
        <f t="shared" si="4"/>
        <v>0</v>
      </c>
      <c r="Y34" s="543">
        <f t="shared" si="4"/>
        <v>0</v>
      </c>
      <c r="Z34" s="543">
        <f t="shared" si="4"/>
        <v>0</v>
      </c>
      <c r="AA34" s="543">
        <f t="shared" si="4"/>
        <v>0</v>
      </c>
      <c r="AB34" s="543">
        <f t="shared" si="4"/>
        <v>0</v>
      </c>
      <c r="AC34" s="543">
        <f t="shared" si="4"/>
        <v>0</v>
      </c>
      <c r="AD34" s="85"/>
      <c r="AE34" s="89"/>
    </row>
    <row r="35" spans="3:31" ht="15.75" customHeight="1" x14ac:dyDescent="0.25">
      <c r="C35" s="84"/>
      <c r="D35" s="314" t="s">
        <v>233</v>
      </c>
      <c r="E35" s="315"/>
      <c r="F35" s="338"/>
      <c r="G35" s="316"/>
      <c r="H35" s="338"/>
      <c r="I35" s="317"/>
      <c r="J35" s="338"/>
      <c r="K35" s="317"/>
      <c r="L35" s="342"/>
      <c r="M35" s="318"/>
      <c r="N35" s="84"/>
      <c r="O35" s="84"/>
      <c r="P35" s="84"/>
      <c r="Q35" s="84"/>
      <c r="R35" s="84"/>
      <c r="S35" s="978" t="s">
        <v>233</v>
      </c>
      <c r="T35" s="548">
        <f t="shared" ref="T35:AC35" si="5" xml:space="preserve"> IF(T33=0,0,-SED_Prepayment_Penalty-Mezz_Prepayment_Penalty)</f>
        <v>0</v>
      </c>
      <c r="U35" s="548">
        <f t="shared" si="5"/>
        <v>0</v>
      </c>
      <c r="V35" s="548">
        <f t="shared" si="5"/>
        <v>0</v>
      </c>
      <c r="W35" s="548">
        <f t="shared" si="5"/>
        <v>0</v>
      </c>
      <c r="X35" s="548">
        <f t="shared" si="5"/>
        <v>0</v>
      </c>
      <c r="Y35" s="548">
        <f t="shared" si="5"/>
        <v>0</v>
      </c>
      <c r="Z35" s="548">
        <f t="shared" si="5"/>
        <v>0</v>
      </c>
      <c r="AA35" s="548">
        <f t="shared" si="5"/>
        <v>0</v>
      </c>
      <c r="AB35" s="548">
        <f t="shared" si="5"/>
        <v>0</v>
      </c>
      <c r="AC35" s="548">
        <f t="shared" si="5"/>
        <v>0</v>
      </c>
      <c r="AD35" s="85"/>
      <c r="AE35" s="89"/>
    </row>
    <row r="36" spans="3:31" x14ac:dyDescent="0.25">
      <c r="C36" s="85"/>
      <c r="D36" s="93"/>
      <c r="E36" s="93"/>
      <c r="F36" s="93"/>
      <c r="G36" s="93"/>
      <c r="H36" s="93"/>
      <c r="I36" s="93"/>
      <c r="J36" s="93"/>
      <c r="K36" s="93"/>
      <c r="L36" s="93"/>
      <c r="M36" s="85"/>
      <c r="N36" s="85"/>
      <c r="O36" s="85"/>
      <c r="P36" s="85"/>
      <c r="Q36" s="85"/>
      <c r="R36" s="85"/>
      <c r="S36" s="987" t="s">
        <v>234</v>
      </c>
      <c r="T36" s="550" t="e">
        <f>SUM(T30:T35)</f>
        <v>#VALUE!</v>
      </c>
      <c r="U36" s="550">
        <f t="shared" ref="U36:AC36" ca="1" si="6">SUM(U30:U35)</f>
        <v>0</v>
      </c>
      <c r="V36" s="550">
        <f t="shared" ca="1" si="6"/>
        <v>0</v>
      </c>
      <c r="W36" s="550">
        <f t="shared" ca="1" si="6"/>
        <v>0</v>
      </c>
      <c r="X36" s="550">
        <f t="shared" ca="1" si="6"/>
        <v>0</v>
      </c>
      <c r="Y36" s="550">
        <f t="shared" ca="1" si="6"/>
        <v>0</v>
      </c>
      <c r="Z36" s="550">
        <f t="shared" ca="1" si="6"/>
        <v>0</v>
      </c>
      <c r="AA36" s="550">
        <f t="shared" ca="1" si="6"/>
        <v>0</v>
      </c>
      <c r="AB36" s="550">
        <f t="shared" ca="1" si="6"/>
        <v>0</v>
      </c>
      <c r="AC36" s="550">
        <f t="shared" ca="1" si="6"/>
        <v>0</v>
      </c>
      <c r="AD36" s="85"/>
      <c r="AE36" s="89"/>
    </row>
    <row r="37" spans="3:31" x14ac:dyDescent="0.25">
      <c r="C37" s="85"/>
      <c r="D37" s="85"/>
      <c r="E37" s="85"/>
      <c r="F37" s="336"/>
      <c r="G37" s="336"/>
      <c r="H37" s="336"/>
      <c r="I37" s="336"/>
      <c r="J37" s="336"/>
      <c r="K37" s="336"/>
      <c r="L37" s="336"/>
      <c r="M37" s="85"/>
      <c r="N37" s="85"/>
      <c r="O37" s="85"/>
      <c r="P37" s="85"/>
      <c r="Q37" s="85"/>
      <c r="R37" s="85"/>
      <c r="S37" s="988"/>
      <c r="T37" s="536"/>
      <c r="U37" s="536"/>
      <c r="V37" s="536"/>
      <c r="W37" s="536"/>
      <c r="X37" s="536"/>
      <c r="Y37" s="536"/>
      <c r="Z37" s="536"/>
      <c r="AA37" s="536"/>
      <c r="AB37" s="536"/>
      <c r="AC37" s="536"/>
      <c r="AD37" s="85"/>
      <c r="AE37" s="89"/>
    </row>
    <row r="38" spans="3:31" x14ac:dyDescent="0.25">
      <c r="C38" s="85"/>
      <c r="D38" s="85"/>
      <c r="E38" s="85"/>
      <c r="F38" s="85"/>
      <c r="G38" s="85"/>
      <c r="H38" s="85"/>
      <c r="I38" s="85"/>
      <c r="J38" s="85"/>
      <c r="K38" s="85"/>
      <c r="L38" s="85"/>
      <c r="M38" s="85"/>
      <c r="N38" s="85"/>
      <c r="O38" s="85"/>
      <c r="P38" s="85"/>
      <c r="Q38" s="85"/>
      <c r="R38" s="85"/>
      <c r="S38" s="989"/>
      <c r="T38" s="537"/>
      <c r="U38" s="537"/>
      <c r="V38" s="537"/>
      <c r="W38" s="537"/>
      <c r="X38" s="537"/>
      <c r="Y38" s="537"/>
      <c r="Z38" s="537"/>
      <c r="AA38" s="537"/>
      <c r="AB38" s="537"/>
      <c r="AC38" s="537"/>
      <c r="AD38" s="85"/>
      <c r="AE38" s="89"/>
    </row>
    <row r="39" spans="3:31" x14ac:dyDescent="0.25">
      <c r="C39" s="85"/>
      <c r="D39" s="85"/>
      <c r="E39" s="85"/>
      <c r="F39" s="85"/>
      <c r="G39" s="85"/>
      <c r="H39" s="85"/>
      <c r="I39" s="85"/>
      <c r="J39" s="85"/>
      <c r="K39" s="85"/>
      <c r="L39" s="85"/>
      <c r="M39" s="85"/>
      <c r="N39" s="85"/>
      <c r="O39" s="85"/>
      <c r="P39" s="85"/>
      <c r="Q39" s="85"/>
      <c r="R39" s="85"/>
      <c r="S39" s="990"/>
      <c r="T39" s="537"/>
      <c r="U39" s="537"/>
      <c r="V39" s="537"/>
      <c r="W39" s="537"/>
      <c r="X39" s="537"/>
      <c r="Y39" s="537"/>
      <c r="Z39" s="537"/>
      <c r="AA39" s="537"/>
      <c r="AB39" s="537"/>
      <c r="AC39" s="537"/>
      <c r="AD39" s="85"/>
      <c r="AE39" s="89"/>
    </row>
    <row r="40" spans="3:31" x14ac:dyDescent="0.25">
      <c r="C40" s="85"/>
      <c r="D40" s="85"/>
      <c r="E40" s="85"/>
      <c r="F40" s="85"/>
      <c r="G40" s="85"/>
      <c r="H40" s="85"/>
      <c r="I40" s="85"/>
      <c r="J40" s="85"/>
      <c r="K40" s="85"/>
      <c r="L40" s="85"/>
      <c r="M40" s="85"/>
      <c r="N40" s="85"/>
      <c r="O40" s="85"/>
      <c r="P40" s="85"/>
      <c r="Q40" s="85"/>
      <c r="R40" s="85"/>
      <c r="S40" s="537"/>
      <c r="T40" s="537"/>
      <c r="U40" s="537"/>
      <c r="V40" s="537"/>
      <c r="W40" s="537"/>
      <c r="X40" s="537"/>
      <c r="Y40" s="537"/>
      <c r="Z40" s="537"/>
      <c r="AA40" s="537"/>
      <c r="AB40" s="537"/>
      <c r="AC40" s="537"/>
      <c r="AD40" s="85"/>
      <c r="AE40" s="89"/>
    </row>
    <row r="41" spans="3:31" x14ac:dyDescent="0.25">
      <c r="C41" s="85"/>
      <c r="D41" s="85"/>
      <c r="E41" s="85"/>
      <c r="F41" s="85"/>
      <c r="G41" s="85"/>
      <c r="H41" s="85"/>
      <c r="I41" s="85"/>
      <c r="J41" s="85"/>
      <c r="K41" s="85"/>
      <c r="L41" s="85"/>
      <c r="M41" s="85"/>
      <c r="N41" s="85"/>
      <c r="O41" s="85"/>
      <c r="P41" s="85"/>
      <c r="Q41" s="85"/>
      <c r="R41" s="85"/>
      <c r="S41" s="537"/>
      <c r="T41" s="537"/>
      <c r="U41" s="537"/>
      <c r="V41" s="537"/>
      <c r="W41" s="537"/>
      <c r="X41" s="537"/>
      <c r="Y41" s="537"/>
      <c r="Z41" s="537"/>
      <c r="AA41" s="537"/>
      <c r="AB41" s="537"/>
      <c r="AC41" s="537"/>
      <c r="AD41" s="85"/>
      <c r="AE41" s="89"/>
    </row>
    <row r="42" spans="3:31" x14ac:dyDescent="0.25">
      <c r="C42" s="88"/>
      <c r="D42" s="85"/>
      <c r="E42" s="85"/>
      <c r="F42" s="85"/>
      <c r="G42" s="85"/>
      <c r="H42" s="528"/>
      <c r="I42" s="85"/>
      <c r="J42" s="85"/>
      <c r="K42" s="85"/>
      <c r="L42" s="85"/>
      <c r="M42" s="85"/>
      <c r="N42" s="85"/>
      <c r="O42" s="85"/>
      <c r="P42" s="85"/>
      <c r="Q42" s="85"/>
      <c r="R42" s="85"/>
      <c r="S42" s="537"/>
      <c r="T42" s="537"/>
      <c r="U42" s="537"/>
      <c r="V42" s="537"/>
      <c r="W42" s="537"/>
      <c r="X42" s="537"/>
      <c r="Y42" s="537"/>
      <c r="Z42" s="537"/>
      <c r="AA42" s="537"/>
      <c r="AB42" s="537"/>
      <c r="AC42" s="537"/>
      <c r="AD42" s="85"/>
      <c r="AE42" s="89"/>
    </row>
    <row r="43" spans="3:31" x14ac:dyDescent="0.25">
      <c r="C43" s="88"/>
      <c r="D43" s="85"/>
      <c r="E43" s="85"/>
      <c r="F43" s="85"/>
      <c r="G43" s="85"/>
      <c r="H43" s="85"/>
      <c r="I43" s="85"/>
      <c r="J43" s="85"/>
      <c r="K43" s="85"/>
      <c r="L43" s="85"/>
      <c r="M43" s="85"/>
      <c r="N43" s="85"/>
      <c r="O43" s="85"/>
      <c r="P43" s="85"/>
      <c r="Q43" s="85"/>
      <c r="R43" s="85"/>
      <c r="S43" s="537"/>
      <c r="T43" s="537"/>
      <c r="U43" s="537"/>
      <c r="V43" s="537"/>
      <c r="W43" s="537"/>
      <c r="X43" s="537"/>
      <c r="Y43" s="537"/>
      <c r="Z43" s="537"/>
      <c r="AA43" s="537"/>
      <c r="AB43" s="537"/>
      <c r="AC43" s="537"/>
      <c r="AD43" s="85"/>
      <c r="AE43" s="89"/>
    </row>
    <row r="44" spans="3:31" x14ac:dyDescent="0.25">
      <c r="C44" s="88"/>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9"/>
    </row>
    <row r="45" spans="3:31" x14ac:dyDescent="0.25">
      <c r="C45" s="88"/>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9"/>
    </row>
    <row r="46" spans="3:31" x14ac:dyDescent="0.25">
      <c r="C46" s="88"/>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9"/>
    </row>
    <row r="47" spans="3:31" x14ac:dyDescent="0.25">
      <c r="C47" s="88"/>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9"/>
    </row>
    <row r="48" spans="3:31" x14ac:dyDescent="0.25">
      <c r="C48" s="88"/>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9"/>
    </row>
    <row r="49" spans="3:31" x14ac:dyDescent="0.25">
      <c r="C49" s="88"/>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9"/>
    </row>
    <row r="50" spans="3:31" x14ac:dyDescent="0.25">
      <c r="C50" s="88"/>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9"/>
    </row>
    <row r="51" spans="3:31" x14ac:dyDescent="0.25">
      <c r="C51" s="88"/>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9"/>
    </row>
    <row r="52" spans="3:31" x14ac:dyDescent="0.25">
      <c r="C52" s="88"/>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9"/>
    </row>
    <row r="53" spans="3:31" x14ac:dyDescent="0.25">
      <c r="C53" s="88"/>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9"/>
    </row>
    <row r="54" spans="3:31" x14ac:dyDescent="0.25">
      <c r="C54" s="88"/>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9"/>
    </row>
    <row r="55" spans="3:31" x14ac:dyDescent="0.25">
      <c r="C55" s="88"/>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9"/>
    </row>
    <row r="56" spans="3:31" x14ac:dyDescent="0.25">
      <c r="C56" s="88"/>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9"/>
    </row>
    <row r="57" spans="3:31" x14ac:dyDescent="0.25">
      <c r="C57" s="88"/>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9"/>
    </row>
    <row r="58" spans="3:31" x14ac:dyDescent="0.25">
      <c r="C58" s="88"/>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9"/>
    </row>
    <row r="59" spans="3:31" x14ac:dyDescent="0.25">
      <c r="C59" s="88"/>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9"/>
    </row>
    <row r="60" spans="3:31" x14ac:dyDescent="0.25">
      <c r="C60" s="88"/>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9"/>
    </row>
    <row r="61" spans="3:31" x14ac:dyDescent="0.25">
      <c r="C61" s="88"/>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9"/>
    </row>
    <row r="62" spans="3:31" x14ac:dyDescent="0.25">
      <c r="C62" s="88"/>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9"/>
    </row>
    <row r="63" spans="3:31" x14ac:dyDescent="0.25">
      <c r="C63" s="88"/>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9"/>
    </row>
    <row r="64" spans="3:31" x14ac:dyDescent="0.25">
      <c r="C64" s="88"/>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9"/>
    </row>
    <row r="65" spans="3:31" x14ac:dyDescent="0.25">
      <c r="C65" s="88"/>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9"/>
    </row>
    <row r="66" spans="3:31" x14ac:dyDescent="0.25">
      <c r="C66" s="88"/>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9"/>
    </row>
    <row r="67" spans="3:31" x14ac:dyDescent="0.25">
      <c r="C67" s="88"/>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9"/>
    </row>
    <row r="68" spans="3:31" x14ac:dyDescent="0.25">
      <c r="C68" s="90"/>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2"/>
    </row>
  </sheetData>
  <sheetProtection formatCells="0" formatColumns="0" formatRows="0" insertColumns="0" insertRows="0" insertHyperlinks="0" deleteColumns="0" deleteRows="0" sort="0" autoFilter="0" pivotTables="0"/>
  <mergeCells count="9">
    <mergeCell ref="N17:P17"/>
    <mergeCell ref="S13:AC13"/>
    <mergeCell ref="D13:L13"/>
    <mergeCell ref="E2:H2"/>
    <mergeCell ref="E6:H6"/>
    <mergeCell ref="F7:H7"/>
    <mergeCell ref="F3:H3"/>
    <mergeCell ref="F4:H4"/>
    <mergeCell ref="F5:H5"/>
  </mergeCells>
  <conditionalFormatting sqref="F3 F7">
    <cfRule type="expression" dxfId="66" priority="13">
      <formula>AND($F$7="No",$F$3 = "Financed - Assumed Loan")</formula>
    </cfRule>
  </conditionalFormatting>
  <conditionalFormatting sqref="F3">
    <cfRule type="expression" dxfId="65" priority="29">
      <formula>AND(OR($F$4="Yes", $F$5 = "Yes", $F$7 = "Yes"),$F$3="All Cash")</formula>
    </cfRule>
  </conditionalFormatting>
  <conditionalFormatting sqref="F4:F5 F7">
    <cfRule type="expression" dxfId="64" priority="23">
      <formula>AND(F4="Yes", $F$3 = "All Cash")</formula>
    </cfRule>
  </conditionalFormatting>
  <conditionalFormatting sqref="L20">
    <cfRule type="expression" dxfId="63" priority="2">
      <formula>$N$17="Refinance Ballon Amount from Loan(s)"</formula>
    </cfRule>
  </conditionalFormatting>
  <conditionalFormatting sqref="N25:O25">
    <cfRule type="expression" dxfId="62" priority="1">
      <formula>$L$19-$O$20&lt;=0</formula>
    </cfRule>
  </conditionalFormatting>
  <conditionalFormatting sqref="S13:AC13">
    <cfRule type="expression" dxfId="61" priority="8">
      <formula>$F$3="All Cash"</formula>
    </cfRule>
  </conditionalFormatting>
  <dataValidations count="3">
    <dataValidation type="list" allowBlank="1" showInputMessage="1" showErrorMessage="1" sqref="F4:F5 F7" xr:uid="{10B0013C-5C09-4443-8E05-22FBA34C0143}">
      <formula1>"Yes, No"</formula1>
    </dataValidation>
    <dataValidation type="list" allowBlank="1" showInputMessage="1" showErrorMessage="1" sqref="L23 J23 H23 F23" xr:uid="{347A1C32-F01F-41B7-814C-F2BC32F475C5}">
      <formula1>"Monthly, Semi-Annually"</formula1>
    </dataValidation>
    <dataValidation type="list" allowBlank="1" showInputMessage="1" showErrorMessage="1" sqref="N17:P17" xr:uid="{83B89DD5-C95B-4CA4-BE96-62A2DB26B4D1}">
      <formula1>"Refinance Ballon Amount from Loan(s), LTV using User Defined Cap Rate on NOI in Year of Refinance"</formula1>
    </dataValidation>
  </dataValidations>
  <hyperlinks>
    <hyperlink ref="A5" location="Input!A5" display="Input" xr:uid="{7E9944EB-62B2-4EBA-AEB0-67F2DAFF662D}"/>
    <hyperlink ref="A6" location="'Debt Input'!A6" display="Debt Input" xr:uid="{E58F9763-2805-4480-9CDA-FEB9AE79AD87}"/>
    <hyperlink ref="A7" location="'Rent Roll Input'!A7" display="Rent Roll Input" xr:uid="{E523626E-0BE0-4BFA-8B9F-51CBF810EE12}"/>
    <hyperlink ref="A12" location="'Equity Returns Input'!A8" display="Equity Returns Input" xr:uid="{89268454-432B-4D68-958F-0D6310582980}"/>
    <hyperlink ref="A13" location="'Rent Roll Detail'!A9" display="Rent Roll Detail" xr:uid="{A9B40529-0A67-4C77-AF48-C26A6B802B81}"/>
    <hyperlink ref="A14" location="'Rent Roll Summary'!A10" display="Rent Roll Summary" xr:uid="{A433ACE6-C28F-4AAA-A8AB-31C433A19620}"/>
    <hyperlink ref="A15" location="'Operating Statement'!A11" display="Operating Statement" xr:uid="{C842C797-29C5-4C7F-A1C1-2B0170CA71F5}"/>
    <hyperlink ref="A16" location="Notes!A12" display="Notes" xr:uid="{D07F900D-270B-4877-BB8B-7DF306F82C27}"/>
    <hyperlink ref="A17" location="'Pricing Detail'!A3" display="Pricing Detail" xr:uid="{413AA4A1-EE64-4950-A864-779253534EFE}"/>
    <hyperlink ref="A18" location="'Growth Rates'!A14" display="Growth Rates" xr:uid="{CE5085A1-FE52-4236-B6F2-04013F13BD2C}"/>
    <hyperlink ref="A19" location="'Cash Flow'!A15" display="Cash Flow" xr:uid="{1EB0B4C2-4100-43FC-8141-C5A624FBC4B2}"/>
    <hyperlink ref="A20" location="'Proposal Price IRR'!A16" display="Proposal Price IRR" xr:uid="{9CED2E80-A1F3-4F49-933A-F4EA239F1134}"/>
    <hyperlink ref="A21" location="'Equity Returns Options'!A17" display="Equity Returns Options" xr:uid="{201EC3C0-66A2-4EA3-A70C-082267ECDAAD}"/>
    <hyperlink ref="A22" location="'Equity Returns Chart'!A18" display="Equity Returns Chart" xr:uid="{50EF6582-860A-49C1-811B-65C9C20899E6}"/>
  </hyperlinks>
  <pageMargins left="0.7" right="0.7" top="0.75" bottom="0.75" header="0.3" footer="0.3"/>
  <pageSetup orientation="portrait" horizontalDpi="1200" verticalDpi="1200" r:id="rId1"/>
  <customProperties>
    <customPr name="GUID" r:id="rId2"/>
  </customProperties>
  <ignoredErrors>
    <ignoredError sqref="H31" evalError="1"/>
  </ignoredError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D6907883-A2F6-4363-94B2-131AA05C9B33}">
          <x14:formula1>
            <xm:f>'Data Validation'!$A$1:$A$3</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6DE7-7342-46C1-9361-AB45F604CEC4}">
  <sheetPr codeName="Sheet3">
    <tabColor rgb="FFD8E2EC"/>
  </sheetPr>
  <dimension ref="A1:AA642"/>
  <sheetViews>
    <sheetView zoomScale="125" zoomScaleNormal="125" workbookViewId="0">
      <pane ySplit="3" topLeftCell="A4" activePane="bottomLeft" state="frozen"/>
      <selection activeCell="L8" sqref="L8"/>
      <selection pane="bottomLeft" activeCell="A4" sqref="A4:XFD4"/>
    </sheetView>
  </sheetViews>
  <sheetFormatPr defaultColWidth="8.85546875" defaultRowHeight="15" x14ac:dyDescent="0.25"/>
  <cols>
    <col min="1" max="1" width="4" customWidth="1"/>
    <col min="2" max="3" width="13.7109375" customWidth="1"/>
    <col min="4" max="4" width="8.28515625" customWidth="1"/>
    <col min="5" max="5" width="29.42578125" customWidth="1"/>
    <col min="6" max="6" width="11.28515625" customWidth="1"/>
    <col min="7" max="8" width="13.7109375" customWidth="1"/>
    <col min="9" max="9" width="14.7109375" customWidth="1"/>
    <col min="10" max="10" width="13.42578125" customWidth="1"/>
    <col min="11" max="11" width="13.7109375" customWidth="1"/>
    <col min="12" max="12" width="10.7109375" customWidth="1"/>
    <col min="13" max="13" width="13.7109375" customWidth="1"/>
    <col min="14" max="15" width="10.85546875" bestFit="1" customWidth="1"/>
    <col min="16" max="20" width="10.85546875" customWidth="1"/>
    <col min="21" max="21" width="19.42578125" customWidth="1"/>
    <col min="22" max="22" width="10.85546875" hidden="1" customWidth="1"/>
    <col min="23" max="23" width="12.85546875" hidden="1" customWidth="1"/>
    <col min="28" max="28" width="16.85546875" customWidth="1"/>
  </cols>
  <sheetData>
    <row r="1" spans="1:27" x14ac:dyDescent="0.25">
      <c r="B1" s="103"/>
      <c r="C1" s="103"/>
      <c r="D1" s="103"/>
      <c r="E1" s="103"/>
      <c r="F1" s="103"/>
      <c r="G1" s="103"/>
      <c r="H1" s="103"/>
      <c r="I1" s="103"/>
      <c r="J1" s="103"/>
      <c r="K1" s="103"/>
      <c r="L1" s="103"/>
      <c r="M1" s="103"/>
      <c r="N1" s="103"/>
      <c r="O1" s="103"/>
      <c r="P1" s="103"/>
      <c r="Q1" s="103"/>
      <c r="R1" s="103"/>
      <c r="S1" s="103"/>
      <c r="T1" s="103"/>
      <c r="U1" s="103"/>
    </row>
    <row r="2" spans="1:27" ht="15.75" thickBot="1" x14ac:dyDescent="0.3">
      <c r="B2" s="104" t="s">
        <v>235</v>
      </c>
      <c r="C2" s="104" t="s">
        <v>235</v>
      </c>
      <c r="D2" s="104"/>
      <c r="E2" s="104" t="s">
        <v>235</v>
      </c>
      <c r="F2" s="104" t="s">
        <v>235</v>
      </c>
      <c r="G2" s="104" t="s">
        <v>235</v>
      </c>
      <c r="H2" s="104" t="s">
        <v>235</v>
      </c>
      <c r="I2" s="104" t="s">
        <v>235</v>
      </c>
      <c r="J2" s="104" t="s">
        <v>235</v>
      </c>
      <c r="K2" s="104" t="s">
        <v>236</v>
      </c>
      <c r="L2" s="104" t="s">
        <v>236</v>
      </c>
      <c r="M2" s="104" t="s">
        <v>236</v>
      </c>
      <c r="N2" s="104" t="s">
        <v>236</v>
      </c>
      <c r="O2" s="104" t="s">
        <v>236</v>
      </c>
      <c r="P2" s="104" t="s">
        <v>236</v>
      </c>
      <c r="Q2" s="104" t="s">
        <v>236</v>
      </c>
      <c r="R2" s="104" t="s">
        <v>236</v>
      </c>
      <c r="S2" s="104" t="s">
        <v>236</v>
      </c>
      <c r="T2" s="104" t="s">
        <v>236</v>
      </c>
      <c r="U2" s="104" t="s">
        <v>236</v>
      </c>
      <c r="V2" s="104" t="s">
        <v>236</v>
      </c>
      <c r="W2" s="104" t="s">
        <v>236</v>
      </c>
    </row>
    <row r="3" spans="1:27" ht="41.25" thickBot="1" x14ac:dyDescent="0.3">
      <c r="B3" s="101" t="s">
        <v>237</v>
      </c>
      <c r="C3" s="101" t="s">
        <v>238</v>
      </c>
      <c r="D3" s="101" t="s">
        <v>239</v>
      </c>
      <c r="E3" s="101" t="s">
        <v>240</v>
      </c>
      <c r="F3" s="101" t="s">
        <v>241</v>
      </c>
      <c r="G3" s="101" t="s">
        <v>242</v>
      </c>
      <c r="H3" s="102" t="s">
        <v>243</v>
      </c>
      <c r="I3" s="102" t="s">
        <v>244</v>
      </c>
      <c r="J3" s="102" t="s">
        <v>245</v>
      </c>
      <c r="K3" s="102" t="s">
        <v>246</v>
      </c>
      <c r="L3" s="109" t="s">
        <v>247</v>
      </c>
      <c r="M3" s="109" t="s">
        <v>248</v>
      </c>
      <c r="N3" s="109" t="s">
        <v>249</v>
      </c>
      <c r="O3" s="109" t="s">
        <v>250</v>
      </c>
      <c r="P3" s="109" t="s">
        <v>251</v>
      </c>
      <c r="Q3" s="109" t="s">
        <v>252</v>
      </c>
      <c r="R3" s="109" t="s">
        <v>253</v>
      </c>
      <c r="S3" s="109" t="s">
        <v>254</v>
      </c>
      <c r="T3" s="109" t="s">
        <v>255</v>
      </c>
      <c r="U3" s="295" t="s">
        <v>256</v>
      </c>
      <c r="V3" s="109"/>
      <c r="W3" s="109"/>
    </row>
    <row r="4" spans="1:27" ht="27.75" hidden="1" thickBot="1" x14ac:dyDescent="0.3">
      <c r="A4" s="112" t="s">
        <v>257</v>
      </c>
      <c r="B4" s="110" cm="1">
        <f t="array" aca="1" ref="B4" ca="1">IFERROR(SUM(INDEX(Rent_Roll_Input,0,COLUMN(A:A))),0)</f>
        <v>0</v>
      </c>
      <c r="C4" s="110" cm="1">
        <f t="array" aca="1" ref="C4" ca="1">IFERROR(SUM(INDEX(Rent_Roll_Input,0,COLUMN(B:B))),0)</f>
        <v>0</v>
      </c>
      <c r="D4" s="110"/>
      <c r="E4" s="110"/>
      <c r="F4" s="110" cm="1">
        <f t="array" aca="1" ref="F4" ca="1">IFERROR(SUM(INDEX(Rent_Roll_Input,0,COLUMN(E:E))),0)</f>
        <v>0</v>
      </c>
      <c r="G4" s="110" cm="1">
        <f t="array" aca="1" ref="G4" ca="1">IFERROR(SUMPRODUCT(INDEX(Rent_Roll_Input,0,COLUMN($E:$E)),INDEX(Rent_Roll_Input,0,COLUMN(F:F))),0)</f>
        <v>0</v>
      </c>
      <c r="H4" s="113" cm="1">
        <f t="array" aca="1" ref="H4" ca="1">IFERROR(SUMPRODUCT(INDEX(Rent_Roll_Input,0,COLUMN($E:$E)),INDEX(Rent_Roll_Input,0,COLUMN(G:G)))/F4,0)</f>
        <v>0</v>
      </c>
      <c r="I4" s="113" cm="1">
        <f t="array" aca="1" ref="I4" ca="1">IFERROR(SUMPRODUCT(INDEX(Rent_Roll_Input,0,COLUMN($E:$E)),INDEX(Rent_Roll_Input,0,COLUMN(H:H)))/F4,0)</f>
        <v>0</v>
      </c>
      <c r="J4" s="113" cm="1">
        <f t="array" aca="1" ref="J4" ca="1">IFERROR(SUMPRODUCT(INDEX(Rent_Roll_Input,0,COLUMN($E:$E)),INDEX(Rent_Roll_Input,0,COLUMN(I:I)))/F4,0)</f>
        <v>0</v>
      </c>
      <c r="K4" s="113" cm="1">
        <f t="array" aca="1" ref="K4" ca="1">IFERROR(SUMPRODUCT(INDEX(Rent_Roll_Input,0,COLUMN($E:$E)),INDEX(Rent_Roll_Input,0,COLUMN(J:J)))/F4,0)</f>
        <v>0</v>
      </c>
      <c r="L4" s="299" t="e">
        <f ca="1">IF($U4 = "", "", H4/$G4*F4)</f>
        <v>#DIV/0!</v>
      </c>
      <c r="M4" s="299" t="e">
        <f ca="1">IF($U4 = "", "", I4/$G4*F4)</f>
        <v>#DIV/0!</v>
      </c>
      <c r="N4" s="299" t="e">
        <f ca="1">IF($U4 = "", "", J4/$G4*F4)</f>
        <v>#DIV/0!</v>
      </c>
      <c r="O4" s="299" t="e">
        <f ca="1">IF($U4 = "", "", K4/$G4*F4)</f>
        <v>#DIV/0!</v>
      </c>
      <c r="P4" s="299" t="e">
        <f ca="1">IF(L4="", "", L4*12)</f>
        <v>#DIV/0!</v>
      </c>
      <c r="Q4" s="299" t="e">
        <f t="shared" ref="Q4:S4" ca="1" si="0">IF(M4="", "", M4*12)</f>
        <v>#DIV/0!</v>
      </c>
      <c r="R4" s="299" t="e">
        <f t="shared" ca="1" si="0"/>
        <v>#DIV/0!</v>
      </c>
      <c r="S4" s="299" t="e">
        <f t="shared" ca="1" si="0"/>
        <v>#DIV/0!</v>
      </c>
      <c r="T4" s="300" cm="1">
        <f t="array" aca="1" ref="T4" ca="1">_xlfn.IFS(G4="", "", F4 = "", G4, 1, F4*G4)</f>
        <v>0</v>
      </c>
      <c r="U4" s="301" t="s">
        <v>258</v>
      </c>
      <c r="V4" s="111"/>
    </row>
    <row r="5" spans="1:27" x14ac:dyDescent="0.25">
      <c r="B5" s="128"/>
      <c r="C5" s="128"/>
      <c r="D5" s="129"/>
      <c r="E5" s="128"/>
      <c r="F5" s="128"/>
      <c r="G5" s="128"/>
      <c r="H5" s="130"/>
      <c r="I5" s="130"/>
      <c r="J5" s="130"/>
      <c r="K5" s="289" t="str">
        <f>IF(G5= "", "", IF(H5=0,I5,H5))</f>
        <v/>
      </c>
      <c r="L5" s="296" t="str">
        <f t="shared" ref="L5:L67" si="1">IF($U5 = "", "", H5/$G5)</f>
        <v/>
      </c>
      <c r="M5" s="296" t="str">
        <f t="shared" ref="M5:M67" si="2">IF($U5 = "", "", I5/$G5)</f>
        <v/>
      </c>
      <c r="N5" s="296" t="str">
        <f t="shared" ref="N5:N67" si="3">IF($U5 = "", "", J5/$G5)</f>
        <v/>
      </c>
      <c r="O5" s="296" t="str">
        <f t="shared" ref="O5:O67" si="4">IF($U5 = "", "", K5/$G5)</f>
        <v/>
      </c>
      <c r="P5" s="296" t="str">
        <f>IF(L5="", "", L5*12)</f>
        <v/>
      </c>
      <c r="Q5" s="296" t="str">
        <f t="shared" ref="Q5:Q6" si="5">IF(M5="", "", M5*12)</f>
        <v/>
      </c>
      <c r="R5" s="296" t="str">
        <f t="shared" ref="R5:R6" si="6">IF(N5="", "", N5*12)</f>
        <v/>
      </c>
      <c r="S5" s="296" t="str">
        <f t="shared" ref="S5:S6" si="7">IF(O5="", "", O5*12)</f>
        <v/>
      </c>
      <c r="T5" s="297" t="str" cm="1">
        <f t="array" ref="T5">_xlfn.IFS(G5="", "", F5 = "", G5, 1, F5*G5)</f>
        <v/>
      </c>
      <c r="U5" s="298" t="str">
        <f t="shared" ref="U5:U68" si="8">IF(AND(B5="", C5="", E5=""), "", IF(OR(B5=0,B5=""),E5,B5 &amp; " Bed / " &amp;C5&amp; " Bath " &amp;E5))</f>
        <v/>
      </c>
      <c r="V5" s="105" t="str">
        <f t="shared" ref="V5:V68" si="9">IF(U5= "", "", B5)</f>
        <v/>
      </c>
      <c r="W5" s="47" t="str">
        <f>IF(AND(B5="", C5="", E5=""), "", IF(OR(B5=0,B5=""),E5,B5 &amp; " Bed / " &amp;C5&amp; " Bath "))</f>
        <v/>
      </c>
      <c r="X5" s="47"/>
      <c r="Y5" s="47"/>
      <c r="Z5" s="47"/>
      <c r="AA5" s="47"/>
    </row>
    <row r="6" spans="1:27" x14ac:dyDescent="0.25">
      <c r="B6" s="131"/>
      <c r="C6" s="131"/>
      <c r="D6" s="131"/>
      <c r="E6" s="131"/>
      <c r="F6" s="131"/>
      <c r="G6" s="131"/>
      <c r="H6" s="132"/>
      <c r="I6" s="132"/>
      <c r="J6" s="132"/>
      <c r="K6" s="292" t="str">
        <f>IF(G6= "", "", IF(H6=0,I6,H6))</f>
        <v/>
      </c>
      <c r="L6" s="290" t="str">
        <f t="shared" si="1"/>
        <v/>
      </c>
      <c r="M6" s="290" t="str">
        <f t="shared" si="2"/>
        <v/>
      </c>
      <c r="N6" s="290" t="str">
        <f t="shared" si="3"/>
        <v/>
      </c>
      <c r="O6" s="290" t="str">
        <f t="shared" si="4"/>
        <v/>
      </c>
      <c r="P6" s="290" t="str">
        <f>IF(L6="", "", L6*12)</f>
        <v/>
      </c>
      <c r="Q6" s="290" t="str">
        <f t="shared" si="5"/>
        <v/>
      </c>
      <c r="R6" s="290" t="str">
        <f t="shared" si="6"/>
        <v/>
      </c>
      <c r="S6" s="290" t="str">
        <f t="shared" si="7"/>
        <v/>
      </c>
      <c r="T6" s="291" t="str" cm="1">
        <f t="array" ref="T6">_xlfn.IFS(G6="", "", F6 = "", G6, 1, F6*G6)</f>
        <v/>
      </c>
      <c r="U6" s="293" t="str">
        <f t="shared" si="8"/>
        <v/>
      </c>
      <c r="V6" s="105" t="str">
        <f t="shared" si="9"/>
        <v/>
      </c>
      <c r="W6" s="47" t="str">
        <f t="shared" ref="W6:W69" si="10">IF(AND(B6="", C6="", E6=""), "", IF(OR(B6=0,B6=""),E6,B6 &amp; " Bed / " &amp;C6&amp; " Bath "))</f>
        <v/>
      </c>
      <c r="X6" s="47"/>
      <c r="Y6" s="47"/>
      <c r="Z6" s="47"/>
      <c r="AA6" s="47"/>
    </row>
    <row r="7" spans="1:27" x14ac:dyDescent="0.25">
      <c r="B7" s="131"/>
      <c r="C7" s="131"/>
      <c r="D7" s="131"/>
      <c r="E7" s="131"/>
      <c r="F7" s="131"/>
      <c r="G7" s="131"/>
      <c r="H7" s="132"/>
      <c r="I7" s="132"/>
      <c r="J7" s="132"/>
      <c r="K7" s="292" t="str">
        <f t="shared" ref="K7:K64" si="11">IF(G7= "", "", IF(H7=0,I7,H7))</f>
        <v/>
      </c>
      <c r="L7" s="290" t="str">
        <f t="shared" si="1"/>
        <v/>
      </c>
      <c r="M7" s="290" t="str">
        <f t="shared" si="2"/>
        <v/>
      </c>
      <c r="N7" s="290" t="str">
        <f t="shared" si="3"/>
        <v/>
      </c>
      <c r="O7" s="290" t="str">
        <f t="shared" si="4"/>
        <v/>
      </c>
      <c r="P7" s="290" t="str">
        <f t="shared" ref="P7:P70" si="12">IF(L7="", "", L7*12)</f>
        <v/>
      </c>
      <c r="Q7" s="290" t="str">
        <f t="shared" ref="Q7:Q70" si="13">IF(M7="", "", M7*12)</f>
        <v/>
      </c>
      <c r="R7" s="290" t="str">
        <f t="shared" ref="R7:R70" si="14">IF(N7="", "", N7*12)</f>
        <v/>
      </c>
      <c r="S7" s="290" t="str">
        <f t="shared" ref="S7:S70" si="15">IF(O7="", "", O7*12)</f>
        <v/>
      </c>
      <c r="T7" s="291" t="str" cm="1">
        <f t="array" ref="T7">_xlfn.IFS(G7="", "", F7 = "", G7, 1, F7*G7)</f>
        <v/>
      </c>
      <c r="U7" s="293" t="str">
        <f t="shared" si="8"/>
        <v/>
      </c>
      <c r="V7" s="105" t="str">
        <f t="shared" si="9"/>
        <v/>
      </c>
      <c r="W7" s="47" t="str">
        <f t="shared" si="10"/>
        <v/>
      </c>
      <c r="X7" s="47"/>
      <c r="Y7" s="47"/>
      <c r="Z7" s="47"/>
      <c r="AA7" s="47"/>
    </row>
    <row r="8" spans="1:27" x14ac:dyDescent="0.25">
      <c r="B8" s="131"/>
      <c r="C8" s="131"/>
      <c r="D8" s="131"/>
      <c r="E8" s="131"/>
      <c r="F8" s="131"/>
      <c r="G8" s="131"/>
      <c r="H8" s="132"/>
      <c r="I8" s="132"/>
      <c r="J8" s="132"/>
      <c r="K8" s="292" t="str">
        <f t="shared" si="11"/>
        <v/>
      </c>
      <c r="L8" s="290" t="str">
        <f t="shared" si="1"/>
        <v/>
      </c>
      <c r="M8" s="290" t="str">
        <f t="shared" si="2"/>
        <v/>
      </c>
      <c r="N8" s="290" t="str">
        <f t="shared" si="3"/>
        <v/>
      </c>
      <c r="O8" s="290" t="str">
        <f t="shared" si="4"/>
        <v/>
      </c>
      <c r="P8" s="290" t="str">
        <f t="shared" si="12"/>
        <v/>
      </c>
      <c r="Q8" s="290" t="str">
        <f t="shared" si="13"/>
        <v/>
      </c>
      <c r="R8" s="290" t="str">
        <f t="shared" si="14"/>
        <v/>
      </c>
      <c r="S8" s="290" t="str">
        <f t="shared" si="15"/>
        <v/>
      </c>
      <c r="T8" s="291" t="str" cm="1">
        <f t="array" ref="T8">_xlfn.IFS(G8="", "", F8 = "", G8, 1, F8*G8)</f>
        <v/>
      </c>
      <c r="U8" s="293" t="str">
        <f t="shared" si="8"/>
        <v/>
      </c>
      <c r="V8" s="105" t="str">
        <f t="shared" si="9"/>
        <v/>
      </c>
      <c r="W8" s="47" t="str">
        <f t="shared" si="10"/>
        <v/>
      </c>
      <c r="X8" s="1057" cm="1">
        <f t="array" ref="X8">SUM(('Rent Roll Input'!$W$8:$W$214&lt;&gt;"")*1)</f>
        <v>0</v>
      </c>
      <c r="Y8" s="47"/>
      <c r="Z8" s="47"/>
      <c r="AA8" s="47"/>
    </row>
    <row r="9" spans="1:27" x14ac:dyDescent="0.25">
      <c r="B9" s="131"/>
      <c r="C9" s="131"/>
      <c r="D9" s="131"/>
      <c r="E9" s="131"/>
      <c r="F9" s="131"/>
      <c r="G9" s="131"/>
      <c r="H9" s="132"/>
      <c r="I9" s="132"/>
      <c r="J9" s="132"/>
      <c r="K9" s="292" t="str">
        <f t="shared" si="11"/>
        <v/>
      </c>
      <c r="L9" s="290" t="str">
        <f t="shared" si="1"/>
        <v/>
      </c>
      <c r="M9" s="290" t="str">
        <f t="shared" si="2"/>
        <v/>
      </c>
      <c r="N9" s="290" t="str">
        <f t="shared" si="3"/>
        <v/>
      </c>
      <c r="O9" s="290" t="str">
        <f t="shared" si="4"/>
        <v/>
      </c>
      <c r="P9" s="290" t="str">
        <f t="shared" si="12"/>
        <v/>
      </c>
      <c r="Q9" s="290" t="str">
        <f t="shared" si="13"/>
        <v/>
      </c>
      <c r="R9" s="290" t="str">
        <f t="shared" si="14"/>
        <v/>
      </c>
      <c r="S9" s="290" t="str">
        <f t="shared" si="15"/>
        <v/>
      </c>
      <c r="T9" s="291" t="str" cm="1">
        <f t="array" ref="T9">_xlfn.IFS(G9="", "", F9 = "", G9, 1, F9*G9)</f>
        <v/>
      </c>
      <c r="U9" s="293" t="str">
        <f t="shared" si="8"/>
        <v/>
      </c>
      <c r="V9" s="105" t="str">
        <f t="shared" si="9"/>
        <v/>
      </c>
      <c r="W9" s="47" t="str">
        <f t="shared" si="10"/>
        <v/>
      </c>
      <c r="X9" s="47"/>
      <c r="Y9" s="47"/>
      <c r="Z9" s="47"/>
      <c r="AA9" s="47"/>
    </row>
    <row r="10" spans="1:27" x14ac:dyDescent="0.25">
      <c r="B10" s="131"/>
      <c r="C10" s="131"/>
      <c r="D10" s="131"/>
      <c r="E10" s="131"/>
      <c r="F10" s="131"/>
      <c r="G10" s="131"/>
      <c r="H10" s="132"/>
      <c r="I10" s="132"/>
      <c r="J10" s="132"/>
      <c r="K10" s="292" t="str">
        <f t="shared" si="11"/>
        <v/>
      </c>
      <c r="L10" s="290" t="str">
        <f t="shared" si="1"/>
        <v/>
      </c>
      <c r="M10" s="290" t="str">
        <f t="shared" si="2"/>
        <v/>
      </c>
      <c r="N10" s="290" t="str">
        <f t="shared" si="3"/>
        <v/>
      </c>
      <c r="O10" s="290" t="str">
        <f t="shared" si="4"/>
        <v/>
      </c>
      <c r="P10" s="290" t="str">
        <f t="shared" si="12"/>
        <v/>
      </c>
      <c r="Q10" s="290" t="str">
        <f t="shared" si="13"/>
        <v/>
      </c>
      <c r="R10" s="290" t="str">
        <f t="shared" si="14"/>
        <v/>
      </c>
      <c r="S10" s="290" t="str">
        <f t="shared" si="15"/>
        <v/>
      </c>
      <c r="T10" s="291" t="str" cm="1">
        <f t="array" ref="T10">_xlfn.IFS(G10="", "", F10 = "", G10, 1, F10*G10)</f>
        <v/>
      </c>
      <c r="U10" s="293" t="str">
        <f t="shared" si="8"/>
        <v/>
      </c>
      <c r="V10" s="105" t="str">
        <f t="shared" si="9"/>
        <v/>
      </c>
      <c r="W10" s="47" t="str">
        <f t="shared" si="10"/>
        <v/>
      </c>
      <c r="X10" s="47"/>
      <c r="Y10" s="47"/>
      <c r="Z10" s="47"/>
      <c r="AA10" s="47"/>
    </row>
    <row r="11" spans="1:27" x14ac:dyDescent="0.25">
      <c r="B11" s="131"/>
      <c r="C11" s="131"/>
      <c r="D11" s="131"/>
      <c r="E11" s="131"/>
      <c r="F11" s="131"/>
      <c r="G11" s="131"/>
      <c r="H11" s="132"/>
      <c r="I11" s="132"/>
      <c r="J11" s="132"/>
      <c r="K11" s="292" t="str">
        <f t="shared" si="11"/>
        <v/>
      </c>
      <c r="L11" s="290" t="str">
        <f t="shared" si="1"/>
        <v/>
      </c>
      <c r="M11" s="290" t="str">
        <f t="shared" si="2"/>
        <v/>
      </c>
      <c r="N11" s="290" t="str">
        <f t="shared" si="3"/>
        <v/>
      </c>
      <c r="O11" s="290" t="str">
        <f t="shared" si="4"/>
        <v/>
      </c>
      <c r="P11" s="290" t="str">
        <f t="shared" si="12"/>
        <v/>
      </c>
      <c r="Q11" s="290" t="str">
        <f t="shared" si="13"/>
        <v/>
      </c>
      <c r="R11" s="290" t="str">
        <f t="shared" si="14"/>
        <v/>
      </c>
      <c r="S11" s="290" t="str">
        <f t="shared" si="15"/>
        <v/>
      </c>
      <c r="T11" s="291" t="str" cm="1">
        <f t="array" ref="T11">_xlfn.IFS(G11="", "", F11 = "", G11, 1, F11*G11)</f>
        <v/>
      </c>
      <c r="U11" s="293" t="str">
        <f t="shared" si="8"/>
        <v/>
      </c>
      <c r="V11" s="105" t="str">
        <f t="shared" si="9"/>
        <v/>
      </c>
      <c r="W11" s="47" t="str">
        <f t="shared" si="10"/>
        <v/>
      </c>
      <c r="X11" s="47"/>
      <c r="Y11" s="47"/>
      <c r="Z11" s="47"/>
      <c r="AA11" s="47"/>
    </row>
    <row r="12" spans="1:27" x14ac:dyDescent="0.25">
      <c r="B12" s="131"/>
      <c r="C12" s="131"/>
      <c r="D12" s="131"/>
      <c r="E12" s="131"/>
      <c r="F12" s="131"/>
      <c r="G12" s="131"/>
      <c r="H12" s="132"/>
      <c r="I12" s="132"/>
      <c r="J12" s="132"/>
      <c r="K12" s="292" t="str">
        <f t="shared" si="11"/>
        <v/>
      </c>
      <c r="L12" s="290" t="str">
        <f t="shared" si="1"/>
        <v/>
      </c>
      <c r="M12" s="290" t="str">
        <f t="shared" si="2"/>
        <v/>
      </c>
      <c r="N12" s="290" t="str">
        <f t="shared" si="3"/>
        <v/>
      </c>
      <c r="O12" s="290" t="str">
        <f t="shared" si="4"/>
        <v/>
      </c>
      <c r="P12" s="290" t="str">
        <f t="shared" si="12"/>
        <v/>
      </c>
      <c r="Q12" s="290" t="str">
        <f t="shared" si="13"/>
        <v/>
      </c>
      <c r="R12" s="290" t="str">
        <f t="shared" si="14"/>
        <v/>
      </c>
      <c r="S12" s="290" t="str">
        <f t="shared" si="15"/>
        <v/>
      </c>
      <c r="T12" s="291" t="str" cm="1">
        <f t="array" ref="T12">_xlfn.IFS(G12="", "", F12 = "", G12, 1, F12*G12)</f>
        <v/>
      </c>
      <c r="U12" s="293" t="str">
        <f t="shared" si="8"/>
        <v/>
      </c>
      <c r="V12" s="105" t="str">
        <f t="shared" si="9"/>
        <v/>
      </c>
      <c r="W12" s="47" t="str">
        <f t="shared" si="10"/>
        <v/>
      </c>
      <c r="X12" s="47"/>
      <c r="Y12" s="47"/>
      <c r="Z12" s="47"/>
      <c r="AA12" s="47"/>
    </row>
    <row r="13" spans="1:27" x14ac:dyDescent="0.25">
      <c r="B13" s="131"/>
      <c r="C13" s="131"/>
      <c r="D13" s="131"/>
      <c r="E13" s="131"/>
      <c r="F13" s="131"/>
      <c r="G13" s="131"/>
      <c r="H13" s="132"/>
      <c r="I13" s="132"/>
      <c r="J13" s="132"/>
      <c r="K13" s="292" t="str">
        <f t="shared" si="11"/>
        <v/>
      </c>
      <c r="L13" s="290" t="str">
        <f t="shared" si="1"/>
        <v/>
      </c>
      <c r="M13" s="290" t="str">
        <f t="shared" si="2"/>
        <v/>
      </c>
      <c r="N13" s="290" t="str">
        <f t="shared" si="3"/>
        <v/>
      </c>
      <c r="O13" s="290" t="str">
        <f t="shared" si="4"/>
        <v/>
      </c>
      <c r="P13" s="290" t="str">
        <f t="shared" si="12"/>
        <v/>
      </c>
      <c r="Q13" s="290" t="str">
        <f t="shared" si="13"/>
        <v/>
      </c>
      <c r="R13" s="290" t="str">
        <f t="shared" si="14"/>
        <v/>
      </c>
      <c r="S13" s="290" t="str">
        <f t="shared" si="15"/>
        <v/>
      </c>
      <c r="T13" s="291" t="str" cm="1">
        <f t="array" ref="T13">_xlfn.IFS(G13="", "", F13 = "", G13, 1, F13*G13)</f>
        <v/>
      </c>
      <c r="U13" s="293" t="str">
        <f t="shared" si="8"/>
        <v/>
      </c>
      <c r="V13" s="105" t="str">
        <f t="shared" si="9"/>
        <v/>
      </c>
      <c r="W13" s="47" t="str">
        <f t="shared" si="10"/>
        <v/>
      </c>
    </row>
    <row r="14" spans="1:27" x14ac:dyDescent="0.25">
      <c r="B14" s="131"/>
      <c r="C14" s="131"/>
      <c r="D14" s="131"/>
      <c r="E14" s="131"/>
      <c r="F14" s="131"/>
      <c r="G14" s="131"/>
      <c r="H14" s="132"/>
      <c r="I14" s="132"/>
      <c r="J14" s="132"/>
      <c r="K14" s="292" t="str">
        <f t="shared" si="11"/>
        <v/>
      </c>
      <c r="L14" s="290" t="str">
        <f t="shared" si="1"/>
        <v/>
      </c>
      <c r="M14" s="290" t="str">
        <f t="shared" si="2"/>
        <v/>
      </c>
      <c r="N14" s="290" t="str">
        <f t="shared" si="3"/>
        <v/>
      </c>
      <c r="O14" s="290" t="str">
        <f t="shared" si="4"/>
        <v/>
      </c>
      <c r="P14" s="290" t="str">
        <f t="shared" si="12"/>
        <v/>
      </c>
      <c r="Q14" s="290" t="str">
        <f t="shared" si="13"/>
        <v/>
      </c>
      <c r="R14" s="290" t="str">
        <f t="shared" si="14"/>
        <v/>
      </c>
      <c r="S14" s="290" t="str">
        <f t="shared" si="15"/>
        <v/>
      </c>
      <c r="T14" s="291" t="str" cm="1">
        <f t="array" ref="T14">_xlfn.IFS(G14="", "", F14 = "", G14, 1, F14*G14)</f>
        <v/>
      </c>
      <c r="U14" s="293" t="str">
        <f t="shared" si="8"/>
        <v/>
      </c>
      <c r="V14" s="105" t="str">
        <f t="shared" si="9"/>
        <v/>
      </c>
      <c r="W14" s="47" t="str">
        <f t="shared" si="10"/>
        <v/>
      </c>
    </row>
    <row r="15" spans="1:27" x14ac:dyDescent="0.25">
      <c r="B15" s="131"/>
      <c r="C15" s="131"/>
      <c r="D15" s="131"/>
      <c r="E15" s="131"/>
      <c r="F15" s="131"/>
      <c r="G15" s="131"/>
      <c r="H15" s="132"/>
      <c r="I15" s="132"/>
      <c r="J15" s="132"/>
      <c r="K15" s="292" t="str">
        <f t="shared" si="11"/>
        <v/>
      </c>
      <c r="L15" s="290" t="str">
        <f t="shared" si="1"/>
        <v/>
      </c>
      <c r="M15" s="290" t="str">
        <f t="shared" si="2"/>
        <v/>
      </c>
      <c r="N15" s="290" t="str">
        <f t="shared" si="3"/>
        <v/>
      </c>
      <c r="O15" s="290" t="str">
        <f t="shared" si="4"/>
        <v/>
      </c>
      <c r="P15" s="290" t="str">
        <f t="shared" si="12"/>
        <v/>
      </c>
      <c r="Q15" s="290" t="str">
        <f t="shared" si="13"/>
        <v/>
      </c>
      <c r="R15" s="290" t="str">
        <f t="shared" si="14"/>
        <v/>
      </c>
      <c r="S15" s="290" t="str">
        <f t="shared" si="15"/>
        <v/>
      </c>
      <c r="T15" s="291" t="str" cm="1">
        <f t="array" ref="T15">_xlfn.IFS(G15="", "", F15 = "", G15, 1, F15*G15)</f>
        <v/>
      </c>
      <c r="U15" s="293" t="str">
        <f t="shared" si="8"/>
        <v/>
      </c>
      <c r="V15" s="105" t="str">
        <f t="shared" si="9"/>
        <v/>
      </c>
      <c r="W15" s="47" t="str">
        <f t="shared" si="10"/>
        <v/>
      </c>
    </row>
    <row r="16" spans="1:27" x14ac:dyDescent="0.25">
      <c r="B16" s="131"/>
      <c r="C16" s="131"/>
      <c r="D16" s="131"/>
      <c r="E16" s="131"/>
      <c r="F16" s="131"/>
      <c r="G16" s="131"/>
      <c r="H16" s="132"/>
      <c r="I16" s="132"/>
      <c r="J16" s="132"/>
      <c r="K16" s="292" t="str">
        <f t="shared" si="11"/>
        <v/>
      </c>
      <c r="L16" s="290" t="str">
        <f t="shared" si="1"/>
        <v/>
      </c>
      <c r="M16" s="290" t="str">
        <f t="shared" si="2"/>
        <v/>
      </c>
      <c r="N16" s="290" t="str">
        <f t="shared" si="3"/>
        <v/>
      </c>
      <c r="O16" s="290" t="str">
        <f t="shared" si="4"/>
        <v/>
      </c>
      <c r="P16" s="290" t="str">
        <f t="shared" si="12"/>
        <v/>
      </c>
      <c r="Q16" s="290" t="str">
        <f t="shared" si="13"/>
        <v/>
      </c>
      <c r="R16" s="290" t="str">
        <f t="shared" si="14"/>
        <v/>
      </c>
      <c r="S16" s="290" t="str">
        <f t="shared" si="15"/>
        <v/>
      </c>
      <c r="T16" s="291" t="str" cm="1">
        <f t="array" ref="T16">_xlfn.IFS(G16="", "", F16 = "", G16, 1, F16*G16)</f>
        <v/>
      </c>
      <c r="U16" s="293" t="str">
        <f t="shared" si="8"/>
        <v/>
      </c>
      <c r="V16" s="105" t="str">
        <f t="shared" si="9"/>
        <v/>
      </c>
      <c r="W16" s="47" t="str">
        <f t="shared" si="10"/>
        <v/>
      </c>
    </row>
    <row r="17" spans="2:23" x14ac:dyDescent="0.25">
      <c r="B17" s="131"/>
      <c r="C17" s="131"/>
      <c r="D17" s="131"/>
      <c r="E17" s="131"/>
      <c r="F17" s="131"/>
      <c r="G17" s="131"/>
      <c r="H17" s="132"/>
      <c r="I17" s="132"/>
      <c r="J17" s="132"/>
      <c r="K17" s="292" t="str">
        <f t="shared" si="11"/>
        <v/>
      </c>
      <c r="L17" s="290" t="str">
        <f t="shared" si="1"/>
        <v/>
      </c>
      <c r="M17" s="290" t="str">
        <f t="shared" si="2"/>
        <v/>
      </c>
      <c r="N17" s="290" t="str">
        <f t="shared" si="3"/>
        <v/>
      </c>
      <c r="O17" s="290" t="str">
        <f t="shared" si="4"/>
        <v/>
      </c>
      <c r="P17" s="290" t="str">
        <f t="shared" si="12"/>
        <v/>
      </c>
      <c r="Q17" s="290" t="str">
        <f t="shared" si="13"/>
        <v/>
      </c>
      <c r="R17" s="290" t="str">
        <f t="shared" si="14"/>
        <v/>
      </c>
      <c r="S17" s="290" t="str">
        <f t="shared" si="15"/>
        <v/>
      </c>
      <c r="T17" s="291" t="str" cm="1">
        <f t="array" ref="T17">_xlfn.IFS(G17="", "", F17 = "", G17, 1, F17*G17)</f>
        <v/>
      </c>
      <c r="U17" s="293" t="str">
        <f t="shared" si="8"/>
        <v/>
      </c>
      <c r="V17" s="105" t="str">
        <f t="shared" si="9"/>
        <v/>
      </c>
      <c r="W17" s="47" t="str">
        <f t="shared" si="10"/>
        <v/>
      </c>
    </row>
    <row r="18" spans="2:23" x14ac:dyDescent="0.25">
      <c r="B18" s="131"/>
      <c r="C18" s="131"/>
      <c r="D18" s="131"/>
      <c r="E18" s="131"/>
      <c r="F18" s="131"/>
      <c r="G18" s="131"/>
      <c r="H18" s="132"/>
      <c r="I18" s="132"/>
      <c r="J18" s="132"/>
      <c r="K18" s="292" t="str">
        <f t="shared" si="11"/>
        <v/>
      </c>
      <c r="L18" s="290" t="str">
        <f t="shared" si="1"/>
        <v/>
      </c>
      <c r="M18" s="290" t="str">
        <f t="shared" si="2"/>
        <v/>
      </c>
      <c r="N18" s="290" t="str">
        <f t="shared" si="3"/>
        <v/>
      </c>
      <c r="O18" s="290" t="str">
        <f t="shared" si="4"/>
        <v/>
      </c>
      <c r="P18" s="290" t="str">
        <f t="shared" si="12"/>
        <v/>
      </c>
      <c r="Q18" s="290" t="str">
        <f t="shared" si="13"/>
        <v/>
      </c>
      <c r="R18" s="290" t="str">
        <f t="shared" si="14"/>
        <v/>
      </c>
      <c r="S18" s="290" t="str">
        <f t="shared" si="15"/>
        <v/>
      </c>
      <c r="T18" s="291" t="str" cm="1">
        <f t="array" ref="T18">_xlfn.IFS(G18="", "", F18 = "", G18, 1, F18*G18)</f>
        <v/>
      </c>
      <c r="U18" s="293" t="str">
        <f t="shared" si="8"/>
        <v/>
      </c>
      <c r="V18" s="105" t="str">
        <f t="shared" si="9"/>
        <v/>
      </c>
      <c r="W18" s="47" t="str">
        <f t="shared" si="10"/>
        <v/>
      </c>
    </row>
    <row r="19" spans="2:23" x14ac:dyDescent="0.25">
      <c r="B19" s="131"/>
      <c r="C19" s="131"/>
      <c r="D19" s="131"/>
      <c r="E19" s="131"/>
      <c r="F19" s="131"/>
      <c r="G19" s="131"/>
      <c r="H19" s="132"/>
      <c r="I19" s="132"/>
      <c r="J19" s="132"/>
      <c r="K19" s="292" t="str">
        <f t="shared" si="11"/>
        <v/>
      </c>
      <c r="L19" s="290" t="str">
        <f t="shared" si="1"/>
        <v/>
      </c>
      <c r="M19" s="290" t="str">
        <f t="shared" si="2"/>
        <v/>
      </c>
      <c r="N19" s="290" t="str">
        <f t="shared" si="3"/>
        <v/>
      </c>
      <c r="O19" s="290" t="str">
        <f t="shared" si="4"/>
        <v/>
      </c>
      <c r="P19" s="290" t="str">
        <f t="shared" si="12"/>
        <v/>
      </c>
      <c r="Q19" s="290" t="str">
        <f t="shared" si="13"/>
        <v/>
      </c>
      <c r="R19" s="290" t="str">
        <f t="shared" si="14"/>
        <v/>
      </c>
      <c r="S19" s="290" t="str">
        <f t="shared" si="15"/>
        <v/>
      </c>
      <c r="T19" s="291" t="str" cm="1">
        <f t="array" ref="T19">_xlfn.IFS(G19="", "", F19 = "", G19, 1, F19*G19)</f>
        <v/>
      </c>
      <c r="U19" s="293" t="str">
        <f t="shared" si="8"/>
        <v/>
      </c>
      <c r="V19" s="105" t="str">
        <f t="shared" si="9"/>
        <v/>
      </c>
      <c r="W19" s="47" t="str">
        <f t="shared" si="10"/>
        <v/>
      </c>
    </row>
    <row r="20" spans="2:23" x14ac:dyDescent="0.25">
      <c r="B20" s="131"/>
      <c r="C20" s="131"/>
      <c r="D20" s="131"/>
      <c r="E20" s="131"/>
      <c r="F20" s="131"/>
      <c r="G20" s="131"/>
      <c r="H20" s="132"/>
      <c r="I20" s="132"/>
      <c r="J20" s="132"/>
      <c r="K20" s="292" t="str">
        <f t="shared" si="11"/>
        <v/>
      </c>
      <c r="L20" s="290" t="str">
        <f t="shared" si="1"/>
        <v/>
      </c>
      <c r="M20" s="290" t="str">
        <f t="shared" si="2"/>
        <v/>
      </c>
      <c r="N20" s="290" t="str">
        <f t="shared" si="3"/>
        <v/>
      </c>
      <c r="O20" s="290" t="str">
        <f t="shared" si="4"/>
        <v/>
      </c>
      <c r="P20" s="290" t="str">
        <f t="shared" si="12"/>
        <v/>
      </c>
      <c r="Q20" s="290" t="str">
        <f t="shared" si="13"/>
        <v/>
      </c>
      <c r="R20" s="290" t="str">
        <f t="shared" si="14"/>
        <v/>
      </c>
      <c r="S20" s="290" t="str">
        <f t="shared" si="15"/>
        <v/>
      </c>
      <c r="T20" s="291" t="str" cm="1">
        <f t="array" ref="T20">_xlfn.IFS(G20="", "", F20 = "", G20, 1, F20*G20)</f>
        <v/>
      </c>
      <c r="U20" s="293" t="str">
        <f t="shared" si="8"/>
        <v/>
      </c>
      <c r="V20" s="105" t="str">
        <f t="shared" si="9"/>
        <v/>
      </c>
      <c r="W20" s="47" t="str">
        <f t="shared" si="10"/>
        <v/>
      </c>
    </row>
    <row r="21" spans="2:23" x14ac:dyDescent="0.25">
      <c r="B21" s="131"/>
      <c r="C21" s="131"/>
      <c r="D21" s="131"/>
      <c r="E21" s="131"/>
      <c r="F21" s="131"/>
      <c r="G21" s="131"/>
      <c r="H21" s="132"/>
      <c r="I21" s="132"/>
      <c r="J21" s="132"/>
      <c r="K21" s="292" t="str">
        <f t="shared" si="11"/>
        <v/>
      </c>
      <c r="L21" s="290" t="str">
        <f t="shared" si="1"/>
        <v/>
      </c>
      <c r="M21" s="290" t="str">
        <f t="shared" si="2"/>
        <v/>
      </c>
      <c r="N21" s="290" t="str">
        <f t="shared" si="3"/>
        <v/>
      </c>
      <c r="O21" s="290" t="str">
        <f t="shared" si="4"/>
        <v/>
      </c>
      <c r="P21" s="290" t="str">
        <f t="shared" si="12"/>
        <v/>
      </c>
      <c r="Q21" s="290" t="str">
        <f t="shared" si="13"/>
        <v/>
      </c>
      <c r="R21" s="290" t="str">
        <f t="shared" si="14"/>
        <v/>
      </c>
      <c r="S21" s="290" t="str">
        <f t="shared" si="15"/>
        <v/>
      </c>
      <c r="T21" s="291" t="str" cm="1">
        <f t="array" ref="T21">_xlfn.IFS(G21="", "", F21 = "", G21, 1, F21*G21)</f>
        <v/>
      </c>
      <c r="U21" s="293" t="str">
        <f t="shared" si="8"/>
        <v/>
      </c>
      <c r="V21" s="105" t="str">
        <f t="shared" si="9"/>
        <v/>
      </c>
      <c r="W21" s="47" t="str">
        <f t="shared" si="10"/>
        <v/>
      </c>
    </row>
    <row r="22" spans="2:23" x14ac:dyDescent="0.25">
      <c r="B22" s="131"/>
      <c r="C22" s="131"/>
      <c r="D22" s="131"/>
      <c r="E22" s="131"/>
      <c r="F22" s="131"/>
      <c r="G22" s="131"/>
      <c r="H22" s="132"/>
      <c r="I22" s="132"/>
      <c r="J22" s="132"/>
      <c r="K22" s="292" t="str">
        <f t="shared" si="11"/>
        <v/>
      </c>
      <c r="L22" s="290" t="str">
        <f t="shared" si="1"/>
        <v/>
      </c>
      <c r="M22" s="290" t="str">
        <f t="shared" si="2"/>
        <v/>
      </c>
      <c r="N22" s="290" t="str">
        <f t="shared" si="3"/>
        <v/>
      </c>
      <c r="O22" s="290" t="str">
        <f t="shared" si="4"/>
        <v/>
      </c>
      <c r="P22" s="290" t="str">
        <f t="shared" si="12"/>
        <v/>
      </c>
      <c r="Q22" s="290" t="str">
        <f t="shared" si="13"/>
        <v/>
      </c>
      <c r="R22" s="290" t="str">
        <f t="shared" si="14"/>
        <v/>
      </c>
      <c r="S22" s="290" t="str">
        <f t="shared" si="15"/>
        <v/>
      </c>
      <c r="T22" s="291" t="str" cm="1">
        <f t="array" ref="T22">_xlfn.IFS(G22="", "", F22 = "", G22, 1, F22*G22)</f>
        <v/>
      </c>
      <c r="U22" s="293" t="str">
        <f t="shared" si="8"/>
        <v/>
      </c>
      <c r="V22" s="105" t="str">
        <f t="shared" si="9"/>
        <v/>
      </c>
      <c r="W22" s="47" t="str">
        <f t="shared" si="10"/>
        <v/>
      </c>
    </row>
    <row r="23" spans="2:23" x14ac:dyDescent="0.25">
      <c r="B23" s="131"/>
      <c r="C23" s="131"/>
      <c r="D23" s="131"/>
      <c r="E23" s="131"/>
      <c r="F23" s="131"/>
      <c r="G23" s="131"/>
      <c r="H23" s="132"/>
      <c r="I23" s="132"/>
      <c r="J23" s="132"/>
      <c r="K23" s="292" t="str">
        <f t="shared" si="11"/>
        <v/>
      </c>
      <c r="L23" s="290" t="str">
        <f t="shared" si="1"/>
        <v/>
      </c>
      <c r="M23" s="290" t="str">
        <f t="shared" si="2"/>
        <v/>
      </c>
      <c r="N23" s="290" t="str">
        <f t="shared" si="3"/>
        <v/>
      </c>
      <c r="O23" s="290" t="str">
        <f t="shared" si="4"/>
        <v/>
      </c>
      <c r="P23" s="290" t="str">
        <f t="shared" si="12"/>
        <v/>
      </c>
      <c r="Q23" s="290" t="str">
        <f t="shared" si="13"/>
        <v/>
      </c>
      <c r="R23" s="290" t="str">
        <f t="shared" si="14"/>
        <v/>
      </c>
      <c r="S23" s="290" t="str">
        <f t="shared" si="15"/>
        <v/>
      </c>
      <c r="T23" s="291" t="str" cm="1">
        <f t="array" ref="T23">_xlfn.IFS(G23="", "", F23 = "", G23, 1, F23*G23)</f>
        <v/>
      </c>
      <c r="U23" s="293" t="str">
        <f t="shared" si="8"/>
        <v/>
      </c>
      <c r="V23" s="105" t="str">
        <f t="shared" si="9"/>
        <v/>
      </c>
      <c r="W23" s="47" t="str">
        <f t="shared" si="10"/>
        <v/>
      </c>
    </row>
    <row r="24" spans="2:23" x14ac:dyDescent="0.25">
      <c r="B24" s="131"/>
      <c r="C24" s="131"/>
      <c r="D24" s="131"/>
      <c r="E24" s="131"/>
      <c r="F24" s="131"/>
      <c r="G24" s="131"/>
      <c r="H24" s="132"/>
      <c r="I24" s="132"/>
      <c r="J24" s="132"/>
      <c r="K24" s="292" t="str">
        <f t="shared" si="11"/>
        <v/>
      </c>
      <c r="L24" s="290" t="str">
        <f t="shared" si="1"/>
        <v/>
      </c>
      <c r="M24" s="290" t="str">
        <f t="shared" si="2"/>
        <v/>
      </c>
      <c r="N24" s="290" t="str">
        <f t="shared" si="3"/>
        <v/>
      </c>
      <c r="O24" s="290" t="str">
        <f t="shared" si="4"/>
        <v/>
      </c>
      <c r="P24" s="290" t="str">
        <f t="shared" si="12"/>
        <v/>
      </c>
      <c r="Q24" s="290" t="str">
        <f t="shared" si="13"/>
        <v/>
      </c>
      <c r="R24" s="290" t="str">
        <f t="shared" si="14"/>
        <v/>
      </c>
      <c r="S24" s="290" t="str">
        <f t="shared" si="15"/>
        <v/>
      </c>
      <c r="T24" s="291" t="str" cm="1">
        <f t="array" ref="T24">_xlfn.IFS(G24="", "", F24 = "", G24, 1, F24*G24)</f>
        <v/>
      </c>
      <c r="U24" s="293" t="str">
        <f t="shared" si="8"/>
        <v/>
      </c>
      <c r="V24" s="105" t="str">
        <f t="shared" si="9"/>
        <v/>
      </c>
      <c r="W24" s="47" t="str">
        <f t="shared" si="10"/>
        <v/>
      </c>
    </row>
    <row r="25" spans="2:23" x14ac:dyDescent="0.25">
      <c r="B25" s="131"/>
      <c r="C25" s="131"/>
      <c r="D25" s="131"/>
      <c r="E25" s="131"/>
      <c r="F25" s="131"/>
      <c r="G25" s="131"/>
      <c r="H25" s="132"/>
      <c r="I25" s="132"/>
      <c r="J25" s="132"/>
      <c r="K25" s="292" t="str">
        <f t="shared" si="11"/>
        <v/>
      </c>
      <c r="L25" s="290" t="str">
        <f t="shared" si="1"/>
        <v/>
      </c>
      <c r="M25" s="290" t="str">
        <f t="shared" si="2"/>
        <v/>
      </c>
      <c r="N25" s="290" t="str">
        <f t="shared" si="3"/>
        <v/>
      </c>
      <c r="O25" s="290" t="str">
        <f t="shared" si="4"/>
        <v/>
      </c>
      <c r="P25" s="290" t="str">
        <f t="shared" si="12"/>
        <v/>
      </c>
      <c r="Q25" s="290" t="str">
        <f t="shared" si="13"/>
        <v/>
      </c>
      <c r="R25" s="290" t="str">
        <f t="shared" si="14"/>
        <v/>
      </c>
      <c r="S25" s="290" t="str">
        <f t="shared" si="15"/>
        <v/>
      </c>
      <c r="T25" s="291" t="str" cm="1">
        <f t="array" ref="T25">_xlfn.IFS(G25="", "", F25 = "", G25, 1, F25*G25)</f>
        <v/>
      </c>
      <c r="U25" s="293" t="str">
        <f t="shared" si="8"/>
        <v/>
      </c>
      <c r="V25" s="105" t="str">
        <f t="shared" si="9"/>
        <v/>
      </c>
      <c r="W25" s="47" t="str">
        <f t="shared" si="10"/>
        <v/>
      </c>
    </row>
    <row r="26" spans="2:23" x14ac:dyDescent="0.25">
      <c r="B26" s="131"/>
      <c r="C26" s="131"/>
      <c r="D26" s="131"/>
      <c r="E26" s="131"/>
      <c r="F26" s="131"/>
      <c r="G26" s="131"/>
      <c r="H26" s="132"/>
      <c r="I26" s="132"/>
      <c r="J26" s="132"/>
      <c r="K26" s="292" t="str">
        <f t="shared" si="11"/>
        <v/>
      </c>
      <c r="L26" s="290" t="str">
        <f t="shared" si="1"/>
        <v/>
      </c>
      <c r="M26" s="290" t="str">
        <f t="shared" si="2"/>
        <v/>
      </c>
      <c r="N26" s="290" t="str">
        <f t="shared" si="3"/>
        <v/>
      </c>
      <c r="O26" s="290" t="str">
        <f t="shared" si="4"/>
        <v/>
      </c>
      <c r="P26" s="290" t="str">
        <f t="shared" si="12"/>
        <v/>
      </c>
      <c r="Q26" s="290" t="str">
        <f t="shared" si="13"/>
        <v/>
      </c>
      <c r="R26" s="290" t="str">
        <f t="shared" si="14"/>
        <v/>
      </c>
      <c r="S26" s="290" t="str">
        <f t="shared" si="15"/>
        <v/>
      </c>
      <c r="T26" s="291" t="str" cm="1">
        <f t="array" ref="T26">_xlfn.IFS(G26="", "", F26 = "", G26, 1, F26*G26)</f>
        <v/>
      </c>
      <c r="U26" s="293" t="str">
        <f t="shared" si="8"/>
        <v/>
      </c>
      <c r="V26" s="105" t="str">
        <f t="shared" si="9"/>
        <v/>
      </c>
      <c r="W26" s="47" t="str">
        <f t="shared" si="10"/>
        <v/>
      </c>
    </row>
    <row r="27" spans="2:23" x14ac:dyDescent="0.25">
      <c r="B27" s="131"/>
      <c r="C27" s="131"/>
      <c r="D27" s="131"/>
      <c r="E27" s="131"/>
      <c r="F27" s="131"/>
      <c r="G27" s="131"/>
      <c r="H27" s="132"/>
      <c r="I27" s="132"/>
      <c r="J27" s="132"/>
      <c r="K27" s="292" t="str">
        <f t="shared" si="11"/>
        <v/>
      </c>
      <c r="L27" s="290" t="str">
        <f t="shared" si="1"/>
        <v/>
      </c>
      <c r="M27" s="290" t="str">
        <f t="shared" si="2"/>
        <v/>
      </c>
      <c r="N27" s="290" t="str">
        <f t="shared" si="3"/>
        <v/>
      </c>
      <c r="O27" s="290" t="str">
        <f t="shared" si="4"/>
        <v/>
      </c>
      <c r="P27" s="290" t="str">
        <f t="shared" si="12"/>
        <v/>
      </c>
      <c r="Q27" s="290" t="str">
        <f t="shared" si="13"/>
        <v/>
      </c>
      <c r="R27" s="290" t="str">
        <f t="shared" si="14"/>
        <v/>
      </c>
      <c r="S27" s="290" t="str">
        <f t="shared" si="15"/>
        <v/>
      </c>
      <c r="T27" s="291" t="str" cm="1">
        <f t="array" ref="T27">_xlfn.IFS(G27="", "", F27 = "", G27, 1, F27*G27)</f>
        <v/>
      </c>
      <c r="U27" s="293" t="str">
        <f t="shared" si="8"/>
        <v/>
      </c>
      <c r="V27" s="105" t="str">
        <f t="shared" si="9"/>
        <v/>
      </c>
      <c r="W27" s="47" t="str">
        <f t="shared" si="10"/>
        <v/>
      </c>
    </row>
    <row r="28" spans="2:23" x14ac:dyDescent="0.25">
      <c r="B28" s="131"/>
      <c r="C28" s="131"/>
      <c r="D28" s="131"/>
      <c r="E28" s="131"/>
      <c r="F28" s="131"/>
      <c r="G28" s="131"/>
      <c r="H28" s="132"/>
      <c r="I28" s="132"/>
      <c r="J28" s="132"/>
      <c r="K28" s="292" t="str">
        <f t="shared" si="11"/>
        <v/>
      </c>
      <c r="L28" s="290" t="str">
        <f t="shared" si="1"/>
        <v/>
      </c>
      <c r="M28" s="290" t="str">
        <f t="shared" si="2"/>
        <v/>
      </c>
      <c r="N28" s="290" t="str">
        <f t="shared" si="3"/>
        <v/>
      </c>
      <c r="O28" s="290" t="str">
        <f t="shared" si="4"/>
        <v/>
      </c>
      <c r="P28" s="290" t="str">
        <f t="shared" si="12"/>
        <v/>
      </c>
      <c r="Q28" s="290" t="str">
        <f t="shared" si="13"/>
        <v/>
      </c>
      <c r="R28" s="290" t="str">
        <f t="shared" si="14"/>
        <v/>
      </c>
      <c r="S28" s="290" t="str">
        <f t="shared" si="15"/>
        <v/>
      </c>
      <c r="T28" s="291" t="str" cm="1">
        <f t="array" ref="T28">_xlfn.IFS(G28="", "", F28 = "", G28, 1, F28*G28)</f>
        <v/>
      </c>
      <c r="U28" s="293" t="str">
        <f t="shared" si="8"/>
        <v/>
      </c>
      <c r="V28" s="105" t="str">
        <f t="shared" si="9"/>
        <v/>
      </c>
      <c r="W28" s="47" t="str">
        <f t="shared" si="10"/>
        <v/>
      </c>
    </row>
    <row r="29" spans="2:23" x14ac:dyDescent="0.25">
      <c r="B29" s="131"/>
      <c r="C29" s="131"/>
      <c r="D29" s="131"/>
      <c r="E29" s="131"/>
      <c r="F29" s="131"/>
      <c r="G29" s="131"/>
      <c r="H29" s="132"/>
      <c r="I29" s="132"/>
      <c r="J29" s="132"/>
      <c r="K29" s="292" t="str">
        <f t="shared" si="11"/>
        <v/>
      </c>
      <c r="L29" s="290" t="str">
        <f t="shared" si="1"/>
        <v/>
      </c>
      <c r="M29" s="290" t="str">
        <f t="shared" si="2"/>
        <v/>
      </c>
      <c r="N29" s="290" t="str">
        <f t="shared" si="3"/>
        <v/>
      </c>
      <c r="O29" s="290" t="str">
        <f t="shared" si="4"/>
        <v/>
      </c>
      <c r="P29" s="290" t="str">
        <f t="shared" si="12"/>
        <v/>
      </c>
      <c r="Q29" s="290" t="str">
        <f t="shared" si="13"/>
        <v/>
      </c>
      <c r="R29" s="290" t="str">
        <f t="shared" si="14"/>
        <v/>
      </c>
      <c r="S29" s="290" t="str">
        <f t="shared" si="15"/>
        <v/>
      </c>
      <c r="T29" s="291" t="str" cm="1">
        <f t="array" ref="T29">_xlfn.IFS(G29="", "", F29 = "", G29, 1, F29*G29)</f>
        <v/>
      </c>
      <c r="U29" s="293" t="str">
        <f t="shared" si="8"/>
        <v/>
      </c>
      <c r="V29" s="105" t="str">
        <f t="shared" si="9"/>
        <v/>
      </c>
      <c r="W29" s="47" t="str">
        <f t="shared" si="10"/>
        <v/>
      </c>
    </row>
    <row r="30" spans="2:23" x14ac:dyDescent="0.25">
      <c r="B30" s="131"/>
      <c r="C30" s="131"/>
      <c r="D30" s="131"/>
      <c r="E30" s="131"/>
      <c r="F30" s="131"/>
      <c r="G30" s="131"/>
      <c r="H30" s="132"/>
      <c r="I30" s="132"/>
      <c r="J30" s="132"/>
      <c r="K30" s="292" t="str">
        <f t="shared" si="11"/>
        <v/>
      </c>
      <c r="L30" s="290" t="str">
        <f t="shared" si="1"/>
        <v/>
      </c>
      <c r="M30" s="290" t="str">
        <f t="shared" si="2"/>
        <v/>
      </c>
      <c r="N30" s="290" t="str">
        <f t="shared" si="3"/>
        <v/>
      </c>
      <c r="O30" s="290" t="str">
        <f t="shared" si="4"/>
        <v/>
      </c>
      <c r="P30" s="290" t="str">
        <f t="shared" si="12"/>
        <v/>
      </c>
      <c r="Q30" s="290" t="str">
        <f t="shared" si="13"/>
        <v/>
      </c>
      <c r="R30" s="290" t="str">
        <f t="shared" si="14"/>
        <v/>
      </c>
      <c r="S30" s="290" t="str">
        <f t="shared" si="15"/>
        <v/>
      </c>
      <c r="T30" s="291" t="str" cm="1">
        <f t="array" ref="T30">_xlfn.IFS(G30="", "", F30 = "", G30, 1, F30*G30)</f>
        <v/>
      </c>
      <c r="U30" s="293" t="str">
        <f t="shared" si="8"/>
        <v/>
      </c>
      <c r="V30" s="105" t="str">
        <f t="shared" si="9"/>
        <v/>
      </c>
      <c r="W30" s="47" t="str">
        <f t="shared" si="10"/>
        <v/>
      </c>
    </row>
    <row r="31" spans="2:23" x14ac:dyDescent="0.25">
      <c r="B31" s="131"/>
      <c r="C31" s="131"/>
      <c r="D31" s="131"/>
      <c r="E31" s="131"/>
      <c r="F31" s="131"/>
      <c r="G31" s="131"/>
      <c r="H31" s="132"/>
      <c r="I31" s="132"/>
      <c r="J31" s="132"/>
      <c r="K31" s="292" t="str">
        <f t="shared" si="11"/>
        <v/>
      </c>
      <c r="L31" s="290" t="str">
        <f t="shared" si="1"/>
        <v/>
      </c>
      <c r="M31" s="290" t="str">
        <f t="shared" si="2"/>
        <v/>
      </c>
      <c r="N31" s="290" t="str">
        <f t="shared" si="3"/>
        <v/>
      </c>
      <c r="O31" s="290" t="str">
        <f t="shared" si="4"/>
        <v/>
      </c>
      <c r="P31" s="290" t="str">
        <f t="shared" si="12"/>
        <v/>
      </c>
      <c r="Q31" s="290" t="str">
        <f t="shared" si="13"/>
        <v/>
      </c>
      <c r="R31" s="290" t="str">
        <f t="shared" si="14"/>
        <v/>
      </c>
      <c r="S31" s="290" t="str">
        <f t="shared" si="15"/>
        <v/>
      </c>
      <c r="T31" s="291" t="str" cm="1">
        <f t="array" ref="T31">_xlfn.IFS(G31="", "", F31 = "", G31, 1, F31*G31)</f>
        <v/>
      </c>
      <c r="U31" s="293" t="str">
        <f t="shared" si="8"/>
        <v/>
      </c>
      <c r="V31" s="105" t="str">
        <f t="shared" si="9"/>
        <v/>
      </c>
      <c r="W31" s="47" t="str">
        <f t="shared" si="10"/>
        <v/>
      </c>
    </row>
    <row r="32" spans="2:23" x14ac:dyDescent="0.25">
      <c r="B32" s="131"/>
      <c r="C32" s="131"/>
      <c r="D32" s="131"/>
      <c r="E32" s="131"/>
      <c r="F32" s="131"/>
      <c r="G32" s="131"/>
      <c r="H32" s="132"/>
      <c r="I32" s="132"/>
      <c r="J32" s="132"/>
      <c r="K32" s="292" t="str">
        <f t="shared" si="11"/>
        <v/>
      </c>
      <c r="L32" s="290" t="str">
        <f t="shared" si="1"/>
        <v/>
      </c>
      <c r="M32" s="290" t="str">
        <f t="shared" si="2"/>
        <v/>
      </c>
      <c r="N32" s="290" t="str">
        <f t="shared" si="3"/>
        <v/>
      </c>
      <c r="O32" s="290" t="str">
        <f t="shared" si="4"/>
        <v/>
      </c>
      <c r="P32" s="290" t="str">
        <f t="shared" si="12"/>
        <v/>
      </c>
      <c r="Q32" s="290" t="str">
        <f t="shared" si="13"/>
        <v/>
      </c>
      <c r="R32" s="290" t="str">
        <f t="shared" si="14"/>
        <v/>
      </c>
      <c r="S32" s="290" t="str">
        <f t="shared" si="15"/>
        <v/>
      </c>
      <c r="T32" s="291" t="str" cm="1">
        <f t="array" ref="T32">_xlfn.IFS(G32="", "", F32 = "", G32, 1, F32*G32)</f>
        <v/>
      </c>
      <c r="U32" s="293" t="str">
        <f t="shared" si="8"/>
        <v/>
      </c>
      <c r="V32" s="105" t="str">
        <f t="shared" si="9"/>
        <v/>
      </c>
      <c r="W32" s="47" t="str">
        <f t="shared" si="10"/>
        <v/>
      </c>
    </row>
    <row r="33" spans="2:23" x14ac:dyDescent="0.25">
      <c r="B33" s="131"/>
      <c r="C33" s="131"/>
      <c r="D33" s="131"/>
      <c r="E33" s="131"/>
      <c r="F33" s="131"/>
      <c r="G33" s="131"/>
      <c r="H33" s="132"/>
      <c r="I33" s="132"/>
      <c r="J33" s="132"/>
      <c r="K33" s="292" t="str">
        <f t="shared" si="11"/>
        <v/>
      </c>
      <c r="L33" s="290" t="str">
        <f t="shared" si="1"/>
        <v/>
      </c>
      <c r="M33" s="290" t="str">
        <f t="shared" si="2"/>
        <v/>
      </c>
      <c r="N33" s="290" t="str">
        <f t="shared" si="3"/>
        <v/>
      </c>
      <c r="O33" s="290" t="str">
        <f t="shared" si="4"/>
        <v/>
      </c>
      <c r="P33" s="290" t="str">
        <f t="shared" si="12"/>
        <v/>
      </c>
      <c r="Q33" s="290" t="str">
        <f t="shared" si="13"/>
        <v/>
      </c>
      <c r="R33" s="290" t="str">
        <f t="shared" si="14"/>
        <v/>
      </c>
      <c r="S33" s="290" t="str">
        <f t="shared" si="15"/>
        <v/>
      </c>
      <c r="T33" s="291" t="str" cm="1">
        <f t="array" ref="T33">_xlfn.IFS(G33="", "", F33 = "", G33, 1, F33*G33)</f>
        <v/>
      </c>
      <c r="U33" s="293" t="str">
        <f t="shared" si="8"/>
        <v/>
      </c>
      <c r="V33" s="105" t="str">
        <f t="shared" si="9"/>
        <v/>
      </c>
      <c r="W33" s="47" t="str">
        <f t="shared" si="10"/>
        <v/>
      </c>
    </row>
    <row r="34" spans="2:23" x14ac:dyDescent="0.25">
      <c r="B34" s="131"/>
      <c r="C34" s="131"/>
      <c r="D34" s="131"/>
      <c r="E34" s="131"/>
      <c r="F34" s="131"/>
      <c r="G34" s="131"/>
      <c r="H34" s="132"/>
      <c r="I34" s="132"/>
      <c r="J34" s="132"/>
      <c r="K34" s="292" t="str">
        <f t="shared" si="11"/>
        <v/>
      </c>
      <c r="L34" s="290" t="str">
        <f t="shared" si="1"/>
        <v/>
      </c>
      <c r="M34" s="290" t="str">
        <f t="shared" si="2"/>
        <v/>
      </c>
      <c r="N34" s="290" t="str">
        <f t="shared" si="3"/>
        <v/>
      </c>
      <c r="O34" s="290" t="str">
        <f t="shared" si="4"/>
        <v/>
      </c>
      <c r="P34" s="290" t="str">
        <f t="shared" si="12"/>
        <v/>
      </c>
      <c r="Q34" s="290" t="str">
        <f t="shared" si="13"/>
        <v/>
      </c>
      <c r="R34" s="290" t="str">
        <f t="shared" si="14"/>
        <v/>
      </c>
      <c r="S34" s="290" t="str">
        <f t="shared" si="15"/>
        <v/>
      </c>
      <c r="T34" s="291" t="str" cm="1">
        <f t="array" ref="T34">_xlfn.IFS(G34="", "", F34 = "", G34, 1, F34*G34)</f>
        <v/>
      </c>
      <c r="U34" s="293" t="str">
        <f t="shared" si="8"/>
        <v/>
      </c>
      <c r="V34" s="105" t="str">
        <f t="shared" si="9"/>
        <v/>
      </c>
      <c r="W34" s="47" t="str">
        <f t="shared" si="10"/>
        <v/>
      </c>
    </row>
    <row r="35" spans="2:23" x14ac:dyDescent="0.25">
      <c r="B35" s="131"/>
      <c r="C35" s="131"/>
      <c r="D35" s="131"/>
      <c r="E35" s="131"/>
      <c r="F35" s="131"/>
      <c r="G35" s="131"/>
      <c r="H35" s="132"/>
      <c r="I35" s="132"/>
      <c r="J35" s="132"/>
      <c r="K35" s="292" t="str">
        <f t="shared" si="11"/>
        <v/>
      </c>
      <c r="L35" s="290" t="str">
        <f t="shared" si="1"/>
        <v/>
      </c>
      <c r="M35" s="290" t="str">
        <f t="shared" si="2"/>
        <v/>
      </c>
      <c r="N35" s="290" t="str">
        <f t="shared" si="3"/>
        <v/>
      </c>
      <c r="O35" s="290" t="str">
        <f t="shared" si="4"/>
        <v/>
      </c>
      <c r="P35" s="290" t="str">
        <f t="shared" si="12"/>
        <v/>
      </c>
      <c r="Q35" s="290" t="str">
        <f t="shared" si="13"/>
        <v/>
      </c>
      <c r="R35" s="290" t="str">
        <f t="shared" si="14"/>
        <v/>
      </c>
      <c r="S35" s="290" t="str">
        <f t="shared" si="15"/>
        <v/>
      </c>
      <c r="T35" s="291" t="str" cm="1">
        <f t="array" ref="T35">_xlfn.IFS(G35="", "", F35 = "", G35, 1, F35*G35)</f>
        <v/>
      </c>
      <c r="U35" s="293" t="str">
        <f t="shared" si="8"/>
        <v/>
      </c>
      <c r="V35" s="105" t="str">
        <f t="shared" si="9"/>
        <v/>
      </c>
      <c r="W35" s="47" t="str">
        <f t="shared" si="10"/>
        <v/>
      </c>
    </row>
    <row r="36" spans="2:23" x14ac:dyDescent="0.25">
      <c r="B36" s="131"/>
      <c r="C36" s="131"/>
      <c r="D36" s="131"/>
      <c r="E36" s="131"/>
      <c r="F36" s="131"/>
      <c r="G36" s="131"/>
      <c r="H36" s="132"/>
      <c r="I36" s="132"/>
      <c r="J36" s="132"/>
      <c r="K36" s="292" t="str">
        <f t="shared" si="11"/>
        <v/>
      </c>
      <c r="L36" s="290" t="str">
        <f t="shared" si="1"/>
        <v/>
      </c>
      <c r="M36" s="290" t="str">
        <f t="shared" si="2"/>
        <v/>
      </c>
      <c r="N36" s="290" t="str">
        <f t="shared" si="3"/>
        <v/>
      </c>
      <c r="O36" s="290" t="str">
        <f t="shared" si="4"/>
        <v/>
      </c>
      <c r="P36" s="290" t="str">
        <f t="shared" si="12"/>
        <v/>
      </c>
      <c r="Q36" s="290" t="str">
        <f t="shared" si="13"/>
        <v/>
      </c>
      <c r="R36" s="290" t="str">
        <f t="shared" si="14"/>
        <v/>
      </c>
      <c r="S36" s="290" t="str">
        <f t="shared" si="15"/>
        <v/>
      </c>
      <c r="T36" s="291" t="str" cm="1">
        <f t="array" ref="T36">_xlfn.IFS(G36="", "", F36 = "", G36, 1, F36*G36)</f>
        <v/>
      </c>
      <c r="U36" s="293" t="str">
        <f t="shared" si="8"/>
        <v/>
      </c>
      <c r="V36" s="105" t="str">
        <f t="shared" si="9"/>
        <v/>
      </c>
      <c r="W36" s="47" t="str">
        <f t="shared" si="10"/>
        <v/>
      </c>
    </row>
    <row r="37" spans="2:23" x14ac:dyDescent="0.25">
      <c r="B37" s="131"/>
      <c r="C37" s="131"/>
      <c r="D37" s="131"/>
      <c r="E37" s="131"/>
      <c r="F37" s="131"/>
      <c r="G37" s="131"/>
      <c r="H37" s="132"/>
      <c r="I37" s="132"/>
      <c r="J37" s="132"/>
      <c r="K37" s="292" t="str">
        <f t="shared" si="11"/>
        <v/>
      </c>
      <c r="L37" s="290" t="str">
        <f t="shared" si="1"/>
        <v/>
      </c>
      <c r="M37" s="290" t="str">
        <f t="shared" si="2"/>
        <v/>
      </c>
      <c r="N37" s="290" t="str">
        <f t="shared" si="3"/>
        <v/>
      </c>
      <c r="O37" s="290" t="str">
        <f t="shared" si="4"/>
        <v/>
      </c>
      <c r="P37" s="290" t="str">
        <f t="shared" si="12"/>
        <v/>
      </c>
      <c r="Q37" s="290" t="str">
        <f t="shared" si="13"/>
        <v/>
      </c>
      <c r="R37" s="290" t="str">
        <f t="shared" si="14"/>
        <v/>
      </c>
      <c r="S37" s="290" t="str">
        <f t="shared" si="15"/>
        <v/>
      </c>
      <c r="T37" s="291" t="str" cm="1">
        <f t="array" ref="T37">_xlfn.IFS(G37="", "", F37 = "", G37, 1, F37*G37)</f>
        <v/>
      </c>
      <c r="U37" s="293" t="str">
        <f t="shared" si="8"/>
        <v/>
      </c>
      <c r="V37" s="105" t="str">
        <f t="shared" si="9"/>
        <v/>
      </c>
      <c r="W37" s="47" t="str">
        <f t="shared" si="10"/>
        <v/>
      </c>
    </row>
    <row r="38" spans="2:23" x14ac:dyDescent="0.25">
      <c r="B38" s="131"/>
      <c r="C38" s="131"/>
      <c r="D38" s="131"/>
      <c r="E38" s="131"/>
      <c r="F38" s="131"/>
      <c r="G38" s="131"/>
      <c r="H38" s="132"/>
      <c r="I38" s="132"/>
      <c r="J38" s="132"/>
      <c r="K38" s="292" t="str">
        <f t="shared" si="11"/>
        <v/>
      </c>
      <c r="L38" s="290" t="str">
        <f t="shared" si="1"/>
        <v/>
      </c>
      <c r="M38" s="290" t="str">
        <f t="shared" si="2"/>
        <v/>
      </c>
      <c r="N38" s="290" t="str">
        <f t="shared" si="3"/>
        <v/>
      </c>
      <c r="O38" s="290" t="str">
        <f t="shared" si="4"/>
        <v/>
      </c>
      <c r="P38" s="290" t="str">
        <f t="shared" si="12"/>
        <v/>
      </c>
      <c r="Q38" s="290" t="str">
        <f t="shared" si="13"/>
        <v/>
      </c>
      <c r="R38" s="290" t="str">
        <f t="shared" si="14"/>
        <v/>
      </c>
      <c r="S38" s="290" t="str">
        <f t="shared" si="15"/>
        <v/>
      </c>
      <c r="T38" s="291" t="str" cm="1">
        <f t="array" ref="T38">_xlfn.IFS(G38="", "", F38 = "", G38, 1, F38*G38)</f>
        <v/>
      </c>
      <c r="U38" s="293" t="str">
        <f t="shared" si="8"/>
        <v/>
      </c>
      <c r="V38" s="105" t="str">
        <f t="shared" si="9"/>
        <v/>
      </c>
      <c r="W38" s="47" t="str">
        <f t="shared" si="10"/>
        <v/>
      </c>
    </row>
    <row r="39" spans="2:23" x14ac:dyDescent="0.25">
      <c r="B39" s="131"/>
      <c r="C39" s="131"/>
      <c r="D39" s="131"/>
      <c r="E39" s="131"/>
      <c r="F39" s="131"/>
      <c r="G39" s="131"/>
      <c r="H39" s="132"/>
      <c r="I39" s="132"/>
      <c r="J39" s="132"/>
      <c r="K39" s="292" t="str">
        <f t="shared" si="11"/>
        <v/>
      </c>
      <c r="L39" s="290" t="str">
        <f t="shared" si="1"/>
        <v/>
      </c>
      <c r="M39" s="290" t="str">
        <f t="shared" si="2"/>
        <v/>
      </c>
      <c r="N39" s="290" t="str">
        <f t="shared" si="3"/>
        <v/>
      </c>
      <c r="O39" s="290" t="str">
        <f t="shared" si="4"/>
        <v/>
      </c>
      <c r="P39" s="290" t="str">
        <f t="shared" si="12"/>
        <v/>
      </c>
      <c r="Q39" s="290" t="str">
        <f t="shared" si="13"/>
        <v/>
      </c>
      <c r="R39" s="290" t="str">
        <f t="shared" si="14"/>
        <v/>
      </c>
      <c r="S39" s="290" t="str">
        <f t="shared" si="15"/>
        <v/>
      </c>
      <c r="T39" s="291" t="str" cm="1">
        <f t="array" ref="T39">_xlfn.IFS(G39="", "", F39 = "", G39, 1, F39*G39)</f>
        <v/>
      </c>
      <c r="U39" s="293" t="str">
        <f t="shared" si="8"/>
        <v/>
      </c>
      <c r="V39" s="105" t="str">
        <f t="shared" si="9"/>
        <v/>
      </c>
      <c r="W39" s="47" t="str">
        <f t="shared" si="10"/>
        <v/>
      </c>
    </row>
    <row r="40" spans="2:23" x14ac:dyDescent="0.25">
      <c r="B40" s="131"/>
      <c r="C40" s="131"/>
      <c r="D40" s="131"/>
      <c r="E40" s="131"/>
      <c r="F40" s="131"/>
      <c r="G40" s="131"/>
      <c r="H40" s="132"/>
      <c r="I40" s="132"/>
      <c r="J40" s="132"/>
      <c r="K40" s="292" t="str">
        <f t="shared" si="11"/>
        <v/>
      </c>
      <c r="L40" s="290" t="str">
        <f t="shared" si="1"/>
        <v/>
      </c>
      <c r="M40" s="290" t="str">
        <f t="shared" si="2"/>
        <v/>
      </c>
      <c r="N40" s="290" t="str">
        <f t="shared" si="3"/>
        <v/>
      </c>
      <c r="O40" s="290" t="str">
        <f t="shared" si="4"/>
        <v/>
      </c>
      <c r="P40" s="290" t="str">
        <f t="shared" si="12"/>
        <v/>
      </c>
      <c r="Q40" s="290" t="str">
        <f t="shared" si="13"/>
        <v/>
      </c>
      <c r="R40" s="290" t="str">
        <f t="shared" si="14"/>
        <v/>
      </c>
      <c r="S40" s="290" t="str">
        <f t="shared" si="15"/>
        <v/>
      </c>
      <c r="T40" s="291" t="str" cm="1">
        <f t="array" ref="T40">_xlfn.IFS(G40="", "", F40 = "", G40, 1, F40*G40)</f>
        <v/>
      </c>
      <c r="U40" s="293" t="str">
        <f t="shared" si="8"/>
        <v/>
      </c>
      <c r="V40" s="105" t="str">
        <f t="shared" si="9"/>
        <v/>
      </c>
      <c r="W40" s="47" t="str">
        <f t="shared" si="10"/>
        <v/>
      </c>
    </row>
    <row r="41" spans="2:23" x14ac:dyDescent="0.25">
      <c r="B41" s="131"/>
      <c r="C41" s="131"/>
      <c r="D41" s="131"/>
      <c r="E41" s="131"/>
      <c r="F41" s="131"/>
      <c r="G41" s="131"/>
      <c r="H41" s="132"/>
      <c r="I41" s="132"/>
      <c r="J41" s="132"/>
      <c r="K41" s="292" t="str">
        <f t="shared" si="11"/>
        <v/>
      </c>
      <c r="L41" s="290" t="str">
        <f t="shared" si="1"/>
        <v/>
      </c>
      <c r="M41" s="290" t="str">
        <f t="shared" si="2"/>
        <v/>
      </c>
      <c r="N41" s="290" t="str">
        <f t="shared" si="3"/>
        <v/>
      </c>
      <c r="O41" s="290" t="str">
        <f t="shared" si="4"/>
        <v/>
      </c>
      <c r="P41" s="290" t="str">
        <f t="shared" si="12"/>
        <v/>
      </c>
      <c r="Q41" s="290" t="str">
        <f t="shared" si="13"/>
        <v/>
      </c>
      <c r="R41" s="290" t="str">
        <f t="shared" si="14"/>
        <v/>
      </c>
      <c r="S41" s="290" t="str">
        <f t="shared" si="15"/>
        <v/>
      </c>
      <c r="T41" s="291" t="str" cm="1">
        <f t="array" ref="T41">_xlfn.IFS(G41="", "", F41 = "", G41, 1, F41*G41)</f>
        <v/>
      </c>
      <c r="U41" s="293" t="str">
        <f t="shared" si="8"/>
        <v/>
      </c>
      <c r="V41" s="105" t="str">
        <f t="shared" si="9"/>
        <v/>
      </c>
      <c r="W41" s="47" t="str">
        <f t="shared" si="10"/>
        <v/>
      </c>
    </row>
    <row r="42" spans="2:23" x14ac:dyDescent="0.25">
      <c r="B42" s="131"/>
      <c r="C42" s="131"/>
      <c r="D42" s="131"/>
      <c r="E42" s="131"/>
      <c r="F42" s="131"/>
      <c r="G42" s="131"/>
      <c r="H42" s="132"/>
      <c r="I42" s="132"/>
      <c r="J42" s="132"/>
      <c r="K42" s="292" t="str">
        <f t="shared" si="11"/>
        <v/>
      </c>
      <c r="L42" s="290" t="str">
        <f t="shared" si="1"/>
        <v/>
      </c>
      <c r="M42" s="290" t="str">
        <f t="shared" si="2"/>
        <v/>
      </c>
      <c r="N42" s="290" t="str">
        <f t="shared" si="3"/>
        <v/>
      </c>
      <c r="O42" s="290" t="str">
        <f t="shared" si="4"/>
        <v/>
      </c>
      <c r="P42" s="290" t="str">
        <f t="shared" si="12"/>
        <v/>
      </c>
      <c r="Q42" s="290" t="str">
        <f t="shared" si="13"/>
        <v/>
      </c>
      <c r="R42" s="290" t="str">
        <f t="shared" si="14"/>
        <v/>
      </c>
      <c r="S42" s="290" t="str">
        <f t="shared" si="15"/>
        <v/>
      </c>
      <c r="T42" s="291" t="str" cm="1">
        <f t="array" ref="T42">_xlfn.IFS(G42="", "", F42 = "", G42, 1, F42*G42)</f>
        <v/>
      </c>
      <c r="U42" s="293" t="str">
        <f t="shared" si="8"/>
        <v/>
      </c>
      <c r="V42" s="105" t="str">
        <f t="shared" si="9"/>
        <v/>
      </c>
      <c r="W42" s="47" t="str">
        <f t="shared" si="10"/>
        <v/>
      </c>
    </row>
    <row r="43" spans="2:23" x14ac:dyDescent="0.25">
      <c r="B43" s="131"/>
      <c r="C43" s="131"/>
      <c r="D43" s="131"/>
      <c r="E43" s="131"/>
      <c r="F43" s="131"/>
      <c r="G43" s="131"/>
      <c r="H43" s="132"/>
      <c r="I43" s="132"/>
      <c r="J43" s="132"/>
      <c r="K43" s="292" t="str">
        <f t="shared" si="11"/>
        <v/>
      </c>
      <c r="L43" s="290" t="str">
        <f t="shared" si="1"/>
        <v/>
      </c>
      <c r="M43" s="290" t="str">
        <f t="shared" si="2"/>
        <v/>
      </c>
      <c r="N43" s="290" t="str">
        <f t="shared" si="3"/>
        <v/>
      </c>
      <c r="O43" s="290" t="str">
        <f t="shared" si="4"/>
        <v/>
      </c>
      <c r="P43" s="290" t="str">
        <f t="shared" si="12"/>
        <v/>
      </c>
      <c r="Q43" s="290" t="str">
        <f t="shared" si="13"/>
        <v/>
      </c>
      <c r="R43" s="290" t="str">
        <f t="shared" si="14"/>
        <v/>
      </c>
      <c r="S43" s="290" t="str">
        <f t="shared" si="15"/>
        <v/>
      </c>
      <c r="T43" s="291" t="str" cm="1">
        <f t="array" ref="T43">_xlfn.IFS(G43="", "", F43 = "", G43, 1, F43*G43)</f>
        <v/>
      </c>
      <c r="U43" s="293" t="str">
        <f t="shared" si="8"/>
        <v/>
      </c>
      <c r="V43" s="105" t="str">
        <f t="shared" si="9"/>
        <v/>
      </c>
      <c r="W43" s="47" t="str">
        <f t="shared" si="10"/>
        <v/>
      </c>
    </row>
    <row r="44" spans="2:23" x14ac:dyDescent="0.25">
      <c r="B44" s="131"/>
      <c r="C44" s="131"/>
      <c r="D44" s="131"/>
      <c r="E44" s="131"/>
      <c r="F44" s="131"/>
      <c r="G44" s="131"/>
      <c r="H44" s="132"/>
      <c r="I44" s="132"/>
      <c r="J44" s="132"/>
      <c r="K44" s="292" t="str">
        <f t="shared" si="11"/>
        <v/>
      </c>
      <c r="L44" s="290" t="str">
        <f t="shared" si="1"/>
        <v/>
      </c>
      <c r="M44" s="290" t="str">
        <f t="shared" si="2"/>
        <v/>
      </c>
      <c r="N44" s="290" t="str">
        <f t="shared" si="3"/>
        <v/>
      </c>
      <c r="O44" s="290" t="str">
        <f t="shared" si="4"/>
        <v/>
      </c>
      <c r="P44" s="290" t="str">
        <f t="shared" si="12"/>
        <v/>
      </c>
      <c r="Q44" s="290" t="str">
        <f t="shared" si="13"/>
        <v/>
      </c>
      <c r="R44" s="290" t="str">
        <f t="shared" si="14"/>
        <v/>
      </c>
      <c r="S44" s="290" t="str">
        <f t="shared" si="15"/>
        <v/>
      </c>
      <c r="T44" s="291" t="str" cm="1">
        <f t="array" ref="T44">_xlfn.IFS(G44="", "", F44 = "", G44, 1, F44*G44)</f>
        <v/>
      </c>
      <c r="U44" s="293" t="str">
        <f t="shared" si="8"/>
        <v/>
      </c>
      <c r="V44" s="105" t="str">
        <f t="shared" si="9"/>
        <v/>
      </c>
      <c r="W44" s="47" t="str">
        <f t="shared" si="10"/>
        <v/>
      </c>
    </row>
    <row r="45" spans="2:23" x14ac:dyDescent="0.25">
      <c r="B45" s="131"/>
      <c r="C45" s="131"/>
      <c r="D45" s="131"/>
      <c r="E45" s="131"/>
      <c r="F45" s="131"/>
      <c r="G45" s="131"/>
      <c r="H45" s="132"/>
      <c r="I45" s="132"/>
      <c r="J45" s="132"/>
      <c r="K45" s="292" t="str">
        <f t="shared" si="11"/>
        <v/>
      </c>
      <c r="L45" s="290" t="str">
        <f t="shared" si="1"/>
        <v/>
      </c>
      <c r="M45" s="290" t="str">
        <f t="shared" si="2"/>
        <v/>
      </c>
      <c r="N45" s="290" t="str">
        <f t="shared" si="3"/>
        <v/>
      </c>
      <c r="O45" s="290" t="str">
        <f t="shared" si="4"/>
        <v/>
      </c>
      <c r="P45" s="290" t="str">
        <f t="shared" si="12"/>
        <v/>
      </c>
      <c r="Q45" s="290" t="str">
        <f t="shared" si="13"/>
        <v/>
      </c>
      <c r="R45" s="290" t="str">
        <f t="shared" si="14"/>
        <v/>
      </c>
      <c r="S45" s="290" t="str">
        <f t="shared" si="15"/>
        <v/>
      </c>
      <c r="T45" s="291" t="str" cm="1">
        <f t="array" ref="T45">_xlfn.IFS(G45="", "", F45 = "", G45, 1, F45*G45)</f>
        <v/>
      </c>
      <c r="U45" s="293" t="str">
        <f t="shared" si="8"/>
        <v/>
      </c>
      <c r="V45" s="105" t="str">
        <f t="shared" si="9"/>
        <v/>
      </c>
      <c r="W45" s="47" t="str">
        <f t="shared" si="10"/>
        <v/>
      </c>
    </row>
    <row r="46" spans="2:23" x14ac:dyDescent="0.25">
      <c r="B46" s="131"/>
      <c r="C46" s="131"/>
      <c r="D46" s="131"/>
      <c r="E46" s="131"/>
      <c r="F46" s="131"/>
      <c r="G46" s="131"/>
      <c r="H46" s="132"/>
      <c r="I46" s="132"/>
      <c r="J46" s="132"/>
      <c r="K46" s="292" t="str">
        <f t="shared" si="11"/>
        <v/>
      </c>
      <c r="L46" s="290" t="str">
        <f t="shared" si="1"/>
        <v/>
      </c>
      <c r="M46" s="290" t="str">
        <f t="shared" si="2"/>
        <v/>
      </c>
      <c r="N46" s="290" t="str">
        <f t="shared" si="3"/>
        <v/>
      </c>
      <c r="O46" s="290" t="str">
        <f t="shared" si="4"/>
        <v/>
      </c>
      <c r="P46" s="290" t="str">
        <f t="shared" si="12"/>
        <v/>
      </c>
      <c r="Q46" s="290" t="str">
        <f t="shared" si="13"/>
        <v/>
      </c>
      <c r="R46" s="290" t="str">
        <f t="shared" si="14"/>
        <v/>
      </c>
      <c r="S46" s="290" t="str">
        <f t="shared" si="15"/>
        <v/>
      </c>
      <c r="T46" s="291" t="str" cm="1">
        <f t="array" ref="T46">_xlfn.IFS(G46="", "", F46 = "", G46, 1, F46*G46)</f>
        <v/>
      </c>
      <c r="U46" s="293" t="str">
        <f t="shared" si="8"/>
        <v/>
      </c>
      <c r="V46" s="105" t="str">
        <f t="shared" si="9"/>
        <v/>
      </c>
      <c r="W46" s="47" t="str">
        <f t="shared" si="10"/>
        <v/>
      </c>
    </row>
    <row r="47" spans="2:23" x14ac:dyDescent="0.25">
      <c r="B47" s="131"/>
      <c r="C47" s="131"/>
      <c r="D47" s="131"/>
      <c r="E47" s="131"/>
      <c r="F47" s="131"/>
      <c r="G47" s="131"/>
      <c r="H47" s="132"/>
      <c r="I47" s="132"/>
      <c r="J47" s="132"/>
      <c r="K47" s="292" t="str">
        <f t="shared" si="11"/>
        <v/>
      </c>
      <c r="L47" s="290" t="str">
        <f t="shared" si="1"/>
        <v/>
      </c>
      <c r="M47" s="290" t="str">
        <f t="shared" si="2"/>
        <v/>
      </c>
      <c r="N47" s="290" t="str">
        <f t="shared" si="3"/>
        <v/>
      </c>
      <c r="O47" s="290" t="str">
        <f t="shared" si="4"/>
        <v/>
      </c>
      <c r="P47" s="290" t="str">
        <f t="shared" si="12"/>
        <v/>
      </c>
      <c r="Q47" s="290" t="str">
        <f t="shared" si="13"/>
        <v/>
      </c>
      <c r="R47" s="290" t="str">
        <f t="shared" si="14"/>
        <v/>
      </c>
      <c r="S47" s="290" t="str">
        <f t="shared" si="15"/>
        <v/>
      </c>
      <c r="T47" s="291" t="str" cm="1">
        <f t="array" ref="T47">_xlfn.IFS(G47="", "", F47 = "", G47, 1, F47*G47)</f>
        <v/>
      </c>
      <c r="U47" s="293" t="str">
        <f t="shared" si="8"/>
        <v/>
      </c>
      <c r="V47" s="105" t="str">
        <f t="shared" si="9"/>
        <v/>
      </c>
      <c r="W47" s="47" t="str">
        <f t="shared" si="10"/>
        <v/>
      </c>
    </row>
    <row r="48" spans="2:23" x14ac:dyDescent="0.25">
      <c r="B48" s="131"/>
      <c r="C48" s="131"/>
      <c r="D48" s="131"/>
      <c r="E48" s="131"/>
      <c r="F48" s="131"/>
      <c r="G48" s="131"/>
      <c r="H48" s="132"/>
      <c r="I48" s="132"/>
      <c r="J48" s="132"/>
      <c r="K48" s="292" t="str">
        <f t="shared" si="11"/>
        <v/>
      </c>
      <c r="L48" s="290" t="str">
        <f t="shared" si="1"/>
        <v/>
      </c>
      <c r="M48" s="290" t="str">
        <f t="shared" si="2"/>
        <v/>
      </c>
      <c r="N48" s="290" t="str">
        <f t="shared" si="3"/>
        <v/>
      </c>
      <c r="O48" s="290" t="str">
        <f t="shared" si="4"/>
        <v/>
      </c>
      <c r="P48" s="290" t="str">
        <f t="shared" si="12"/>
        <v/>
      </c>
      <c r="Q48" s="290" t="str">
        <f t="shared" si="13"/>
        <v/>
      </c>
      <c r="R48" s="290" t="str">
        <f t="shared" si="14"/>
        <v/>
      </c>
      <c r="S48" s="290" t="str">
        <f t="shared" si="15"/>
        <v/>
      </c>
      <c r="T48" s="291" t="str" cm="1">
        <f t="array" ref="T48">_xlfn.IFS(G48="", "", F48 = "", G48, 1, F48*G48)</f>
        <v/>
      </c>
      <c r="U48" s="293" t="str">
        <f t="shared" si="8"/>
        <v/>
      </c>
      <c r="V48" s="105" t="str">
        <f t="shared" si="9"/>
        <v/>
      </c>
      <c r="W48" s="47" t="str">
        <f t="shared" si="10"/>
        <v/>
      </c>
    </row>
    <row r="49" spans="2:23" x14ac:dyDescent="0.25">
      <c r="B49" s="131"/>
      <c r="C49" s="131"/>
      <c r="D49" s="131"/>
      <c r="E49" s="131"/>
      <c r="F49" s="131"/>
      <c r="G49" s="131"/>
      <c r="H49" s="132"/>
      <c r="I49" s="132"/>
      <c r="J49" s="132"/>
      <c r="K49" s="292" t="str">
        <f t="shared" si="11"/>
        <v/>
      </c>
      <c r="L49" s="290" t="str">
        <f t="shared" si="1"/>
        <v/>
      </c>
      <c r="M49" s="290" t="str">
        <f t="shared" si="2"/>
        <v/>
      </c>
      <c r="N49" s="290" t="str">
        <f t="shared" si="3"/>
        <v/>
      </c>
      <c r="O49" s="290" t="str">
        <f t="shared" si="4"/>
        <v/>
      </c>
      <c r="P49" s="290" t="str">
        <f t="shared" si="12"/>
        <v/>
      </c>
      <c r="Q49" s="290" t="str">
        <f t="shared" si="13"/>
        <v/>
      </c>
      <c r="R49" s="290" t="str">
        <f t="shared" si="14"/>
        <v/>
      </c>
      <c r="S49" s="290" t="str">
        <f t="shared" si="15"/>
        <v/>
      </c>
      <c r="T49" s="291" t="str" cm="1">
        <f t="array" ref="T49">_xlfn.IFS(G49="", "", F49 = "", G49, 1, F49*G49)</f>
        <v/>
      </c>
      <c r="U49" s="293" t="str">
        <f t="shared" si="8"/>
        <v/>
      </c>
      <c r="V49" s="105" t="str">
        <f t="shared" si="9"/>
        <v/>
      </c>
      <c r="W49" s="47" t="str">
        <f t="shared" si="10"/>
        <v/>
      </c>
    </row>
    <row r="50" spans="2:23" x14ac:dyDescent="0.25">
      <c r="B50" s="131"/>
      <c r="C50" s="131"/>
      <c r="D50" s="131"/>
      <c r="E50" s="131"/>
      <c r="F50" s="131"/>
      <c r="G50" s="131"/>
      <c r="H50" s="132"/>
      <c r="I50" s="132"/>
      <c r="J50" s="132"/>
      <c r="K50" s="292" t="str">
        <f t="shared" si="11"/>
        <v/>
      </c>
      <c r="L50" s="290" t="str">
        <f t="shared" si="1"/>
        <v/>
      </c>
      <c r="M50" s="290" t="str">
        <f t="shared" si="2"/>
        <v/>
      </c>
      <c r="N50" s="290" t="str">
        <f t="shared" si="3"/>
        <v/>
      </c>
      <c r="O50" s="290" t="str">
        <f t="shared" si="4"/>
        <v/>
      </c>
      <c r="P50" s="290" t="str">
        <f t="shared" si="12"/>
        <v/>
      </c>
      <c r="Q50" s="290" t="str">
        <f t="shared" si="13"/>
        <v/>
      </c>
      <c r="R50" s="290" t="str">
        <f t="shared" si="14"/>
        <v/>
      </c>
      <c r="S50" s="290" t="str">
        <f t="shared" si="15"/>
        <v/>
      </c>
      <c r="T50" s="291" t="str" cm="1">
        <f t="array" ref="T50">_xlfn.IFS(G50="", "", F50 = "", G50, 1, F50*G50)</f>
        <v/>
      </c>
      <c r="U50" s="293" t="str">
        <f t="shared" si="8"/>
        <v/>
      </c>
      <c r="V50" s="105" t="str">
        <f t="shared" si="9"/>
        <v/>
      </c>
      <c r="W50" s="47" t="str">
        <f t="shared" si="10"/>
        <v/>
      </c>
    </row>
    <row r="51" spans="2:23" x14ac:dyDescent="0.25">
      <c r="B51" s="131"/>
      <c r="C51" s="131"/>
      <c r="D51" s="131"/>
      <c r="E51" s="131"/>
      <c r="F51" s="131"/>
      <c r="G51" s="131"/>
      <c r="H51" s="132"/>
      <c r="I51" s="132"/>
      <c r="J51" s="132"/>
      <c r="K51" s="292" t="str">
        <f t="shared" si="11"/>
        <v/>
      </c>
      <c r="L51" s="290" t="str">
        <f t="shared" si="1"/>
        <v/>
      </c>
      <c r="M51" s="290" t="str">
        <f t="shared" si="2"/>
        <v/>
      </c>
      <c r="N51" s="290" t="str">
        <f t="shared" si="3"/>
        <v/>
      </c>
      <c r="O51" s="290" t="str">
        <f t="shared" si="4"/>
        <v/>
      </c>
      <c r="P51" s="290" t="str">
        <f t="shared" si="12"/>
        <v/>
      </c>
      <c r="Q51" s="290" t="str">
        <f t="shared" si="13"/>
        <v/>
      </c>
      <c r="R51" s="290" t="str">
        <f t="shared" si="14"/>
        <v/>
      </c>
      <c r="S51" s="290" t="str">
        <f t="shared" si="15"/>
        <v/>
      </c>
      <c r="T51" s="291" t="str" cm="1">
        <f t="array" ref="T51">_xlfn.IFS(G51="", "", F51 = "", G51, 1, F51*G51)</f>
        <v/>
      </c>
      <c r="U51" s="293" t="str">
        <f t="shared" si="8"/>
        <v/>
      </c>
      <c r="V51" s="105" t="str">
        <f t="shared" si="9"/>
        <v/>
      </c>
      <c r="W51" s="47" t="str">
        <f t="shared" si="10"/>
        <v/>
      </c>
    </row>
    <row r="52" spans="2:23" x14ac:dyDescent="0.25">
      <c r="B52" s="131"/>
      <c r="C52" s="131"/>
      <c r="D52" s="131"/>
      <c r="E52" s="131"/>
      <c r="F52" s="131"/>
      <c r="G52" s="131"/>
      <c r="H52" s="132"/>
      <c r="I52" s="132"/>
      <c r="J52" s="132"/>
      <c r="K52" s="292" t="str">
        <f t="shared" si="11"/>
        <v/>
      </c>
      <c r="L52" s="290" t="str">
        <f t="shared" si="1"/>
        <v/>
      </c>
      <c r="M52" s="290" t="str">
        <f t="shared" si="2"/>
        <v/>
      </c>
      <c r="N52" s="290" t="str">
        <f t="shared" si="3"/>
        <v/>
      </c>
      <c r="O52" s="290" t="str">
        <f t="shared" si="4"/>
        <v/>
      </c>
      <c r="P52" s="290" t="str">
        <f t="shared" si="12"/>
        <v/>
      </c>
      <c r="Q52" s="290" t="str">
        <f t="shared" si="13"/>
        <v/>
      </c>
      <c r="R52" s="290" t="str">
        <f t="shared" si="14"/>
        <v/>
      </c>
      <c r="S52" s="290" t="str">
        <f t="shared" si="15"/>
        <v/>
      </c>
      <c r="T52" s="291" t="str" cm="1">
        <f t="array" ref="T52">_xlfn.IFS(G52="", "", F52 = "", G52, 1, F52*G52)</f>
        <v/>
      </c>
      <c r="U52" s="293" t="str">
        <f t="shared" si="8"/>
        <v/>
      </c>
      <c r="V52" s="105" t="str">
        <f t="shared" si="9"/>
        <v/>
      </c>
      <c r="W52" s="47" t="str">
        <f t="shared" si="10"/>
        <v/>
      </c>
    </row>
    <row r="53" spans="2:23" x14ac:dyDescent="0.25">
      <c r="B53" s="131"/>
      <c r="C53" s="131"/>
      <c r="D53" s="131"/>
      <c r="E53" s="131"/>
      <c r="F53" s="131"/>
      <c r="G53" s="131"/>
      <c r="H53" s="132"/>
      <c r="I53" s="132"/>
      <c r="J53" s="132"/>
      <c r="K53" s="292" t="str">
        <f t="shared" si="11"/>
        <v/>
      </c>
      <c r="L53" s="290" t="str">
        <f t="shared" si="1"/>
        <v/>
      </c>
      <c r="M53" s="290" t="str">
        <f t="shared" si="2"/>
        <v/>
      </c>
      <c r="N53" s="290" t="str">
        <f t="shared" si="3"/>
        <v/>
      </c>
      <c r="O53" s="290" t="str">
        <f t="shared" si="4"/>
        <v/>
      </c>
      <c r="P53" s="290" t="str">
        <f t="shared" si="12"/>
        <v/>
      </c>
      <c r="Q53" s="290" t="str">
        <f t="shared" si="13"/>
        <v/>
      </c>
      <c r="R53" s="290" t="str">
        <f t="shared" si="14"/>
        <v/>
      </c>
      <c r="S53" s="290" t="str">
        <f t="shared" si="15"/>
        <v/>
      </c>
      <c r="T53" s="291" t="str" cm="1">
        <f t="array" ref="T53">_xlfn.IFS(G53="", "", F53 = "", G53, 1, F53*G53)</f>
        <v/>
      </c>
      <c r="U53" s="293" t="str">
        <f t="shared" si="8"/>
        <v/>
      </c>
      <c r="V53" s="105" t="str">
        <f t="shared" si="9"/>
        <v/>
      </c>
      <c r="W53" s="47" t="str">
        <f t="shared" si="10"/>
        <v/>
      </c>
    </row>
    <row r="54" spans="2:23" x14ac:dyDescent="0.25">
      <c r="B54" s="131"/>
      <c r="C54" s="131"/>
      <c r="D54" s="131"/>
      <c r="E54" s="131"/>
      <c r="F54" s="131"/>
      <c r="G54" s="131"/>
      <c r="H54" s="132"/>
      <c r="I54" s="132"/>
      <c r="J54" s="132"/>
      <c r="K54" s="292" t="str">
        <f t="shared" si="11"/>
        <v/>
      </c>
      <c r="L54" s="290" t="str">
        <f t="shared" si="1"/>
        <v/>
      </c>
      <c r="M54" s="290" t="str">
        <f t="shared" si="2"/>
        <v/>
      </c>
      <c r="N54" s="290" t="str">
        <f t="shared" si="3"/>
        <v/>
      </c>
      <c r="O54" s="290" t="str">
        <f t="shared" si="4"/>
        <v/>
      </c>
      <c r="P54" s="290" t="str">
        <f t="shared" si="12"/>
        <v/>
      </c>
      <c r="Q54" s="290" t="str">
        <f t="shared" si="13"/>
        <v/>
      </c>
      <c r="R54" s="290" t="str">
        <f t="shared" si="14"/>
        <v/>
      </c>
      <c r="S54" s="290" t="str">
        <f t="shared" si="15"/>
        <v/>
      </c>
      <c r="T54" s="291" t="str" cm="1">
        <f t="array" ref="T54">_xlfn.IFS(G54="", "", F54 = "", G54, 1, F54*G54)</f>
        <v/>
      </c>
      <c r="U54" s="293" t="str">
        <f t="shared" si="8"/>
        <v/>
      </c>
      <c r="V54" s="105" t="str">
        <f t="shared" si="9"/>
        <v/>
      </c>
      <c r="W54" s="47" t="str">
        <f t="shared" si="10"/>
        <v/>
      </c>
    </row>
    <row r="55" spans="2:23" x14ac:dyDescent="0.25">
      <c r="B55" s="131"/>
      <c r="C55" s="131"/>
      <c r="D55" s="131"/>
      <c r="E55" s="131"/>
      <c r="F55" s="131"/>
      <c r="G55" s="131"/>
      <c r="H55" s="132"/>
      <c r="I55" s="132"/>
      <c r="J55" s="132"/>
      <c r="K55" s="292" t="str">
        <f t="shared" si="11"/>
        <v/>
      </c>
      <c r="L55" s="290" t="str">
        <f t="shared" si="1"/>
        <v/>
      </c>
      <c r="M55" s="290" t="str">
        <f t="shared" si="2"/>
        <v/>
      </c>
      <c r="N55" s="290" t="str">
        <f t="shared" si="3"/>
        <v/>
      </c>
      <c r="O55" s="290" t="str">
        <f t="shared" si="4"/>
        <v/>
      </c>
      <c r="P55" s="290" t="str">
        <f t="shared" si="12"/>
        <v/>
      </c>
      <c r="Q55" s="290" t="str">
        <f t="shared" si="13"/>
        <v/>
      </c>
      <c r="R55" s="290" t="str">
        <f t="shared" si="14"/>
        <v/>
      </c>
      <c r="S55" s="290" t="str">
        <f t="shared" si="15"/>
        <v/>
      </c>
      <c r="T55" s="291" t="str" cm="1">
        <f t="array" ref="T55">_xlfn.IFS(G55="", "", F55 = "", G55, 1, F55*G55)</f>
        <v/>
      </c>
      <c r="U55" s="293" t="str">
        <f t="shared" si="8"/>
        <v/>
      </c>
      <c r="V55" s="105" t="str">
        <f t="shared" si="9"/>
        <v/>
      </c>
      <c r="W55" s="47" t="str">
        <f t="shared" si="10"/>
        <v/>
      </c>
    </row>
    <row r="56" spans="2:23" x14ac:dyDescent="0.25">
      <c r="B56" s="131"/>
      <c r="C56" s="131"/>
      <c r="D56" s="131"/>
      <c r="E56" s="131"/>
      <c r="F56" s="131"/>
      <c r="G56" s="131"/>
      <c r="H56" s="132"/>
      <c r="I56" s="132"/>
      <c r="J56" s="132"/>
      <c r="K56" s="292" t="str">
        <f t="shared" si="11"/>
        <v/>
      </c>
      <c r="L56" s="290" t="str">
        <f t="shared" si="1"/>
        <v/>
      </c>
      <c r="M56" s="290" t="str">
        <f t="shared" si="2"/>
        <v/>
      </c>
      <c r="N56" s="290" t="str">
        <f t="shared" si="3"/>
        <v/>
      </c>
      <c r="O56" s="290" t="str">
        <f t="shared" si="4"/>
        <v/>
      </c>
      <c r="P56" s="290" t="str">
        <f t="shared" si="12"/>
        <v/>
      </c>
      <c r="Q56" s="290" t="str">
        <f t="shared" si="13"/>
        <v/>
      </c>
      <c r="R56" s="290" t="str">
        <f t="shared" si="14"/>
        <v/>
      </c>
      <c r="S56" s="290" t="str">
        <f t="shared" si="15"/>
        <v/>
      </c>
      <c r="T56" s="291" t="str" cm="1">
        <f t="array" ref="T56">_xlfn.IFS(G56="", "", F56 = "", G56, 1, F56*G56)</f>
        <v/>
      </c>
      <c r="U56" s="293" t="str">
        <f t="shared" si="8"/>
        <v/>
      </c>
      <c r="V56" s="105" t="str">
        <f t="shared" si="9"/>
        <v/>
      </c>
      <c r="W56" s="47" t="str">
        <f t="shared" si="10"/>
        <v/>
      </c>
    </row>
    <row r="57" spans="2:23" x14ac:dyDescent="0.25">
      <c r="B57" s="131"/>
      <c r="C57" s="131"/>
      <c r="D57" s="131"/>
      <c r="E57" s="131"/>
      <c r="F57" s="131"/>
      <c r="G57" s="131"/>
      <c r="H57" s="132"/>
      <c r="I57" s="132"/>
      <c r="J57" s="132"/>
      <c r="K57" s="292" t="str">
        <f t="shared" si="11"/>
        <v/>
      </c>
      <c r="L57" s="290" t="str">
        <f t="shared" si="1"/>
        <v/>
      </c>
      <c r="M57" s="290" t="str">
        <f t="shared" si="2"/>
        <v/>
      </c>
      <c r="N57" s="290" t="str">
        <f t="shared" si="3"/>
        <v/>
      </c>
      <c r="O57" s="290" t="str">
        <f t="shared" si="4"/>
        <v/>
      </c>
      <c r="P57" s="290" t="str">
        <f t="shared" si="12"/>
        <v/>
      </c>
      <c r="Q57" s="290" t="str">
        <f t="shared" si="13"/>
        <v/>
      </c>
      <c r="R57" s="290" t="str">
        <f t="shared" si="14"/>
        <v/>
      </c>
      <c r="S57" s="290" t="str">
        <f t="shared" si="15"/>
        <v/>
      </c>
      <c r="T57" s="291" t="str" cm="1">
        <f t="array" ref="T57">_xlfn.IFS(G57="", "", F57 = "", G57, 1, F57*G57)</f>
        <v/>
      </c>
      <c r="U57" s="293" t="str">
        <f t="shared" si="8"/>
        <v/>
      </c>
      <c r="V57" s="105" t="str">
        <f t="shared" si="9"/>
        <v/>
      </c>
      <c r="W57" s="47" t="str">
        <f t="shared" si="10"/>
        <v/>
      </c>
    </row>
    <row r="58" spans="2:23" x14ac:dyDescent="0.25">
      <c r="B58" s="131"/>
      <c r="C58" s="131"/>
      <c r="D58" s="131"/>
      <c r="E58" s="131"/>
      <c r="F58" s="131"/>
      <c r="G58" s="131"/>
      <c r="H58" s="132"/>
      <c r="I58" s="132"/>
      <c r="J58" s="132"/>
      <c r="K58" s="292" t="str">
        <f t="shared" si="11"/>
        <v/>
      </c>
      <c r="L58" s="290" t="str">
        <f t="shared" si="1"/>
        <v/>
      </c>
      <c r="M58" s="290" t="str">
        <f t="shared" si="2"/>
        <v/>
      </c>
      <c r="N58" s="290" t="str">
        <f t="shared" si="3"/>
        <v/>
      </c>
      <c r="O58" s="290" t="str">
        <f t="shared" si="4"/>
        <v/>
      </c>
      <c r="P58" s="290" t="str">
        <f t="shared" si="12"/>
        <v/>
      </c>
      <c r="Q58" s="290" t="str">
        <f t="shared" si="13"/>
        <v/>
      </c>
      <c r="R58" s="290" t="str">
        <f t="shared" si="14"/>
        <v/>
      </c>
      <c r="S58" s="290" t="str">
        <f t="shared" si="15"/>
        <v/>
      </c>
      <c r="T58" s="291" t="str" cm="1">
        <f t="array" ref="T58">_xlfn.IFS(G58="", "", F58 = "", G58, 1, F58*G58)</f>
        <v/>
      </c>
      <c r="U58" s="293" t="str">
        <f t="shared" si="8"/>
        <v/>
      </c>
      <c r="V58" s="105" t="str">
        <f t="shared" si="9"/>
        <v/>
      </c>
      <c r="W58" s="47" t="str">
        <f t="shared" si="10"/>
        <v/>
      </c>
    </row>
    <row r="59" spans="2:23" x14ac:dyDescent="0.25">
      <c r="B59" s="131"/>
      <c r="C59" s="131"/>
      <c r="D59" s="131"/>
      <c r="E59" s="131"/>
      <c r="F59" s="131"/>
      <c r="G59" s="131"/>
      <c r="H59" s="132"/>
      <c r="I59" s="132"/>
      <c r="J59" s="132"/>
      <c r="K59" s="292" t="str">
        <f t="shared" si="11"/>
        <v/>
      </c>
      <c r="L59" s="290" t="str">
        <f t="shared" si="1"/>
        <v/>
      </c>
      <c r="M59" s="290" t="str">
        <f t="shared" si="2"/>
        <v/>
      </c>
      <c r="N59" s="290" t="str">
        <f t="shared" si="3"/>
        <v/>
      </c>
      <c r="O59" s="290" t="str">
        <f t="shared" si="4"/>
        <v/>
      </c>
      <c r="P59" s="290" t="str">
        <f t="shared" si="12"/>
        <v/>
      </c>
      <c r="Q59" s="290" t="str">
        <f t="shared" si="13"/>
        <v/>
      </c>
      <c r="R59" s="290" t="str">
        <f t="shared" si="14"/>
        <v/>
      </c>
      <c r="S59" s="290" t="str">
        <f t="shared" si="15"/>
        <v/>
      </c>
      <c r="T59" s="291" t="str" cm="1">
        <f t="array" ref="T59">_xlfn.IFS(G59="", "", F59 = "", G59, 1, F59*G59)</f>
        <v/>
      </c>
      <c r="U59" s="293" t="str">
        <f t="shared" si="8"/>
        <v/>
      </c>
      <c r="V59" s="105" t="str">
        <f t="shared" si="9"/>
        <v/>
      </c>
      <c r="W59" s="47" t="str">
        <f t="shared" si="10"/>
        <v/>
      </c>
    </row>
    <row r="60" spans="2:23" x14ac:dyDescent="0.25">
      <c r="B60" s="131"/>
      <c r="C60" s="131"/>
      <c r="D60" s="131"/>
      <c r="E60" s="131"/>
      <c r="F60" s="131"/>
      <c r="G60" s="131"/>
      <c r="H60" s="132"/>
      <c r="I60" s="132"/>
      <c r="J60" s="132"/>
      <c r="K60" s="292" t="str">
        <f t="shared" si="11"/>
        <v/>
      </c>
      <c r="L60" s="290" t="str">
        <f t="shared" si="1"/>
        <v/>
      </c>
      <c r="M60" s="290" t="str">
        <f t="shared" si="2"/>
        <v/>
      </c>
      <c r="N60" s="290" t="str">
        <f t="shared" si="3"/>
        <v/>
      </c>
      <c r="O60" s="290" t="str">
        <f t="shared" si="4"/>
        <v/>
      </c>
      <c r="P60" s="290" t="str">
        <f t="shared" si="12"/>
        <v/>
      </c>
      <c r="Q60" s="290" t="str">
        <f t="shared" si="13"/>
        <v/>
      </c>
      <c r="R60" s="290" t="str">
        <f t="shared" si="14"/>
        <v/>
      </c>
      <c r="S60" s="290" t="str">
        <f t="shared" si="15"/>
        <v/>
      </c>
      <c r="T60" s="291" t="str" cm="1">
        <f t="array" ref="T60">_xlfn.IFS(G60="", "", F60 = "", G60, 1, F60*G60)</f>
        <v/>
      </c>
      <c r="U60" s="293" t="str">
        <f t="shared" si="8"/>
        <v/>
      </c>
      <c r="V60" s="105" t="str">
        <f t="shared" si="9"/>
        <v/>
      </c>
      <c r="W60" s="47" t="str">
        <f t="shared" si="10"/>
        <v/>
      </c>
    </row>
    <row r="61" spans="2:23" x14ac:dyDescent="0.25">
      <c r="B61" s="131"/>
      <c r="C61" s="131"/>
      <c r="D61" s="131"/>
      <c r="E61" s="131"/>
      <c r="F61" s="131"/>
      <c r="G61" s="131"/>
      <c r="H61" s="132"/>
      <c r="I61" s="132"/>
      <c r="J61" s="132"/>
      <c r="K61" s="292" t="str">
        <f t="shared" si="11"/>
        <v/>
      </c>
      <c r="L61" s="290" t="str">
        <f t="shared" si="1"/>
        <v/>
      </c>
      <c r="M61" s="290" t="str">
        <f t="shared" si="2"/>
        <v/>
      </c>
      <c r="N61" s="290" t="str">
        <f t="shared" si="3"/>
        <v/>
      </c>
      <c r="O61" s="290" t="str">
        <f t="shared" si="4"/>
        <v/>
      </c>
      <c r="P61" s="290" t="str">
        <f t="shared" si="12"/>
        <v/>
      </c>
      <c r="Q61" s="290" t="str">
        <f t="shared" si="13"/>
        <v/>
      </c>
      <c r="R61" s="290" t="str">
        <f t="shared" si="14"/>
        <v/>
      </c>
      <c r="S61" s="290" t="str">
        <f t="shared" si="15"/>
        <v/>
      </c>
      <c r="T61" s="291" t="str" cm="1">
        <f t="array" ref="T61">_xlfn.IFS(G61="", "", F61 = "", G61, 1, F61*G61)</f>
        <v/>
      </c>
      <c r="U61" s="293" t="str">
        <f t="shared" si="8"/>
        <v/>
      </c>
      <c r="V61" s="105" t="str">
        <f t="shared" si="9"/>
        <v/>
      </c>
      <c r="W61" s="47" t="str">
        <f t="shared" si="10"/>
        <v/>
      </c>
    </row>
    <row r="62" spans="2:23" x14ac:dyDescent="0.25">
      <c r="B62" s="131"/>
      <c r="C62" s="131"/>
      <c r="D62" s="131"/>
      <c r="E62" s="131"/>
      <c r="F62" s="131"/>
      <c r="G62" s="131"/>
      <c r="H62" s="132"/>
      <c r="I62" s="132"/>
      <c r="J62" s="132"/>
      <c r="K62" s="292" t="str">
        <f t="shared" si="11"/>
        <v/>
      </c>
      <c r="L62" s="290" t="str">
        <f t="shared" si="1"/>
        <v/>
      </c>
      <c r="M62" s="290" t="str">
        <f t="shared" si="2"/>
        <v/>
      </c>
      <c r="N62" s="290" t="str">
        <f t="shared" si="3"/>
        <v/>
      </c>
      <c r="O62" s="290" t="str">
        <f t="shared" si="4"/>
        <v/>
      </c>
      <c r="P62" s="290" t="str">
        <f t="shared" si="12"/>
        <v/>
      </c>
      <c r="Q62" s="290" t="str">
        <f t="shared" si="13"/>
        <v/>
      </c>
      <c r="R62" s="290" t="str">
        <f t="shared" si="14"/>
        <v/>
      </c>
      <c r="S62" s="290" t="str">
        <f t="shared" si="15"/>
        <v/>
      </c>
      <c r="T62" s="291" t="str" cm="1">
        <f t="array" ref="T62">_xlfn.IFS(G62="", "", F62 = "", G62, 1, F62*G62)</f>
        <v/>
      </c>
      <c r="U62" s="293" t="str">
        <f t="shared" si="8"/>
        <v/>
      </c>
      <c r="V62" s="105" t="str">
        <f t="shared" si="9"/>
        <v/>
      </c>
      <c r="W62" s="47" t="str">
        <f t="shared" si="10"/>
        <v/>
      </c>
    </row>
    <row r="63" spans="2:23" x14ac:dyDescent="0.25">
      <c r="B63" s="131"/>
      <c r="C63" s="131"/>
      <c r="D63" s="131"/>
      <c r="E63" s="131"/>
      <c r="F63" s="131"/>
      <c r="G63" s="131"/>
      <c r="H63" s="132"/>
      <c r="I63" s="132"/>
      <c r="J63" s="132"/>
      <c r="K63" s="292" t="str">
        <f t="shared" si="11"/>
        <v/>
      </c>
      <c r="L63" s="290" t="str">
        <f t="shared" si="1"/>
        <v/>
      </c>
      <c r="M63" s="290" t="str">
        <f t="shared" si="2"/>
        <v/>
      </c>
      <c r="N63" s="290" t="str">
        <f t="shared" si="3"/>
        <v/>
      </c>
      <c r="O63" s="290" t="str">
        <f t="shared" si="4"/>
        <v/>
      </c>
      <c r="P63" s="290" t="str">
        <f t="shared" si="12"/>
        <v/>
      </c>
      <c r="Q63" s="290" t="str">
        <f t="shared" si="13"/>
        <v/>
      </c>
      <c r="R63" s="290" t="str">
        <f t="shared" si="14"/>
        <v/>
      </c>
      <c r="S63" s="290" t="str">
        <f t="shared" si="15"/>
        <v/>
      </c>
      <c r="T63" s="291" t="str" cm="1">
        <f t="array" ref="T63">_xlfn.IFS(G63="", "", F63 = "", G63, 1, F63*G63)</f>
        <v/>
      </c>
      <c r="U63" s="293" t="str">
        <f t="shared" si="8"/>
        <v/>
      </c>
      <c r="V63" s="105" t="str">
        <f t="shared" si="9"/>
        <v/>
      </c>
      <c r="W63" s="47" t="str">
        <f t="shared" si="10"/>
        <v/>
      </c>
    </row>
    <row r="64" spans="2:23" x14ac:dyDescent="0.25">
      <c r="B64" s="131"/>
      <c r="C64" s="131"/>
      <c r="D64" s="131"/>
      <c r="E64" s="131"/>
      <c r="F64" s="131"/>
      <c r="G64" s="131"/>
      <c r="H64" s="132"/>
      <c r="I64" s="132"/>
      <c r="J64" s="132"/>
      <c r="K64" s="292" t="str">
        <f t="shared" si="11"/>
        <v/>
      </c>
      <c r="L64" s="290" t="str">
        <f t="shared" si="1"/>
        <v/>
      </c>
      <c r="M64" s="290" t="str">
        <f t="shared" si="2"/>
        <v/>
      </c>
      <c r="N64" s="290" t="str">
        <f t="shared" si="3"/>
        <v/>
      </c>
      <c r="O64" s="290" t="str">
        <f t="shared" si="4"/>
        <v/>
      </c>
      <c r="P64" s="290" t="str">
        <f t="shared" si="12"/>
        <v/>
      </c>
      <c r="Q64" s="290" t="str">
        <f t="shared" si="13"/>
        <v/>
      </c>
      <c r="R64" s="290" t="str">
        <f t="shared" si="14"/>
        <v/>
      </c>
      <c r="S64" s="290" t="str">
        <f t="shared" si="15"/>
        <v/>
      </c>
      <c r="T64" s="291" t="str" cm="1">
        <f t="array" ref="T64">_xlfn.IFS(G64="", "", F64 = "", G64, 1, F64*G64)</f>
        <v/>
      </c>
      <c r="U64" s="293" t="str">
        <f t="shared" si="8"/>
        <v/>
      </c>
      <c r="V64" s="105" t="str">
        <f t="shared" si="9"/>
        <v/>
      </c>
      <c r="W64" s="47" t="str">
        <f t="shared" si="10"/>
        <v/>
      </c>
    </row>
    <row r="65" spans="2:23" x14ac:dyDescent="0.25">
      <c r="B65" s="131"/>
      <c r="C65" s="131"/>
      <c r="D65" s="131"/>
      <c r="E65" s="131"/>
      <c r="F65" s="131"/>
      <c r="G65" s="131"/>
      <c r="H65" s="132"/>
      <c r="I65" s="132"/>
      <c r="J65" s="132"/>
      <c r="K65" s="292"/>
      <c r="L65" s="290" t="str">
        <f t="shared" si="1"/>
        <v/>
      </c>
      <c r="M65" s="290" t="str">
        <f t="shared" si="2"/>
        <v/>
      </c>
      <c r="N65" s="290" t="str">
        <f t="shared" si="3"/>
        <v/>
      </c>
      <c r="O65" s="290" t="str">
        <f t="shared" si="4"/>
        <v/>
      </c>
      <c r="P65" s="290" t="str">
        <f t="shared" si="12"/>
        <v/>
      </c>
      <c r="Q65" s="290" t="str">
        <f t="shared" si="13"/>
        <v/>
      </c>
      <c r="R65" s="290" t="str">
        <f t="shared" si="14"/>
        <v/>
      </c>
      <c r="S65" s="290" t="str">
        <f t="shared" si="15"/>
        <v/>
      </c>
      <c r="T65" s="291" t="str" cm="1">
        <f t="array" ref="T65">_xlfn.IFS(G65="", "", F65 = "", G65, 1, F65*G65)</f>
        <v/>
      </c>
      <c r="U65" s="293" t="str">
        <f t="shared" si="8"/>
        <v/>
      </c>
      <c r="V65" s="105" t="str">
        <f t="shared" si="9"/>
        <v/>
      </c>
      <c r="W65" s="47" t="str">
        <f t="shared" si="10"/>
        <v/>
      </c>
    </row>
    <row r="66" spans="2:23" x14ac:dyDescent="0.25">
      <c r="B66" s="131"/>
      <c r="C66" s="131"/>
      <c r="D66" s="131"/>
      <c r="E66" s="131"/>
      <c r="F66" s="131"/>
      <c r="G66" s="131"/>
      <c r="H66" s="132"/>
      <c r="I66" s="132"/>
      <c r="J66" s="132"/>
      <c r="K66" s="292"/>
      <c r="L66" s="290" t="str">
        <f t="shared" si="1"/>
        <v/>
      </c>
      <c r="M66" s="290" t="str">
        <f t="shared" si="2"/>
        <v/>
      </c>
      <c r="N66" s="290" t="str">
        <f t="shared" si="3"/>
        <v/>
      </c>
      <c r="O66" s="290" t="str">
        <f t="shared" si="4"/>
        <v/>
      </c>
      <c r="P66" s="290" t="str">
        <f t="shared" si="12"/>
        <v/>
      </c>
      <c r="Q66" s="290" t="str">
        <f t="shared" si="13"/>
        <v/>
      </c>
      <c r="R66" s="290" t="str">
        <f t="shared" si="14"/>
        <v/>
      </c>
      <c r="S66" s="290" t="str">
        <f t="shared" si="15"/>
        <v/>
      </c>
      <c r="T66" s="291" t="str" cm="1">
        <f t="array" ref="T66">_xlfn.IFS(G66="", "", F66 = "", G66, 1, F66*G66)</f>
        <v/>
      </c>
      <c r="U66" s="293" t="str">
        <f t="shared" si="8"/>
        <v/>
      </c>
      <c r="V66" s="105" t="str">
        <f t="shared" si="9"/>
        <v/>
      </c>
      <c r="W66" s="47" t="str">
        <f t="shared" si="10"/>
        <v/>
      </c>
    </row>
    <row r="67" spans="2:23" x14ac:dyDescent="0.25">
      <c r="B67" s="131"/>
      <c r="C67" s="131"/>
      <c r="D67" s="131"/>
      <c r="E67" s="131"/>
      <c r="F67" s="131"/>
      <c r="G67" s="131"/>
      <c r="H67" s="132"/>
      <c r="I67" s="132"/>
      <c r="J67" s="132"/>
      <c r="K67" s="292"/>
      <c r="L67" s="290" t="str">
        <f t="shared" si="1"/>
        <v/>
      </c>
      <c r="M67" s="290" t="str">
        <f t="shared" si="2"/>
        <v/>
      </c>
      <c r="N67" s="290" t="str">
        <f t="shared" si="3"/>
        <v/>
      </c>
      <c r="O67" s="290" t="str">
        <f t="shared" si="4"/>
        <v/>
      </c>
      <c r="P67" s="290" t="str">
        <f t="shared" si="12"/>
        <v/>
      </c>
      <c r="Q67" s="290" t="str">
        <f t="shared" si="13"/>
        <v/>
      </c>
      <c r="R67" s="290" t="str">
        <f t="shared" si="14"/>
        <v/>
      </c>
      <c r="S67" s="290" t="str">
        <f t="shared" si="15"/>
        <v/>
      </c>
      <c r="T67" s="291" t="str" cm="1">
        <f t="array" ref="T67">_xlfn.IFS(G67="", "", F67 = "", G67, 1, F67*G67)</f>
        <v/>
      </c>
      <c r="U67" s="293" t="str">
        <f t="shared" si="8"/>
        <v/>
      </c>
      <c r="V67" s="105" t="str">
        <f t="shared" si="9"/>
        <v/>
      </c>
      <c r="W67" s="47" t="str">
        <f t="shared" si="10"/>
        <v/>
      </c>
    </row>
    <row r="68" spans="2:23" x14ac:dyDescent="0.25">
      <c r="B68" s="131"/>
      <c r="C68" s="131"/>
      <c r="D68" s="131"/>
      <c r="E68" s="131"/>
      <c r="F68" s="131"/>
      <c r="G68" s="131"/>
      <c r="H68" s="132"/>
      <c r="I68" s="132"/>
      <c r="J68" s="132"/>
      <c r="K68" s="292"/>
      <c r="L68" s="290" t="str">
        <f t="shared" ref="L68:L131" si="16">IF($U68 = "", "", H68/$G68)</f>
        <v/>
      </c>
      <c r="M68" s="290" t="str">
        <f t="shared" ref="M68:M131" si="17">IF($U68 = "", "", I68/$G68)</f>
        <v/>
      </c>
      <c r="N68" s="290" t="str">
        <f t="shared" ref="N68:N131" si="18">IF($U68 = "", "", J68/$G68)</f>
        <v/>
      </c>
      <c r="O68" s="290" t="str">
        <f t="shared" ref="O68:O131" si="19">IF($U68 = "", "", K68/$G68)</f>
        <v/>
      </c>
      <c r="P68" s="290" t="str">
        <f t="shared" si="12"/>
        <v/>
      </c>
      <c r="Q68" s="290" t="str">
        <f t="shared" si="13"/>
        <v/>
      </c>
      <c r="R68" s="290" t="str">
        <f t="shared" si="14"/>
        <v/>
      </c>
      <c r="S68" s="290" t="str">
        <f t="shared" si="15"/>
        <v/>
      </c>
      <c r="T68" s="291" t="str" cm="1">
        <f t="array" ref="T68">_xlfn.IFS(G68="", "", F68 = "", G68, 1, F68*G68)</f>
        <v/>
      </c>
      <c r="U68" s="293" t="str">
        <f t="shared" si="8"/>
        <v/>
      </c>
      <c r="V68" s="105" t="str">
        <f t="shared" si="9"/>
        <v/>
      </c>
      <c r="W68" s="47" t="str">
        <f t="shared" si="10"/>
        <v/>
      </c>
    </row>
    <row r="69" spans="2:23" x14ac:dyDescent="0.25">
      <c r="B69" s="131"/>
      <c r="C69" s="131"/>
      <c r="D69" s="131"/>
      <c r="E69" s="131"/>
      <c r="F69" s="131"/>
      <c r="G69" s="131"/>
      <c r="H69" s="132"/>
      <c r="I69" s="132"/>
      <c r="J69" s="132"/>
      <c r="K69" s="292"/>
      <c r="L69" s="290" t="str">
        <f t="shared" si="16"/>
        <v/>
      </c>
      <c r="M69" s="290" t="str">
        <f t="shared" si="17"/>
        <v/>
      </c>
      <c r="N69" s="290" t="str">
        <f t="shared" si="18"/>
        <v/>
      </c>
      <c r="O69" s="290" t="str">
        <f t="shared" si="19"/>
        <v/>
      </c>
      <c r="P69" s="290" t="str">
        <f t="shared" si="12"/>
        <v/>
      </c>
      <c r="Q69" s="290" t="str">
        <f t="shared" si="13"/>
        <v/>
      </c>
      <c r="R69" s="290" t="str">
        <f t="shared" si="14"/>
        <v/>
      </c>
      <c r="S69" s="290" t="str">
        <f t="shared" si="15"/>
        <v/>
      </c>
      <c r="T69" s="291" t="str" cm="1">
        <f t="array" ref="T69">_xlfn.IFS(G69="", "", F69 = "", G69, 1, F69*G69)</f>
        <v/>
      </c>
      <c r="U69" s="293" t="str">
        <f t="shared" ref="U69:U132" si="20">IF(AND(B69="", C69="", E69=""), "", IF(OR(B69=0,B69=""),E69,B69 &amp; " Bed / " &amp;C69&amp; " Bath " &amp;E69))</f>
        <v/>
      </c>
      <c r="V69" s="105" t="str">
        <f t="shared" ref="V69:V132" si="21">IF(U69= "", "", B69)</f>
        <v/>
      </c>
      <c r="W69" s="47" t="str">
        <f t="shared" si="10"/>
        <v/>
      </c>
    </row>
    <row r="70" spans="2:23" x14ac:dyDescent="0.25">
      <c r="B70" s="131"/>
      <c r="C70" s="131"/>
      <c r="D70" s="131"/>
      <c r="E70" s="131"/>
      <c r="F70" s="131"/>
      <c r="G70" s="131"/>
      <c r="H70" s="132"/>
      <c r="I70" s="132"/>
      <c r="J70" s="132"/>
      <c r="K70" s="292"/>
      <c r="L70" s="290" t="str">
        <f t="shared" si="16"/>
        <v/>
      </c>
      <c r="M70" s="290" t="str">
        <f t="shared" si="17"/>
        <v/>
      </c>
      <c r="N70" s="290" t="str">
        <f t="shared" si="18"/>
        <v/>
      </c>
      <c r="O70" s="290" t="str">
        <f t="shared" si="19"/>
        <v/>
      </c>
      <c r="P70" s="290" t="str">
        <f t="shared" si="12"/>
        <v/>
      </c>
      <c r="Q70" s="290" t="str">
        <f t="shared" si="13"/>
        <v/>
      </c>
      <c r="R70" s="290" t="str">
        <f t="shared" si="14"/>
        <v/>
      </c>
      <c r="S70" s="290" t="str">
        <f t="shared" si="15"/>
        <v/>
      </c>
      <c r="T70" s="291" t="str" cm="1">
        <f t="array" ref="T70">_xlfn.IFS(G70="", "", F70 = "", G70, 1, F70*G70)</f>
        <v/>
      </c>
      <c r="U70" s="293" t="str">
        <f t="shared" si="20"/>
        <v/>
      </c>
      <c r="V70" s="105" t="str">
        <f t="shared" si="21"/>
        <v/>
      </c>
      <c r="W70" s="47" t="str">
        <f t="shared" ref="W70:W133" si="22">IF(AND(B70="", C70="", E70=""), "", IF(OR(B70=0,B70=""),E70,B70 &amp; " Bed / " &amp;C70&amp; " Bath "))</f>
        <v/>
      </c>
    </row>
    <row r="71" spans="2:23" x14ac:dyDescent="0.25">
      <c r="B71" s="131"/>
      <c r="C71" s="131"/>
      <c r="D71" s="131"/>
      <c r="E71" s="131"/>
      <c r="F71" s="131"/>
      <c r="G71" s="131"/>
      <c r="H71" s="132"/>
      <c r="I71" s="132"/>
      <c r="J71" s="132"/>
      <c r="K71" s="292"/>
      <c r="L71" s="290" t="str">
        <f t="shared" si="16"/>
        <v/>
      </c>
      <c r="M71" s="290" t="str">
        <f t="shared" si="17"/>
        <v/>
      </c>
      <c r="N71" s="290" t="str">
        <f t="shared" si="18"/>
        <v/>
      </c>
      <c r="O71" s="290" t="str">
        <f t="shared" si="19"/>
        <v/>
      </c>
      <c r="P71" s="290" t="str">
        <f t="shared" ref="P71:P134" si="23">IF(L71="", "", L71*12)</f>
        <v/>
      </c>
      <c r="Q71" s="290" t="str">
        <f t="shared" ref="Q71:Q134" si="24">IF(M71="", "", M71*12)</f>
        <v/>
      </c>
      <c r="R71" s="290" t="str">
        <f t="shared" ref="R71:R134" si="25">IF(N71="", "", N71*12)</f>
        <v/>
      </c>
      <c r="S71" s="290" t="str">
        <f t="shared" ref="S71:S134" si="26">IF(O71="", "", O71*12)</f>
        <v/>
      </c>
      <c r="T71" s="291" t="str" cm="1">
        <f t="array" ref="T71">_xlfn.IFS(G71="", "", F71 = "", G71, 1, F71*G71)</f>
        <v/>
      </c>
      <c r="U71" s="293" t="str">
        <f t="shared" si="20"/>
        <v/>
      </c>
      <c r="V71" s="105" t="str">
        <f t="shared" si="21"/>
        <v/>
      </c>
      <c r="W71" s="47" t="str">
        <f t="shared" si="22"/>
        <v/>
      </c>
    </row>
    <row r="72" spans="2:23" x14ac:dyDescent="0.25">
      <c r="B72" s="131"/>
      <c r="C72" s="131"/>
      <c r="D72" s="131"/>
      <c r="E72" s="131"/>
      <c r="F72" s="131"/>
      <c r="G72" s="131"/>
      <c r="H72" s="132"/>
      <c r="I72" s="132"/>
      <c r="J72" s="132"/>
      <c r="K72" s="292"/>
      <c r="L72" s="290" t="str">
        <f t="shared" si="16"/>
        <v/>
      </c>
      <c r="M72" s="290" t="str">
        <f t="shared" si="17"/>
        <v/>
      </c>
      <c r="N72" s="290" t="str">
        <f t="shared" si="18"/>
        <v/>
      </c>
      <c r="O72" s="290" t="str">
        <f t="shared" si="19"/>
        <v/>
      </c>
      <c r="P72" s="290" t="str">
        <f t="shared" si="23"/>
        <v/>
      </c>
      <c r="Q72" s="290" t="str">
        <f t="shared" si="24"/>
        <v/>
      </c>
      <c r="R72" s="290" t="str">
        <f t="shared" si="25"/>
        <v/>
      </c>
      <c r="S72" s="290" t="str">
        <f t="shared" si="26"/>
        <v/>
      </c>
      <c r="T72" s="291" t="str" cm="1">
        <f t="array" ref="T72">_xlfn.IFS(G72="", "", F72 = "", G72, 1, F72*G72)</f>
        <v/>
      </c>
      <c r="U72" s="293" t="str">
        <f t="shared" si="20"/>
        <v/>
      </c>
      <c r="V72" s="105" t="str">
        <f t="shared" si="21"/>
        <v/>
      </c>
      <c r="W72" s="47" t="str">
        <f t="shared" si="22"/>
        <v/>
      </c>
    </row>
    <row r="73" spans="2:23" x14ac:dyDescent="0.25">
      <c r="B73" s="131"/>
      <c r="C73" s="131"/>
      <c r="D73" s="131"/>
      <c r="E73" s="131"/>
      <c r="F73" s="131"/>
      <c r="G73" s="131"/>
      <c r="H73" s="132"/>
      <c r="I73" s="132"/>
      <c r="J73" s="132"/>
      <c r="K73" s="292"/>
      <c r="L73" s="290" t="str">
        <f t="shared" si="16"/>
        <v/>
      </c>
      <c r="M73" s="290" t="str">
        <f t="shared" si="17"/>
        <v/>
      </c>
      <c r="N73" s="290" t="str">
        <f t="shared" si="18"/>
        <v/>
      </c>
      <c r="O73" s="290" t="str">
        <f t="shared" si="19"/>
        <v/>
      </c>
      <c r="P73" s="290" t="str">
        <f t="shared" si="23"/>
        <v/>
      </c>
      <c r="Q73" s="290" t="str">
        <f t="shared" si="24"/>
        <v/>
      </c>
      <c r="R73" s="290" t="str">
        <f t="shared" si="25"/>
        <v/>
      </c>
      <c r="S73" s="290" t="str">
        <f t="shared" si="26"/>
        <v/>
      </c>
      <c r="T73" s="291" t="str" cm="1">
        <f t="array" ref="T73">_xlfn.IFS(G73="", "", F73 = "", G73, 1, F73*G73)</f>
        <v/>
      </c>
      <c r="U73" s="293" t="str">
        <f t="shared" si="20"/>
        <v/>
      </c>
      <c r="V73" s="105" t="str">
        <f t="shared" si="21"/>
        <v/>
      </c>
      <c r="W73" s="47" t="str">
        <f t="shared" si="22"/>
        <v/>
      </c>
    </row>
    <row r="74" spans="2:23" x14ac:dyDescent="0.25">
      <c r="B74" s="131"/>
      <c r="C74" s="131"/>
      <c r="D74" s="131"/>
      <c r="E74" s="131"/>
      <c r="F74" s="131"/>
      <c r="G74" s="131"/>
      <c r="H74" s="132"/>
      <c r="I74" s="132"/>
      <c r="J74" s="132"/>
      <c r="K74" s="292"/>
      <c r="L74" s="290" t="str">
        <f t="shared" si="16"/>
        <v/>
      </c>
      <c r="M74" s="290" t="str">
        <f t="shared" si="17"/>
        <v/>
      </c>
      <c r="N74" s="290" t="str">
        <f t="shared" si="18"/>
        <v/>
      </c>
      <c r="O74" s="290" t="str">
        <f t="shared" si="19"/>
        <v/>
      </c>
      <c r="P74" s="290" t="str">
        <f t="shared" si="23"/>
        <v/>
      </c>
      <c r="Q74" s="290" t="str">
        <f t="shared" si="24"/>
        <v/>
      </c>
      <c r="R74" s="290" t="str">
        <f t="shared" si="25"/>
        <v/>
      </c>
      <c r="S74" s="290" t="str">
        <f t="shared" si="26"/>
        <v/>
      </c>
      <c r="T74" s="291" t="str" cm="1">
        <f t="array" ref="T74">_xlfn.IFS(G74="", "", F74 = "", G74, 1, F74*G74)</f>
        <v/>
      </c>
      <c r="U74" s="293" t="str">
        <f t="shared" si="20"/>
        <v/>
      </c>
      <c r="V74" s="105" t="str">
        <f t="shared" si="21"/>
        <v/>
      </c>
      <c r="W74" s="47" t="str">
        <f t="shared" si="22"/>
        <v/>
      </c>
    </row>
    <row r="75" spans="2:23" x14ac:dyDescent="0.25">
      <c r="B75" s="131"/>
      <c r="C75" s="131"/>
      <c r="D75" s="131"/>
      <c r="E75" s="131"/>
      <c r="F75" s="131"/>
      <c r="G75" s="131"/>
      <c r="H75" s="132"/>
      <c r="I75" s="132"/>
      <c r="J75" s="132"/>
      <c r="K75" s="292"/>
      <c r="L75" s="290" t="str">
        <f t="shared" si="16"/>
        <v/>
      </c>
      <c r="M75" s="290" t="str">
        <f t="shared" si="17"/>
        <v/>
      </c>
      <c r="N75" s="290" t="str">
        <f t="shared" si="18"/>
        <v/>
      </c>
      <c r="O75" s="290" t="str">
        <f t="shared" si="19"/>
        <v/>
      </c>
      <c r="P75" s="290" t="str">
        <f t="shared" si="23"/>
        <v/>
      </c>
      <c r="Q75" s="290" t="str">
        <f t="shared" si="24"/>
        <v/>
      </c>
      <c r="R75" s="290" t="str">
        <f t="shared" si="25"/>
        <v/>
      </c>
      <c r="S75" s="290" t="str">
        <f t="shared" si="26"/>
        <v/>
      </c>
      <c r="T75" s="291" t="str" cm="1">
        <f t="array" ref="T75">_xlfn.IFS(G75="", "", F75 = "", G75, 1, F75*G75)</f>
        <v/>
      </c>
      <c r="U75" s="293" t="str">
        <f t="shared" si="20"/>
        <v/>
      </c>
      <c r="V75" s="105" t="str">
        <f t="shared" si="21"/>
        <v/>
      </c>
      <c r="W75" s="47" t="str">
        <f t="shared" si="22"/>
        <v/>
      </c>
    </row>
    <row r="76" spans="2:23" x14ac:dyDescent="0.25">
      <c r="B76" s="131"/>
      <c r="C76" s="131"/>
      <c r="D76" s="131"/>
      <c r="E76" s="131"/>
      <c r="F76" s="131"/>
      <c r="G76" s="131"/>
      <c r="H76" s="132"/>
      <c r="I76" s="132"/>
      <c r="J76" s="132"/>
      <c r="K76" s="292"/>
      <c r="L76" s="290" t="str">
        <f t="shared" si="16"/>
        <v/>
      </c>
      <c r="M76" s="290" t="str">
        <f t="shared" si="17"/>
        <v/>
      </c>
      <c r="N76" s="290" t="str">
        <f t="shared" si="18"/>
        <v/>
      </c>
      <c r="O76" s="290" t="str">
        <f t="shared" si="19"/>
        <v/>
      </c>
      <c r="P76" s="290" t="str">
        <f t="shared" si="23"/>
        <v/>
      </c>
      <c r="Q76" s="290" t="str">
        <f t="shared" si="24"/>
        <v/>
      </c>
      <c r="R76" s="290" t="str">
        <f t="shared" si="25"/>
        <v/>
      </c>
      <c r="S76" s="290" t="str">
        <f t="shared" si="26"/>
        <v/>
      </c>
      <c r="T76" s="291" t="str" cm="1">
        <f t="array" ref="T76">_xlfn.IFS(G76="", "", F76 = "", G76, 1, F76*G76)</f>
        <v/>
      </c>
      <c r="U76" s="293" t="str">
        <f t="shared" si="20"/>
        <v/>
      </c>
      <c r="V76" s="105" t="str">
        <f t="shared" si="21"/>
        <v/>
      </c>
      <c r="W76" s="47" t="str">
        <f t="shared" si="22"/>
        <v/>
      </c>
    </row>
    <row r="77" spans="2:23" x14ac:dyDescent="0.25">
      <c r="B77" s="131"/>
      <c r="C77" s="131"/>
      <c r="D77" s="131"/>
      <c r="E77" s="131"/>
      <c r="F77" s="131"/>
      <c r="G77" s="131"/>
      <c r="H77" s="132"/>
      <c r="I77" s="132"/>
      <c r="J77" s="132"/>
      <c r="K77" s="292"/>
      <c r="L77" s="290" t="str">
        <f t="shared" si="16"/>
        <v/>
      </c>
      <c r="M77" s="290" t="str">
        <f t="shared" si="17"/>
        <v/>
      </c>
      <c r="N77" s="290" t="str">
        <f t="shared" si="18"/>
        <v/>
      </c>
      <c r="O77" s="290" t="str">
        <f t="shared" si="19"/>
        <v/>
      </c>
      <c r="P77" s="290" t="str">
        <f t="shared" si="23"/>
        <v/>
      </c>
      <c r="Q77" s="290" t="str">
        <f t="shared" si="24"/>
        <v/>
      </c>
      <c r="R77" s="290" t="str">
        <f t="shared" si="25"/>
        <v/>
      </c>
      <c r="S77" s="290" t="str">
        <f t="shared" si="26"/>
        <v/>
      </c>
      <c r="T77" s="291" t="str" cm="1">
        <f t="array" ref="T77">_xlfn.IFS(G77="", "", F77 = "", G77, 1, F77*G77)</f>
        <v/>
      </c>
      <c r="U77" s="293" t="str">
        <f t="shared" si="20"/>
        <v/>
      </c>
      <c r="V77" s="105" t="str">
        <f t="shared" si="21"/>
        <v/>
      </c>
      <c r="W77" s="47" t="str">
        <f t="shared" si="22"/>
        <v/>
      </c>
    </row>
    <row r="78" spans="2:23" x14ac:dyDescent="0.25">
      <c r="B78" s="131"/>
      <c r="C78" s="131"/>
      <c r="D78" s="131"/>
      <c r="E78" s="131"/>
      <c r="F78" s="131"/>
      <c r="G78" s="131"/>
      <c r="H78" s="132"/>
      <c r="I78" s="132"/>
      <c r="J78" s="132"/>
      <c r="K78" s="292" t="str">
        <f t="shared" ref="K78:K134" si="27">IF(G78= "", "", IF(H78=0,I78,H78))</f>
        <v/>
      </c>
      <c r="L78" s="290" t="str">
        <f t="shared" si="16"/>
        <v/>
      </c>
      <c r="M78" s="290" t="str">
        <f t="shared" si="17"/>
        <v/>
      </c>
      <c r="N78" s="290" t="str">
        <f t="shared" si="18"/>
        <v/>
      </c>
      <c r="O78" s="290" t="str">
        <f t="shared" si="19"/>
        <v/>
      </c>
      <c r="P78" s="290" t="str">
        <f t="shared" si="23"/>
        <v/>
      </c>
      <c r="Q78" s="290" t="str">
        <f t="shared" si="24"/>
        <v/>
      </c>
      <c r="R78" s="290" t="str">
        <f t="shared" si="25"/>
        <v/>
      </c>
      <c r="S78" s="290" t="str">
        <f t="shared" si="26"/>
        <v/>
      </c>
      <c r="T78" s="291" t="str" cm="1">
        <f t="array" ref="T78">_xlfn.IFS(G78="", "", F78 = "", G78, 1, F78*G78)</f>
        <v/>
      </c>
      <c r="U78" s="293" t="str">
        <f t="shared" si="20"/>
        <v/>
      </c>
      <c r="V78" s="105" t="str">
        <f t="shared" si="21"/>
        <v/>
      </c>
      <c r="W78" s="47" t="str">
        <f t="shared" si="22"/>
        <v/>
      </c>
    </row>
    <row r="79" spans="2:23" x14ac:dyDescent="0.25">
      <c r="B79" s="131"/>
      <c r="C79" s="131"/>
      <c r="D79" s="131"/>
      <c r="E79" s="131"/>
      <c r="F79" s="131"/>
      <c r="G79" s="131"/>
      <c r="H79" s="132"/>
      <c r="I79" s="132"/>
      <c r="J79" s="132"/>
      <c r="K79" s="292" t="str">
        <f t="shared" si="27"/>
        <v/>
      </c>
      <c r="L79" s="290" t="str">
        <f t="shared" si="16"/>
        <v/>
      </c>
      <c r="M79" s="290" t="str">
        <f t="shared" si="17"/>
        <v/>
      </c>
      <c r="N79" s="290" t="str">
        <f t="shared" si="18"/>
        <v/>
      </c>
      <c r="O79" s="290" t="str">
        <f t="shared" si="19"/>
        <v/>
      </c>
      <c r="P79" s="290" t="str">
        <f t="shared" si="23"/>
        <v/>
      </c>
      <c r="Q79" s="290" t="str">
        <f t="shared" si="24"/>
        <v/>
      </c>
      <c r="R79" s="290" t="str">
        <f t="shared" si="25"/>
        <v/>
      </c>
      <c r="S79" s="290" t="str">
        <f t="shared" si="26"/>
        <v/>
      </c>
      <c r="T79" s="291" t="str" cm="1">
        <f t="array" ref="T79">_xlfn.IFS(G79="", "", F79 = "", G79, 1, F79*G79)</f>
        <v/>
      </c>
      <c r="U79" s="293" t="str">
        <f t="shared" si="20"/>
        <v/>
      </c>
      <c r="V79" s="105" t="str">
        <f t="shared" si="21"/>
        <v/>
      </c>
      <c r="W79" s="47" t="str">
        <f t="shared" si="22"/>
        <v/>
      </c>
    </row>
    <row r="80" spans="2:23" x14ac:dyDescent="0.25">
      <c r="B80" s="131"/>
      <c r="C80" s="131"/>
      <c r="D80" s="131"/>
      <c r="E80" s="131"/>
      <c r="F80" s="131"/>
      <c r="G80" s="131"/>
      <c r="H80" s="132"/>
      <c r="I80" s="132"/>
      <c r="J80" s="132"/>
      <c r="K80" s="292" t="str">
        <f t="shared" si="27"/>
        <v/>
      </c>
      <c r="L80" s="290" t="str">
        <f t="shared" si="16"/>
        <v/>
      </c>
      <c r="M80" s="290" t="str">
        <f t="shared" si="17"/>
        <v/>
      </c>
      <c r="N80" s="290" t="str">
        <f t="shared" si="18"/>
        <v/>
      </c>
      <c r="O80" s="290" t="str">
        <f t="shared" si="19"/>
        <v/>
      </c>
      <c r="P80" s="290" t="str">
        <f t="shared" si="23"/>
        <v/>
      </c>
      <c r="Q80" s="290" t="str">
        <f t="shared" si="24"/>
        <v/>
      </c>
      <c r="R80" s="290" t="str">
        <f t="shared" si="25"/>
        <v/>
      </c>
      <c r="S80" s="290" t="str">
        <f t="shared" si="26"/>
        <v/>
      </c>
      <c r="T80" s="291" t="str" cm="1">
        <f t="array" ref="T80">_xlfn.IFS(G80="", "", F80 = "", G80, 1, F80*G80)</f>
        <v/>
      </c>
      <c r="U80" s="293" t="str">
        <f t="shared" si="20"/>
        <v/>
      </c>
      <c r="V80" s="105" t="str">
        <f t="shared" si="21"/>
        <v/>
      </c>
      <c r="W80" s="47" t="str">
        <f t="shared" si="22"/>
        <v/>
      </c>
    </row>
    <row r="81" spans="2:23" x14ac:dyDescent="0.25">
      <c r="B81" s="131"/>
      <c r="C81" s="131"/>
      <c r="D81" s="131"/>
      <c r="E81" s="131"/>
      <c r="F81" s="131"/>
      <c r="G81" s="131"/>
      <c r="H81" s="132"/>
      <c r="I81" s="132"/>
      <c r="J81" s="132"/>
      <c r="K81" s="292" t="str">
        <f t="shared" si="27"/>
        <v/>
      </c>
      <c r="L81" s="290" t="str">
        <f t="shared" si="16"/>
        <v/>
      </c>
      <c r="M81" s="290" t="str">
        <f t="shared" si="17"/>
        <v/>
      </c>
      <c r="N81" s="290" t="str">
        <f t="shared" si="18"/>
        <v/>
      </c>
      <c r="O81" s="290" t="str">
        <f t="shared" si="19"/>
        <v/>
      </c>
      <c r="P81" s="290" t="str">
        <f t="shared" si="23"/>
        <v/>
      </c>
      <c r="Q81" s="290" t="str">
        <f t="shared" si="24"/>
        <v/>
      </c>
      <c r="R81" s="290" t="str">
        <f t="shared" si="25"/>
        <v/>
      </c>
      <c r="S81" s="290" t="str">
        <f t="shared" si="26"/>
        <v/>
      </c>
      <c r="T81" s="291" t="str" cm="1">
        <f t="array" ref="T81">_xlfn.IFS(G81="", "", F81 = "", G81, 1, F81*G81)</f>
        <v/>
      </c>
      <c r="U81" s="293" t="str">
        <f t="shared" si="20"/>
        <v/>
      </c>
      <c r="V81" s="105" t="str">
        <f t="shared" si="21"/>
        <v/>
      </c>
      <c r="W81" s="47" t="str">
        <f t="shared" si="22"/>
        <v/>
      </c>
    </row>
    <row r="82" spans="2:23" x14ac:dyDescent="0.25">
      <c r="B82" s="131"/>
      <c r="C82" s="131"/>
      <c r="D82" s="131"/>
      <c r="E82" s="131"/>
      <c r="F82" s="131"/>
      <c r="G82" s="131"/>
      <c r="H82" s="132"/>
      <c r="I82" s="132"/>
      <c r="J82" s="132"/>
      <c r="K82" s="292" t="str">
        <f t="shared" si="27"/>
        <v/>
      </c>
      <c r="L82" s="290" t="str">
        <f t="shared" si="16"/>
        <v/>
      </c>
      <c r="M82" s="290" t="str">
        <f t="shared" si="17"/>
        <v/>
      </c>
      <c r="N82" s="290" t="str">
        <f t="shared" si="18"/>
        <v/>
      </c>
      <c r="O82" s="290" t="str">
        <f t="shared" si="19"/>
        <v/>
      </c>
      <c r="P82" s="290" t="str">
        <f t="shared" si="23"/>
        <v/>
      </c>
      <c r="Q82" s="290" t="str">
        <f t="shared" si="24"/>
        <v/>
      </c>
      <c r="R82" s="290" t="str">
        <f t="shared" si="25"/>
        <v/>
      </c>
      <c r="S82" s="290" t="str">
        <f t="shared" si="26"/>
        <v/>
      </c>
      <c r="T82" s="291" t="str" cm="1">
        <f t="array" ref="T82">_xlfn.IFS(G82="", "", F82 = "", G82, 1, F82*G82)</f>
        <v/>
      </c>
      <c r="U82" s="293" t="str">
        <f t="shared" si="20"/>
        <v/>
      </c>
      <c r="V82" s="105" t="str">
        <f t="shared" si="21"/>
        <v/>
      </c>
      <c r="W82" s="47" t="str">
        <f t="shared" si="22"/>
        <v/>
      </c>
    </row>
    <row r="83" spans="2:23" x14ac:dyDescent="0.25">
      <c r="B83" s="131"/>
      <c r="C83" s="131"/>
      <c r="D83" s="131"/>
      <c r="E83" s="131"/>
      <c r="F83" s="131"/>
      <c r="G83" s="131"/>
      <c r="H83" s="132"/>
      <c r="I83" s="132"/>
      <c r="J83" s="132"/>
      <c r="K83" s="292" t="str">
        <f t="shared" si="27"/>
        <v/>
      </c>
      <c r="L83" s="290" t="str">
        <f t="shared" si="16"/>
        <v/>
      </c>
      <c r="M83" s="290" t="str">
        <f t="shared" si="17"/>
        <v/>
      </c>
      <c r="N83" s="290" t="str">
        <f t="shared" si="18"/>
        <v/>
      </c>
      <c r="O83" s="290" t="str">
        <f t="shared" si="19"/>
        <v/>
      </c>
      <c r="P83" s="290" t="str">
        <f t="shared" si="23"/>
        <v/>
      </c>
      <c r="Q83" s="290" t="str">
        <f t="shared" si="24"/>
        <v/>
      </c>
      <c r="R83" s="290" t="str">
        <f t="shared" si="25"/>
        <v/>
      </c>
      <c r="S83" s="290" t="str">
        <f t="shared" si="26"/>
        <v/>
      </c>
      <c r="T83" s="291" t="str" cm="1">
        <f t="array" ref="T83">_xlfn.IFS(G83="", "", F83 = "", G83, 1, F83*G83)</f>
        <v/>
      </c>
      <c r="U83" s="293" t="str">
        <f t="shared" si="20"/>
        <v/>
      </c>
      <c r="V83" s="105" t="str">
        <f t="shared" si="21"/>
        <v/>
      </c>
      <c r="W83" s="47" t="str">
        <f t="shared" si="22"/>
        <v/>
      </c>
    </row>
    <row r="84" spans="2:23" x14ac:dyDescent="0.25">
      <c r="B84" s="131"/>
      <c r="C84" s="131"/>
      <c r="D84" s="131"/>
      <c r="E84" s="131"/>
      <c r="F84" s="131"/>
      <c r="G84" s="131"/>
      <c r="H84" s="132"/>
      <c r="I84" s="132"/>
      <c r="J84" s="132"/>
      <c r="K84" s="292" t="str">
        <f t="shared" si="27"/>
        <v/>
      </c>
      <c r="L84" s="290" t="str">
        <f t="shared" si="16"/>
        <v/>
      </c>
      <c r="M84" s="290" t="str">
        <f t="shared" si="17"/>
        <v/>
      </c>
      <c r="N84" s="290" t="str">
        <f t="shared" si="18"/>
        <v/>
      </c>
      <c r="O84" s="290" t="str">
        <f t="shared" si="19"/>
        <v/>
      </c>
      <c r="P84" s="290" t="str">
        <f t="shared" si="23"/>
        <v/>
      </c>
      <c r="Q84" s="290" t="str">
        <f t="shared" si="24"/>
        <v/>
      </c>
      <c r="R84" s="290" t="str">
        <f t="shared" si="25"/>
        <v/>
      </c>
      <c r="S84" s="290" t="str">
        <f t="shared" si="26"/>
        <v/>
      </c>
      <c r="T84" s="291" t="str" cm="1">
        <f t="array" ref="T84">_xlfn.IFS(G84="", "", F84 = "", G84, 1, F84*G84)</f>
        <v/>
      </c>
      <c r="U84" s="293" t="str">
        <f t="shared" si="20"/>
        <v/>
      </c>
      <c r="V84" s="105" t="str">
        <f t="shared" si="21"/>
        <v/>
      </c>
      <c r="W84" s="47" t="str">
        <f t="shared" si="22"/>
        <v/>
      </c>
    </row>
    <row r="85" spans="2:23" x14ac:dyDescent="0.25">
      <c r="B85" s="131"/>
      <c r="C85" s="131"/>
      <c r="D85" s="131"/>
      <c r="E85" s="131"/>
      <c r="F85" s="131"/>
      <c r="G85" s="131"/>
      <c r="H85" s="132"/>
      <c r="I85" s="132"/>
      <c r="J85" s="132"/>
      <c r="K85" s="292" t="str">
        <f t="shared" si="27"/>
        <v/>
      </c>
      <c r="L85" s="290" t="str">
        <f t="shared" si="16"/>
        <v/>
      </c>
      <c r="M85" s="290" t="str">
        <f t="shared" si="17"/>
        <v/>
      </c>
      <c r="N85" s="290" t="str">
        <f t="shared" si="18"/>
        <v/>
      </c>
      <c r="O85" s="290" t="str">
        <f t="shared" si="19"/>
        <v/>
      </c>
      <c r="P85" s="290" t="str">
        <f t="shared" si="23"/>
        <v/>
      </c>
      <c r="Q85" s="290" t="str">
        <f t="shared" si="24"/>
        <v/>
      </c>
      <c r="R85" s="290" t="str">
        <f t="shared" si="25"/>
        <v/>
      </c>
      <c r="S85" s="290" t="str">
        <f t="shared" si="26"/>
        <v/>
      </c>
      <c r="T85" s="291" t="str" cm="1">
        <f t="array" ref="T85">_xlfn.IFS(G85="", "", F85 = "", G85, 1, F85*G85)</f>
        <v/>
      </c>
      <c r="U85" s="293" t="str">
        <f t="shared" si="20"/>
        <v/>
      </c>
      <c r="V85" s="105" t="str">
        <f t="shared" si="21"/>
        <v/>
      </c>
      <c r="W85" s="47" t="str">
        <f t="shared" si="22"/>
        <v/>
      </c>
    </row>
    <row r="86" spans="2:23" x14ac:dyDescent="0.25">
      <c r="B86" s="131"/>
      <c r="C86" s="131"/>
      <c r="D86" s="131"/>
      <c r="E86" s="131"/>
      <c r="F86" s="131"/>
      <c r="G86" s="131"/>
      <c r="H86" s="132"/>
      <c r="I86" s="132"/>
      <c r="J86" s="132"/>
      <c r="K86" s="292" t="str">
        <f t="shared" si="27"/>
        <v/>
      </c>
      <c r="L86" s="290" t="str">
        <f t="shared" si="16"/>
        <v/>
      </c>
      <c r="M86" s="290" t="str">
        <f t="shared" si="17"/>
        <v/>
      </c>
      <c r="N86" s="290" t="str">
        <f t="shared" si="18"/>
        <v/>
      </c>
      <c r="O86" s="290" t="str">
        <f t="shared" si="19"/>
        <v/>
      </c>
      <c r="P86" s="290" t="str">
        <f t="shared" si="23"/>
        <v/>
      </c>
      <c r="Q86" s="290" t="str">
        <f t="shared" si="24"/>
        <v/>
      </c>
      <c r="R86" s="290" t="str">
        <f t="shared" si="25"/>
        <v/>
      </c>
      <c r="S86" s="290" t="str">
        <f t="shared" si="26"/>
        <v/>
      </c>
      <c r="T86" s="291" t="str" cm="1">
        <f t="array" ref="T86">_xlfn.IFS(G86="", "", F86 = "", G86, 1, F86*G86)</f>
        <v/>
      </c>
      <c r="U86" s="293" t="str">
        <f t="shared" si="20"/>
        <v/>
      </c>
      <c r="V86" s="105" t="str">
        <f t="shared" si="21"/>
        <v/>
      </c>
      <c r="W86" s="47" t="str">
        <f t="shared" si="22"/>
        <v/>
      </c>
    </row>
    <row r="87" spans="2:23" x14ac:dyDescent="0.25">
      <c r="B87" s="131"/>
      <c r="C87" s="131"/>
      <c r="D87" s="131"/>
      <c r="E87" s="131"/>
      <c r="F87" s="131"/>
      <c r="G87" s="131"/>
      <c r="H87" s="132"/>
      <c r="I87" s="132"/>
      <c r="J87" s="132"/>
      <c r="K87" s="292" t="str">
        <f t="shared" si="27"/>
        <v/>
      </c>
      <c r="L87" s="290" t="str">
        <f t="shared" si="16"/>
        <v/>
      </c>
      <c r="M87" s="290" t="str">
        <f t="shared" si="17"/>
        <v/>
      </c>
      <c r="N87" s="290" t="str">
        <f t="shared" si="18"/>
        <v/>
      </c>
      <c r="O87" s="290" t="str">
        <f t="shared" si="19"/>
        <v/>
      </c>
      <c r="P87" s="290" t="str">
        <f t="shared" si="23"/>
        <v/>
      </c>
      <c r="Q87" s="290" t="str">
        <f t="shared" si="24"/>
        <v/>
      </c>
      <c r="R87" s="290" t="str">
        <f t="shared" si="25"/>
        <v/>
      </c>
      <c r="S87" s="290" t="str">
        <f t="shared" si="26"/>
        <v/>
      </c>
      <c r="T87" s="291" t="str" cm="1">
        <f t="array" ref="T87">_xlfn.IFS(G87="", "", F87 = "", G87, 1, F87*G87)</f>
        <v/>
      </c>
      <c r="U87" s="293" t="str">
        <f t="shared" si="20"/>
        <v/>
      </c>
      <c r="V87" s="105" t="str">
        <f t="shared" si="21"/>
        <v/>
      </c>
      <c r="W87" s="47" t="str">
        <f t="shared" si="22"/>
        <v/>
      </c>
    </row>
    <row r="88" spans="2:23" x14ac:dyDescent="0.25">
      <c r="B88" s="131"/>
      <c r="C88" s="131"/>
      <c r="D88" s="131"/>
      <c r="E88" s="131"/>
      <c r="F88" s="131"/>
      <c r="G88" s="131"/>
      <c r="H88" s="132"/>
      <c r="I88" s="132"/>
      <c r="J88" s="132"/>
      <c r="K88" s="292" t="str">
        <f t="shared" si="27"/>
        <v/>
      </c>
      <c r="L88" s="290" t="str">
        <f t="shared" si="16"/>
        <v/>
      </c>
      <c r="M88" s="290" t="str">
        <f t="shared" si="17"/>
        <v/>
      </c>
      <c r="N88" s="290" t="str">
        <f t="shared" si="18"/>
        <v/>
      </c>
      <c r="O88" s="290" t="str">
        <f t="shared" si="19"/>
        <v/>
      </c>
      <c r="P88" s="290" t="str">
        <f t="shared" si="23"/>
        <v/>
      </c>
      <c r="Q88" s="290" t="str">
        <f t="shared" si="24"/>
        <v/>
      </c>
      <c r="R88" s="290" t="str">
        <f t="shared" si="25"/>
        <v/>
      </c>
      <c r="S88" s="290" t="str">
        <f t="shared" si="26"/>
        <v/>
      </c>
      <c r="T88" s="291" t="str" cm="1">
        <f t="array" ref="T88">_xlfn.IFS(G88="", "", F88 = "", G88, 1, F88*G88)</f>
        <v/>
      </c>
      <c r="U88" s="293" t="str">
        <f t="shared" si="20"/>
        <v/>
      </c>
      <c r="V88" s="105" t="str">
        <f t="shared" si="21"/>
        <v/>
      </c>
      <c r="W88" s="47" t="str">
        <f t="shared" si="22"/>
        <v/>
      </c>
    </row>
    <row r="89" spans="2:23" x14ac:dyDescent="0.25">
      <c r="B89" s="131"/>
      <c r="C89" s="131"/>
      <c r="D89" s="131"/>
      <c r="E89" s="131"/>
      <c r="F89" s="131"/>
      <c r="G89" s="131"/>
      <c r="H89" s="132"/>
      <c r="I89" s="132"/>
      <c r="J89" s="132"/>
      <c r="K89" s="292" t="str">
        <f t="shared" si="27"/>
        <v/>
      </c>
      <c r="L89" s="290" t="str">
        <f t="shared" si="16"/>
        <v/>
      </c>
      <c r="M89" s="290" t="str">
        <f t="shared" si="17"/>
        <v/>
      </c>
      <c r="N89" s="290" t="str">
        <f t="shared" si="18"/>
        <v/>
      </c>
      <c r="O89" s="290" t="str">
        <f t="shared" si="19"/>
        <v/>
      </c>
      <c r="P89" s="290" t="str">
        <f t="shared" si="23"/>
        <v/>
      </c>
      <c r="Q89" s="290" t="str">
        <f t="shared" si="24"/>
        <v/>
      </c>
      <c r="R89" s="290" t="str">
        <f t="shared" si="25"/>
        <v/>
      </c>
      <c r="S89" s="290" t="str">
        <f t="shared" si="26"/>
        <v/>
      </c>
      <c r="T89" s="291" t="str" cm="1">
        <f t="array" ref="T89">_xlfn.IFS(G89="", "", F89 = "", G89, 1, F89*G89)</f>
        <v/>
      </c>
      <c r="U89" s="293" t="str">
        <f t="shared" si="20"/>
        <v/>
      </c>
      <c r="V89" s="105" t="str">
        <f t="shared" si="21"/>
        <v/>
      </c>
      <c r="W89" s="47" t="str">
        <f t="shared" si="22"/>
        <v/>
      </c>
    </row>
    <row r="90" spans="2:23" x14ac:dyDescent="0.25">
      <c r="B90" s="131"/>
      <c r="C90" s="131"/>
      <c r="D90" s="131"/>
      <c r="E90" s="131"/>
      <c r="F90" s="131"/>
      <c r="G90" s="131"/>
      <c r="H90" s="132"/>
      <c r="I90" s="132"/>
      <c r="J90" s="132"/>
      <c r="K90" s="292" t="str">
        <f t="shared" si="27"/>
        <v/>
      </c>
      <c r="L90" s="290" t="str">
        <f t="shared" si="16"/>
        <v/>
      </c>
      <c r="M90" s="290" t="str">
        <f t="shared" si="17"/>
        <v/>
      </c>
      <c r="N90" s="290" t="str">
        <f t="shared" si="18"/>
        <v/>
      </c>
      <c r="O90" s="290" t="str">
        <f t="shared" si="19"/>
        <v/>
      </c>
      <c r="P90" s="290" t="str">
        <f t="shared" si="23"/>
        <v/>
      </c>
      <c r="Q90" s="290" t="str">
        <f t="shared" si="24"/>
        <v/>
      </c>
      <c r="R90" s="290" t="str">
        <f t="shared" si="25"/>
        <v/>
      </c>
      <c r="S90" s="290" t="str">
        <f t="shared" si="26"/>
        <v/>
      </c>
      <c r="T90" s="291" t="str" cm="1">
        <f t="array" ref="T90">_xlfn.IFS(G90="", "", F90 = "", G90, 1, F90*G90)</f>
        <v/>
      </c>
      <c r="U90" s="293" t="str">
        <f t="shared" si="20"/>
        <v/>
      </c>
      <c r="V90" s="105" t="str">
        <f t="shared" si="21"/>
        <v/>
      </c>
      <c r="W90" s="47" t="str">
        <f t="shared" si="22"/>
        <v/>
      </c>
    </row>
    <row r="91" spans="2:23" x14ac:dyDescent="0.25">
      <c r="B91" s="131"/>
      <c r="C91" s="131"/>
      <c r="D91" s="131"/>
      <c r="E91" s="131"/>
      <c r="F91" s="131"/>
      <c r="G91" s="131"/>
      <c r="H91" s="132"/>
      <c r="I91" s="132"/>
      <c r="J91" s="132"/>
      <c r="K91" s="292" t="str">
        <f t="shared" si="27"/>
        <v/>
      </c>
      <c r="L91" s="290" t="str">
        <f t="shared" si="16"/>
        <v/>
      </c>
      <c r="M91" s="290" t="str">
        <f t="shared" si="17"/>
        <v/>
      </c>
      <c r="N91" s="290" t="str">
        <f t="shared" si="18"/>
        <v/>
      </c>
      <c r="O91" s="290" t="str">
        <f t="shared" si="19"/>
        <v/>
      </c>
      <c r="P91" s="290" t="str">
        <f t="shared" si="23"/>
        <v/>
      </c>
      <c r="Q91" s="290" t="str">
        <f t="shared" si="24"/>
        <v/>
      </c>
      <c r="R91" s="290" t="str">
        <f t="shared" si="25"/>
        <v/>
      </c>
      <c r="S91" s="290" t="str">
        <f t="shared" si="26"/>
        <v/>
      </c>
      <c r="T91" s="291" t="str" cm="1">
        <f t="array" ref="T91">_xlfn.IFS(G91="", "", F91 = "", G91, 1, F91*G91)</f>
        <v/>
      </c>
      <c r="U91" s="293" t="str">
        <f t="shared" si="20"/>
        <v/>
      </c>
      <c r="V91" s="105" t="str">
        <f t="shared" si="21"/>
        <v/>
      </c>
      <c r="W91" s="47" t="str">
        <f t="shared" si="22"/>
        <v/>
      </c>
    </row>
    <row r="92" spans="2:23" x14ac:dyDescent="0.25">
      <c r="B92" s="131"/>
      <c r="C92" s="131"/>
      <c r="D92" s="131"/>
      <c r="E92" s="131"/>
      <c r="F92" s="131"/>
      <c r="G92" s="131"/>
      <c r="H92" s="132"/>
      <c r="I92" s="132"/>
      <c r="J92" s="132"/>
      <c r="K92" s="292" t="str">
        <f t="shared" si="27"/>
        <v/>
      </c>
      <c r="L92" s="290" t="str">
        <f t="shared" si="16"/>
        <v/>
      </c>
      <c r="M92" s="290" t="str">
        <f t="shared" si="17"/>
        <v/>
      </c>
      <c r="N92" s="290" t="str">
        <f t="shared" si="18"/>
        <v/>
      </c>
      <c r="O92" s="290" t="str">
        <f t="shared" si="19"/>
        <v/>
      </c>
      <c r="P92" s="290" t="str">
        <f t="shared" si="23"/>
        <v/>
      </c>
      <c r="Q92" s="290" t="str">
        <f t="shared" si="24"/>
        <v/>
      </c>
      <c r="R92" s="290" t="str">
        <f t="shared" si="25"/>
        <v/>
      </c>
      <c r="S92" s="290" t="str">
        <f t="shared" si="26"/>
        <v/>
      </c>
      <c r="T92" s="291" t="str" cm="1">
        <f t="array" ref="T92">_xlfn.IFS(G92="", "", F92 = "", G92, 1, F92*G92)</f>
        <v/>
      </c>
      <c r="U92" s="293" t="str">
        <f t="shared" si="20"/>
        <v/>
      </c>
      <c r="V92" s="105" t="str">
        <f t="shared" si="21"/>
        <v/>
      </c>
      <c r="W92" s="47" t="str">
        <f t="shared" si="22"/>
        <v/>
      </c>
    </row>
    <row r="93" spans="2:23" x14ac:dyDescent="0.25">
      <c r="B93" s="131"/>
      <c r="C93" s="131"/>
      <c r="D93" s="131"/>
      <c r="E93" s="131"/>
      <c r="F93" s="131"/>
      <c r="G93" s="131"/>
      <c r="H93" s="132"/>
      <c r="I93" s="132"/>
      <c r="J93" s="132"/>
      <c r="K93" s="292" t="str">
        <f t="shared" si="27"/>
        <v/>
      </c>
      <c r="L93" s="290" t="str">
        <f t="shared" si="16"/>
        <v/>
      </c>
      <c r="M93" s="290" t="str">
        <f t="shared" si="17"/>
        <v/>
      </c>
      <c r="N93" s="290" t="str">
        <f t="shared" si="18"/>
        <v/>
      </c>
      <c r="O93" s="290" t="str">
        <f t="shared" si="19"/>
        <v/>
      </c>
      <c r="P93" s="290" t="str">
        <f t="shared" si="23"/>
        <v/>
      </c>
      <c r="Q93" s="290" t="str">
        <f t="shared" si="24"/>
        <v/>
      </c>
      <c r="R93" s="290" t="str">
        <f t="shared" si="25"/>
        <v/>
      </c>
      <c r="S93" s="290" t="str">
        <f t="shared" si="26"/>
        <v/>
      </c>
      <c r="T93" s="291" t="str" cm="1">
        <f t="array" ref="T93">_xlfn.IFS(G93="", "", F93 = "", G93, 1, F93*G93)</f>
        <v/>
      </c>
      <c r="U93" s="293" t="str">
        <f t="shared" si="20"/>
        <v/>
      </c>
      <c r="V93" s="105" t="str">
        <f t="shared" si="21"/>
        <v/>
      </c>
      <c r="W93" s="47" t="str">
        <f t="shared" si="22"/>
        <v/>
      </c>
    </row>
    <row r="94" spans="2:23" x14ac:dyDescent="0.25">
      <c r="B94" s="131"/>
      <c r="C94" s="131"/>
      <c r="D94" s="131"/>
      <c r="E94" s="131"/>
      <c r="F94" s="131"/>
      <c r="G94" s="131"/>
      <c r="H94" s="132"/>
      <c r="I94" s="132"/>
      <c r="J94" s="132"/>
      <c r="K94" s="292" t="str">
        <f t="shared" si="27"/>
        <v/>
      </c>
      <c r="L94" s="290" t="str">
        <f t="shared" si="16"/>
        <v/>
      </c>
      <c r="M94" s="290" t="str">
        <f t="shared" si="17"/>
        <v/>
      </c>
      <c r="N94" s="290" t="str">
        <f t="shared" si="18"/>
        <v/>
      </c>
      <c r="O94" s="290" t="str">
        <f t="shared" si="19"/>
        <v/>
      </c>
      <c r="P94" s="290" t="str">
        <f t="shared" si="23"/>
        <v/>
      </c>
      <c r="Q94" s="290" t="str">
        <f t="shared" si="24"/>
        <v/>
      </c>
      <c r="R94" s="290" t="str">
        <f t="shared" si="25"/>
        <v/>
      </c>
      <c r="S94" s="290" t="str">
        <f t="shared" si="26"/>
        <v/>
      </c>
      <c r="T94" s="291" t="str" cm="1">
        <f t="array" ref="T94">_xlfn.IFS(G94="", "", F94 = "", G94, 1, F94*G94)</f>
        <v/>
      </c>
      <c r="U94" s="293" t="str">
        <f t="shared" si="20"/>
        <v/>
      </c>
      <c r="V94" s="105" t="str">
        <f t="shared" si="21"/>
        <v/>
      </c>
      <c r="W94" s="47" t="str">
        <f t="shared" si="22"/>
        <v/>
      </c>
    </row>
    <row r="95" spans="2:23" x14ac:dyDescent="0.25">
      <c r="B95" s="131"/>
      <c r="C95" s="131"/>
      <c r="D95" s="131"/>
      <c r="E95" s="131"/>
      <c r="F95" s="131"/>
      <c r="G95" s="131"/>
      <c r="H95" s="132"/>
      <c r="I95" s="132"/>
      <c r="J95" s="132"/>
      <c r="K95" s="292" t="str">
        <f t="shared" si="27"/>
        <v/>
      </c>
      <c r="L95" s="290" t="str">
        <f t="shared" si="16"/>
        <v/>
      </c>
      <c r="M95" s="290" t="str">
        <f t="shared" si="17"/>
        <v/>
      </c>
      <c r="N95" s="290" t="str">
        <f t="shared" si="18"/>
        <v/>
      </c>
      <c r="O95" s="290" t="str">
        <f t="shared" si="19"/>
        <v/>
      </c>
      <c r="P95" s="290" t="str">
        <f t="shared" si="23"/>
        <v/>
      </c>
      <c r="Q95" s="290" t="str">
        <f t="shared" si="24"/>
        <v/>
      </c>
      <c r="R95" s="290" t="str">
        <f t="shared" si="25"/>
        <v/>
      </c>
      <c r="S95" s="290" t="str">
        <f t="shared" si="26"/>
        <v/>
      </c>
      <c r="T95" s="291" t="str" cm="1">
        <f t="array" ref="T95">_xlfn.IFS(G95="", "", F95 = "", G95, 1, F95*G95)</f>
        <v/>
      </c>
      <c r="U95" s="293" t="str">
        <f t="shared" si="20"/>
        <v/>
      </c>
      <c r="V95" s="105" t="str">
        <f t="shared" si="21"/>
        <v/>
      </c>
      <c r="W95" s="47" t="str">
        <f t="shared" si="22"/>
        <v/>
      </c>
    </row>
    <row r="96" spans="2:23" x14ac:dyDescent="0.25">
      <c r="B96" s="131"/>
      <c r="C96" s="131"/>
      <c r="D96" s="131"/>
      <c r="E96" s="131"/>
      <c r="F96" s="131"/>
      <c r="G96" s="131"/>
      <c r="H96" s="132"/>
      <c r="I96" s="132"/>
      <c r="J96" s="132"/>
      <c r="K96" s="292" t="str">
        <f t="shared" si="27"/>
        <v/>
      </c>
      <c r="L96" s="290" t="str">
        <f t="shared" si="16"/>
        <v/>
      </c>
      <c r="M96" s="290" t="str">
        <f t="shared" si="17"/>
        <v/>
      </c>
      <c r="N96" s="290" t="str">
        <f t="shared" si="18"/>
        <v/>
      </c>
      <c r="O96" s="290" t="str">
        <f t="shared" si="19"/>
        <v/>
      </c>
      <c r="P96" s="290" t="str">
        <f t="shared" si="23"/>
        <v/>
      </c>
      <c r="Q96" s="290" t="str">
        <f t="shared" si="24"/>
        <v/>
      </c>
      <c r="R96" s="290" t="str">
        <f t="shared" si="25"/>
        <v/>
      </c>
      <c r="S96" s="290" t="str">
        <f t="shared" si="26"/>
        <v/>
      </c>
      <c r="T96" s="291" t="str" cm="1">
        <f t="array" ref="T96">_xlfn.IFS(G96="", "", F96 = "", G96, 1, F96*G96)</f>
        <v/>
      </c>
      <c r="U96" s="293" t="str">
        <f t="shared" si="20"/>
        <v/>
      </c>
      <c r="V96" s="105" t="str">
        <f t="shared" si="21"/>
        <v/>
      </c>
      <c r="W96" s="47" t="str">
        <f t="shared" si="22"/>
        <v/>
      </c>
    </row>
    <row r="97" spans="2:23" x14ac:dyDescent="0.25">
      <c r="B97" s="131"/>
      <c r="C97" s="131"/>
      <c r="D97" s="131"/>
      <c r="E97" s="131"/>
      <c r="F97" s="131"/>
      <c r="G97" s="131"/>
      <c r="H97" s="132"/>
      <c r="I97" s="132"/>
      <c r="J97" s="132"/>
      <c r="K97" s="292" t="str">
        <f t="shared" si="27"/>
        <v/>
      </c>
      <c r="L97" s="290" t="str">
        <f t="shared" si="16"/>
        <v/>
      </c>
      <c r="M97" s="290" t="str">
        <f t="shared" si="17"/>
        <v/>
      </c>
      <c r="N97" s="290" t="str">
        <f t="shared" si="18"/>
        <v/>
      </c>
      <c r="O97" s="290" t="str">
        <f t="shared" si="19"/>
        <v/>
      </c>
      <c r="P97" s="290" t="str">
        <f t="shared" si="23"/>
        <v/>
      </c>
      <c r="Q97" s="290" t="str">
        <f t="shared" si="24"/>
        <v/>
      </c>
      <c r="R97" s="290" t="str">
        <f t="shared" si="25"/>
        <v/>
      </c>
      <c r="S97" s="290" t="str">
        <f t="shared" si="26"/>
        <v/>
      </c>
      <c r="T97" s="291" t="str" cm="1">
        <f t="array" ref="T97">_xlfn.IFS(G97="", "", F97 = "", G97, 1, F97*G97)</f>
        <v/>
      </c>
      <c r="U97" s="293" t="str">
        <f t="shared" si="20"/>
        <v/>
      </c>
      <c r="V97" s="105" t="str">
        <f t="shared" si="21"/>
        <v/>
      </c>
      <c r="W97" s="47" t="str">
        <f t="shared" si="22"/>
        <v/>
      </c>
    </row>
    <row r="98" spans="2:23" x14ac:dyDescent="0.25">
      <c r="B98" s="131"/>
      <c r="C98" s="131"/>
      <c r="D98" s="131"/>
      <c r="E98" s="131"/>
      <c r="F98" s="131"/>
      <c r="G98" s="131"/>
      <c r="H98" s="132"/>
      <c r="I98" s="132"/>
      <c r="J98" s="132"/>
      <c r="K98" s="292" t="str">
        <f t="shared" si="27"/>
        <v/>
      </c>
      <c r="L98" s="290" t="str">
        <f t="shared" si="16"/>
        <v/>
      </c>
      <c r="M98" s="290" t="str">
        <f t="shared" si="17"/>
        <v/>
      </c>
      <c r="N98" s="290" t="str">
        <f t="shared" si="18"/>
        <v/>
      </c>
      <c r="O98" s="290" t="str">
        <f t="shared" si="19"/>
        <v/>
      </c>
      <c r="P98" s="290" t="str">
        <f t="shared" si="23"/>
        <v/>
      </c>
      <c r="Q98" s="290" t="str">
        <f t="shared" si="24"/>
        <v/>
      </c>
      <c r="R98" s="290" t="str">
        <f t="shared" si="25"/>
        <v/>
      </c>
      <c r="S98" s="290" t="str">
        <f t="shared" si="26"/>
        <v/>
      </c>
      <c r="T98" s="291" t="str" cm="1">
        <f t="array" ref="T98">_xlfn.IFS(G98="", "", F98 = "", G98, 1, F98*G98)</f>
        <v/>
      </c>
      <c r="U98" s="293" t="str">
        <f t="shared" si="20"/>
        <v/>
      </c>
      <c r="V98" s="105" t="str">
        <f t="shared" si="21"/>
        <v/>
      </c>
      <c r="W98" s="47" t="str">
        <f t="shared" si="22"/>
        <v/>
      </c>
    </row>
    <row r="99" spans="2:23" x14ac:dyDescent="0.25">
      <c r="B99" s="131"/>
      <c r="C99" s="131"/>
      <c r="D99" s="131"/>
      <c r="E99" s="131"/>
      <c r="F99" s="131"/>
      <c r="G99" s="131"/>
      <c r="H99" s="132"/>
      <c r="I99" s="132"/>
      <c r="J99" s="132"/>
      <c r="K99" s="292" t="str">
        <f t="shared" si="27"/>
        <v/>
      </c>
      <c r="L99" s="290" t="str">
        <f t="shared" si="16"/>
        <v/>
      </c>
      <c r="M99" s="290" t="str">
        <f t="shared" si="17"/>
        <v/>
      </c>
      <c r="N99" s="290" t="str">
        <f t="shared" si="18"/>
        <v/>
      </c>
      <c r="O99" s="290" t="str">
        <f t="shared" si="19"/>
        <v/>
      </c>
      <c r="P99" s="290" t="str">
        <f t="shared" si="23"/>
        <v/>
      </c>
      <c r="Q99" s="290" t="str">
        <f t="shared" si="24"/>
        <v/>
      </c>
      <c r="R99" s="290" t="str">
        <f t="shared" si="25"/>
        <v/>
      </c>
      <c r="S99" s="290" t="str">
        <f t="shared" si="26"/>
        <v/>
      </c>
      <c r="T99" s="291" t="str" cm="1">
        <f t="array" ref="T99">_xlfn.IFS(G99="", "", F99 = "", G99, 1, F99*G99)</f>
        <v/>
      </c>
      <c r="U99" s="293" t="str">
        <f t="shared" si="20"/>
        <v/>
      </c>
      <c r="V99" s="105" t="str">
        <f t="shared" si="21"/>
        <v/>
      </c>
      <c r="W99" s="47" t="str">
        <f t="shared" si="22"/>
        <v/>
      </c>
    </row>
    <row r="100" spans="2:23" x14ac:dyDescent="0.25">
      <c r="B100" s="131"/>
      <c r="C100" s="131"/>
      <c r="D100" s="131"/>
      <c r="E100" s="131"/>
      <c r="F100" s="131"/>
      <c r="G100" s="131"/>
      <c r="H100" s="132"/>
      <c r="I100" s="132"/>
      <c r="J100" s="132"/>
      <c r="K100" s="292" t="str">
        <f t="shared" si="27"/>
        <v/>
      </c>
      <c r="L100" s="290" t="str">
        <f t="shared" si="16"/>
        <v/>
      </c>
      <c r="M100" s="290" t="str">
        <f t="shared" si="17"/>
        <v/>
      </c>
      <c r="N100" s="290" t="str">
        <f t="shared" si="18"/>
        <v/>
      </c>
      <c r="O100" s="290" t="str">
        <f t="shared" si="19"/>
        <v/>
      </c>
      <c r="P100" s="290" t="str">
        <f t="shared" si="23"/>
        <v/>
      </c>
      <c r="Q100" s="290" t="str">
        <f t="shared" si="24"/>
        <v/>
      </c>
      <c r="R100" s="290" t="str">
        <f t="shared" si="25"/>
        <v/>
      </c>
      <c r="S100" s="290" t="str">
        <f t="shared" si="26"/>
        <v/>
      </c>
      <c r="T100" s="291" t="str" cm="1">
        <f t="array" ref="T100">_xlfn.IFS(G100="", "", F100 = "", G100, 1, F100*G100)</f>
        <v/>
      </c>
      <c r="U100" s="293" t="str">
        <f t="shared" si="20"/>
        <v/>
      </c>
      <c r="V100" s="105" t="str">
        <f t="shared" si="21"/>
        <v/>
      </c>
      <c r="W100" s="47" t="str">
        <f t="shared" si="22"/>
        <v/>
      </c>
    </row>
    <row r="101" spans="2:23" x14ac:dyDescent="0.25">
      <c r="B101" s="131"/>
      <c r="C101" s="131"/>
      <c r="D101" s="131"/>
      <c r="E101" s="131"/>
      <c r="F101" s="131"/>
      <c r="G101" s="131"/>
      <c r="H101" s="132"/>
      <c r="I101" s="132"/>
      <c r="J101" s="132"/>
      <c r="K101" s="292" t="str">
        <f t="shared" si="27"/>
        <v/>
      </c>
      <c r="L101" s="290" t="str">
        <f t="shared" si="16"/>
        <v/>
      </c>
      <c r="M101" s="290" t="str">
        <f t="shared" si="17"/>
        <v/>
      </c>
      <c r="N101" s="290" t="str">
        <f t="shared" si="18"/>
        <v/>
      </c>
      <c r="O101" s="290" t="str">
        <f t="shared" si="19"/>
        <v/>
      </c>
      <c r="P101" s="290" t="str">
        <f t="shared" si="23"/>
        <v/>
      </c>
      <c r="Q101" s="290" t="str">
        <f t="shared" si="24"/>
        <v/>
      </c>
      <c r="R101" s="290" t="str">
        <f t="shared" si="25"/>
        <v/>
      </c>
      <c r="S101" s="290" t="str">
        <f t="shared" si="26"/>
        <v/>
      </c>
      <c r="T101" s="291" t="str" cm="1">
        <f t="array" ref="T101">_xlfn.IFS(G101="", "", F101 = "", G101, 1, F101*G101)</f>
        <v/>
      </c>
      <c r="U101" s="293" t="str">
        <f t="shared" si="20"/>
        <v/>
      </c>
      <c r="V101" s="105" t="str">
        <f t="shared" si="21"/>
        <v/>
      </c>
      <c r="W101" s="47" t="str">
        <f t="shared" si="22"/>
        <v/>
      </c>
    </row>
    <row r="102" spans="2:23" x14ac:dyDescent="0.25">
      <c r="B102" s="131"/>
      <c r="C102" s="131"/>
      <c r="D102" s="131"/>
      <c r="E102" s="131"/>
      <c r="F102" s="131"/>
      <c r="G102" s="131"/>
      <c r="H102" s="132"/>
      <c r="I102" s="132"/>
      <c r="J102" s="132"/>
      <c r="K102" s="292" t="str">
        <f t="shared" si="27"/>
        <v/>
      </c>
      <c r="L102" s="290" t="str">
        <f t="shared" si="16"/>
        <v/>
      </c>
      <c r="M102" s="290" t="str">
        <f t="shared" si="17"/>
        <v/>
      </c>
      <c r="N102" s="290" t="str">
        <f t="shared" si="18"/>
        <v/>
      </c>
      <c r="O102" s="290" t="str">
        <f t="shared" si="19"/>
        <v/>
      </c>
      <c r="P102" s="290" t="str">
        <f t="shared" si="23"/>
        <v/>
      </c>
      <c r="Q102" s="290" t="str">
        <f t="shared" si="24"/>
        <v/>
      </c>
      <c r="R102" s="290" t="str">
        <f t="shared" si="25"/>
        <v/>
      </c>
      <c r="S102" s="290" t="str">
        <f t="shared" si="26"/>
        <v/>
      </c>
      <c r="T102" s="291" t="str" cm="1">
        <f t="array" ref="T102">_xlfn.IFS(G102="", "", F102 = "", G102, 1, F102*G102)</f>
        <v/>
      </c>
      <c r="U102" s="293" t="str">
        <f t="shared" si="20"/>
        <v/>
      </c>
      <c r="V102" s="105" t="str">
        <f t="shared" si="21"/>
        <v/>
      </c>
      <c r="W102" s="47" t="str">
        <f t="shared" si="22"/>
        <v/>
      </c>
    </row>
    <row r="103" spans="2:23" x14ac:dyDescent="0.25">
      <c r="B103" s="131"/>
      <c r="C103" s="131"/>
      <c r="D103" s="131"/>
      <c r="E103" s="131"/>
      <c r="F103" s="131"/>
      <c r="G103" s="131"/>
      <c r="H103" s="132"/>
      <c r="I103" s="132"/>
      <c r="J103" s="132"/>
      <c r="K103" s="292" t="str">
        <f t="shared" si="27"/>
        <v/>
      </c>
      <c r="L103" s="290" t="str">
        <f t="shared" si="16"/>
        <v/>
      </c>
      <c r="M103" s="290" t="str">
        <f t="shared" si="17"/>
        <v/>
      </c>
      <c r="N103" s="290" t="str">
        <f t="shared" si="18"/>
        <v/>
      </c>
      <c r="O103" s="290" t="str">
        <f t="shared" si="19"/>
        <v/>
      </c>
      <c r="P103" s="290" t="str">
        <f t="shared" si="23"/>
        <v/>
      </c>
      <c r="Q103" s="290" t="str">
        <f t="shared" si="24"/>
        <v/>
      </c>
      <c r="R103" s="290" t="str">
        <f t="shared" si="25"/>
        <v/>
      </c>
      <c r="S103" s="290" t="str">
        <f t="shared" si="26"/>
        <v/>
      </c>
      <c r="T103" s="291" t="str" cm="1">
        <f t="array" ref="T103">_xlfn.IFS(G103="", "", F103 = "", G103, 1, F103*G103)</f>
        <v/>
      </c>
      <c r="U103" s="293" t="str">
        <f t="shared" si="20"/>
        <v/>
      </c>
      <c r="V103" s="105" t="str">
        <f t="shared" si="21"/>
        <v/>
      </c>
      <c r="W103" s="47" t="str">
        <f t="shared" si="22"/>
        <v/>
      </c>
    </row>
    <row r="104" spans="2:23" x14ac:dyDescent="0.25">
      <c r="B104" s="131"/>
      <c r="C104" s="131"/>
      <c r="D104" s="131"/>
      <c r="E104" s="131"/>
      <c r="F104" s="131"/>
      <c r="G104" s="131"/>
      <c r="H104" s="132"/>
      <c r="I104" s="132"/>
      <c r="J104" s="132"/>
      <c r="K104" s="292" t="str">
        <f t="shared" si="27"/>
        <v/>
      </c>
      <c r="L104" s="290" t="str">
        <f t="shared" si="16"/>
        <v/>
      </c>
      <c r="M104" s="290" t="str">
        <f t="shared" si="17"/>
        <v/>
      </c>
      <c r="N104" s="290" t="str">
        <f t="shared" si="18"/>
        <v/>
      </c>
      <c r="O104" s="290" t="str">
        <f t="shared" si="19"/>
        <v/>
      </c>
      <c r="P104" s="290" t="str">
        <f t="shared" si="23"/>
        <v/>
      </c>
      <c r="Q104" s="290" t="str">
        <f t="shared" si="24"/>
        <v/>
      </c>
      <c r="R104" s="290" t="str">
        <f t="shared" si="25"/>
        <v/>
      </c>
      <c r="S104" s="290" t="str">
        <f t="shared" si="26"/>
        <v/>
      </c>
      <c r="T104" s="291" t="str" cm="1">
        <f t="array" ref="T104">_xlfn.IFS(G104="", "", F104 = "", G104, 1, F104*G104)</f>
        <v/>
      </c>
      <c r="U104" s="293" t="str">
        <f t="shared" si="20"/>
        <v/>
      </c>
      <c r="V104" s="105" t="str">
        <f t="shared" si="21"/>
        <v/>
      </c>
      <c r="W104" s="47" t="str">
        <f t="shared" si="22"/>
        <v/>
      </c>
    </row>
    <row r="105" spans="2:23" x14ac:dyDescent="0.25">
      <c r="B105" s="131"/>
      <c r="C105" s="131"/>
      <c r="D105" s="131"/>
      <c r="E105" s="131"/>
      <c r="F105" s="131"/>
      <c r="G105" s="131"/>
      <c r="H105" s="132"/>
      <c r="I105" s="132"/>
      <c r="J105" s="132"/>
      <c r="K105" s="292" t="str">
        <f t="shared" si="27"/>
        <v/>
      </c>
      <c r="L105" s="290" t="str">
        <f t="shared" si="16"/>
        <v/>
      </c>
      <c r="M105" s="290" t="str">
        <f t="shared" si="17"/>
        <v/>
      </c>
      <c r="N105" s="290" t="str">
        <f t="shared" si="18"/>
        <v/>
      </c>
      <c r="O105" s="290" t="str">
        <f t="shared" si="19"/>
        <v/>
      </c>
      <c r="P105" s="290" t="str">
        <f t="shared" si="23"/>
        <v/>
      </c>
      <c r="Q105" s="290" t="str">
        <f t="shared" si="24"/>
        <v/>
      </c>
      <c r="R105" s="290" t="str">
        <f t="shared" si="25"/>
        <v/>
      </c>
      <c r="S105" s="290" t="str">
        <f t="shared" si="26"/>
        <v/>
      </c>
      <c r="T105" s="291" t="str" cm="1">
        <f t="array" ref="T105">_xlfn.IFS(G105="", "", F105 = "", G105, 1, F105*G105)</f>
        <v/>
      </c>
      <c r="U105" s="293" t="str">
        <f t="shared" si="20"/>
        <v/>
      </c>
      <c r="V105" s="105" t="str">
        <f t="shared" si="21"/>
        <v/>
      </c>
      <c r="W105" s="47" t="str">
        <f t="shared" si="22"/>
        <v/>
      </c>
    </row>
    <row r="106" spans="2:23" x14ac:dyDescent="0.25">
      <c r="B106" s="131"/>
      <c r="C106" s="131"/>
      <c r="D106" s="131"/>
      <c r="E106" s="131"/>
      <c r="F106" s="131"/>
      <c r="G106" s="131"/>
      <c r="H106" s="132"/>
      <c r="I106" s="132"/>
      <c r="J106" s="132"/>
      <c r="K106" s="292" t="str">
        <f t="shared" si="27"/>
        <v/>
      </c>
      <c r="L106" s="290" t="str">
        <f t="shared" si="16"/>
        <v/>
      </c>
      <c r="M106" s="290" t="str">
        <f t="shared" si="17"/>
        <v/>
      </c>
      <c r="N106" s="290" t="str">
        <f t="shared" si="18"/>
        <v/>
      </c>
      <c r="O106" s="290" t="str">
        <f t="shared" si="19"/>
        <v/>
      </c>
      <c r="P106" s="290" t="str">
        <f t="shared" si="23"/>
        <v/>
      </c>
      <c r="Q106" s="290" t="str">
        <f t="shared" si="24"/>
        <v/>
      </c>
      <c r="R106" s="290" t="str">
        <f t="shared" si="25"/>
        <v/>
      </c>
      <c r="S106" s="290" t="str">
        <f t="shared" si="26"/>
        <v/>
      </c>
      <c r="T106" s="291" t="str" cm="1">
        <f t="array" ref="T106">_xlfn.IFS(G106="", "", F106 = "", G106, 1, F106*G106)</f>
        <v/>
      </c>
      <c r="U106" s="293" t="str">
        <f t="shared" si="20"/>
        <v/>
      </c>
      <c r="V106" s="105" t="str">
        <f t="shared" si="21"/>
        <v/>
      </c>
      <c r="W106" s="47" t="str">
        <f t="shared" si="22"/>
        <v/>
      </c>
    </row>
    <row r="107" spans="2:23" x14ac:dyDescent="0.25">
      <c r="B107" s="131"/>
      <c r="C107" s="131"/>
      <c r="D107" s="131"/>
      <c r="E107" s="131"/>
      <c r="F107" s="131"/>
      <c r="G107" s="131"/>
      <c r="H107" s="132"/>
      <c r="I107" s="132"/>
      <c r="J107" s="132"/>
      <c r="K107" s="292" t="str">
        <f t="shared" si="27"/>
        <v/>
      </c>
      <c r="L107" s="290" t="str">
        <f t="shared" si="16"/>
        <v/>
      </c>
      <c r="M107" s="290" t="str">
        <f t="shared" si="17"/>
        <v/>
      </c>
      <c r="N107" s="290" t="str">
        <f t="shared" si="18"/>
        <v/>
      </c>
      <c r="O107" s="290" t="str">
        <f t="shared" si="19"/>
        <v/>
      </c>
      <c r="P107" s="290" t="str">
        <f t="shared" si="23"/>
        <v/>
      </c>
      <c r="Q107" s="290" t="str">
        <f t="shared" si="24"/>
        <v/>
      </c>
      <c r="R107" s="290" t="str">
        <f t="shared" si="25"/>
        <v/>
      </c>
      <c r="S107" s="290" t="str">
        <f t="shared" si="26"/>
        <v/>
      </c>
      <c r="T107" s="291" t="str" cm="1">
        <f t="array" ref="T107">_xlfn.IFS(G107="", "", F107 = "", G107, 1, F107*G107)</f>
        <v/>
      </c>
      <c r="U107" s="293" t="str">
        <f t="shared" si="20"/>
        <v/>
      </c>
      <c r="V107" s="105" t="str">
        <f t="shared" si="21"/>
        <v/>
      </c>
      <c r="W107" s="47" t="str">
        <f t="shared" si="22"/>
        <v/>
      </c>
    </row>
    <row r="108" spans="2:23" x14ac:dyDescent="0.25">
      <c r="B108" s="131"/>
      <c r="C108" s="131"/>
      <c r="D108" s="131"/>
      <c r="E108" s="131"/>
      <c r="F108" s="131"/>
      <c r="G108" s="131"/>
      <c r="H108" s="132"/>
      <c r="I108" s="132"/>
      <c r="J108" s="132"/>
      <c r="K108" s="292" t="str">
        <f t="shared" si="27"/>
        <v/>
      </c>
      <c r="L108" s="290" t="str">
        <f t="shared" si="16"/>
        <v/>
      </c>
      <c r="M108" s="290" t="str">
        <f t="shared" si="17"/>
        <v/>
      </c>
      <c r="N108" s="290" t="str">
        <f t="shared" si="18"/>
        <v/>
      </c>
      <c r="O108" s="290" t="str">
        <f t="shared" si="19"/>
        <v/>
      </c>
      <c r="P108" s="290" t="str">
        <f t="shared" si="23"/>
        <v/>
      </c>
      <c r="Q108" s="290" t="str">
        <f t="shared" si="24"/>
        <v/>
      </c>
      <c r="R108" s="290" t="str">
        <f t="shared" si="25"/>
        <v/>
      </c>
      <c r="S108" s="290" t="str">
        <f t="shared" si="26"/>
        <v/>
      </c>
      <c r="T108" s="291" t="str" cm="1">
        <f t="array" ref="T108">_xlfn.IFS(G108="", "", F108 = "", G108, 1, F108*G108)</f>
        <v/>
      </c>
      <c r="U108" s="293" t="str">
        <f t="shared" si="20"/>
        <v/>
      </c>
      <c r="V108" s="105" t="str">
        <f t="shared" si="21"/>
        <v/>
      </c>
      <c r="W108" s="47" t="str">
        <f t="shared" si="22"/>
        <v/>
      </c>
    </row>
    <row r="109" spans="2:23" x14ac:dyDescent="0.25">
      <c r="B109" s="131"/>
      <c r="C109" s="131"/>
      <c r="D109" s="131"/>
      <c r="E109" s="131"/>
      <c r="F109" s="131"/>
      <c r="G109" s="131"/>
      <c r="H109" s="132"/>
      <c r="I109" s="132"/>
      <c r="J109" s="132"/>
      <c r="K109" s="292" t="str">
        <f t="shared" si="27"/>
        <v/>
      </c>
      <c r="L109" s="290" t="str">
        <f t="shared" si="16"/>
        <v/>
      </c>
      <c r="M109" s="290" t="str">
        <f t="shared" si="17"/>
        <v/>
      </c>
      <c r="N109" s="290" t="str">
        <f t="shared" si="18"/>
        <v/>
      </c>
      <c r="O109" s="290" t="str">
        <f t="shared" si="19"/>
        <v/>
      </c>
      <c r="P109" s="290" t="str">
        <f t="shared" si="23"/>
        <v/>
      </c>
      <c r="Q109" s="290" t="str">
        <f t="shared" si="24"/>
        <v/>
      </c>
      <c r="R109" s="290" t="str">
        <f t="shared" si="25"/>
        <v/>
      </c>
      <c r="S109" s="290" t="str">
        <f t="shared" si="26"/>
        <v/>
      </c>
      <c r="T109" s="291" t="str" cm="1">
        <f t="array" ref="T109">_xlfn.IFS(G109="", "", F109 = "", G109, 1, F109*G109)</f>
        <v/>
      </c>
      <c r="U109" s="293" t="str">
        <f t="shared" si="20"/>
        <v/>
      </c>
      <c r="V109" s="105" t="str">
        <f t="shared" si="21"/>
        <v/>
      </c>
      <c r="W109" s="47" t="str">
        <f t="shared" si="22"/>
        <v/>
      </c>
    </row>
    <row r="110" spans="2:23" x14ac:dyDescent="0.25">
      <c r="B110" s="131"/>
      <c r="C110" s="131"/>
      <c r="D110" s="131"/>
      <c r="E110" s="131"/>
      <c r="F110" s="131"/>
      <c r="G110" s="131"/>
      <c r="H110" s="132"/>
      <c r="I110" s="132"/>
      <c r="J110" s="132"/>
      <c r="K110" s="292" t="str">
        <f t="shared" si="27"/>
        <v/>
      </c>
      <c r="L110" s="290" t="str">
        <f t="shared" si="16"/>
        <v/>
      </c>
      <c r="M110" s="290" t="str">
        <f t="shared" si="17"/>
        <v/>
      </c>
      <c r="N110" s="290" t="str">
        <f t="shared" si="18"/>
        <v/>
      </c>
      <c r="O110" s="290" t="str">
        <f t="shared" si="19"/>
        <v/>
      </c>
      <c r="P110" s="290" t="str">
        <f t="shared" si="23"/>
        <v/>
      </c>
      <c r="Q110" s="290" t="str">
        <f t="shared" si="24"/>
        <v/>
      </c>
      <c r="R110" s="290" t="str">
        <f t="shared" si="25"/>
        <v/>
      </c>
      <c r="S110" s="290" t="str">
        <f t="shared" si="26"/>
        <v/>
      </c>
      <c r="T110" s="291" t="str" cm="1">
        <f t="array" ref="T110">_xlfn.IFS(G110="", "", F110 = "", G110, 1, F110*G110)</f>
        <v/>
      </c>
      <c r="U110" s="293" t="str">
        <f t="shared" si="20"/>
        <v/>
      </c>
      <c r="V110" s="105" t="str">
        <f t="shared" si="21"/>
        <v/>
      </c>
      <c r="W110" s="47" t="str">
        <f t="shared" si="22"/>
        <v/>
      </c>
    </row>
    <row r="111" spans="2:23" x14ac:dyDescent="0.25">
      <c r="B111" s="131"/>
      <c r="C111" s="131"/>
      <c r="D111" s="131"/>
      <c r="E111" s="131"/>
      <c r="F111" s="131"/>
      <c r="G111" s="131"/>
      <c r="H111" s="132"/>
      <c r="I111" s="132"/>
      <c r="J111" s="132"/>
      <c r="K111" s="292" t="str">
        <f t="shared" si="27"/>
        <v/>
      </c>
      <c r="L111" s="290" t="str">
        <f t="shared" si="16"/>
        <v/>
      </c>
      <c r="M111" s="290" t="str">
        <f t="shared" si="17"/>
        <v/>
      </c>
      <c r="N111" s="290" t="str">
        <f t="shared" si="18"/>
        <v/>
      </c>
      <c r="O111" s="290" t="str">
        <f t="shared" si="19"/>
        <v/>
      </c>
      <c r="P111" s="290" t="str">
        <f t="shared" si="23"/>
        <v/>
      </c>
      <c r="Q111" s="290" t="str">
        <f t="shared" si="24"/>
        <v/>
      </c>
      <c r="R111" s="290" t="str">
        <f t="shared" si="25"/>
        <v/>
      </c>
      <c r="S111" s="290" t="str">
        <f t="shared" si="26"/>
        <v/>
      </c>
      <c r="T111" s="291" t="str" cm="1">
        <f t="array" ref="T111">_xlfn.IFS(G111="", "", F111 = "", G111, 1, F111*G111)</f>
        <v/>
      </c>
      <c r="U111" s="293" t="str">
        <f t="shared" si="20"/>
        <v/>
      </c>
      <c r="V111" s="105" t="str">
        <f t="shared" si="21"/>
        <v/>
      </c>
      <c r="W111" s="47" t="str">
        <f t="shared" si="22"/>
        <v/>
      </c>
    </row>
    <row r="112" spans="2:23" x14ac:dyDescent="0.25">
      <c r="B112" s="131"/>
      <c r="C112" s="131"/>
      <c r="D112" s="131"/>
      <c r="E112" s="131"/>
      <c r="F112" s="131"/>
      <c r="G112" s="131"/>
      <c r="H112" s="132"/>
      <c r="I112" s="132"/>
      <c r="J112" s="132"/>
      <c r="K112" s="292" t="str">
        <f t="shared" si="27"/>
        <v/>
      </c>
      <c r="L112" s="290" t="str">
        <f t="shared" si="16"/>
        <v/>
      </c>
      <c r="M112" s="290" t="str">
        <f t="shared" si="17"/>
        <v/>
      </c>
      <c r="N112" s="290" t="str">
        <f t="shared" si="18"/>
        <v/>
      </c>
      <c r="O112" s="290" t="str">
        <f t="shared" si="19"/>
        <v/>
      </c>
      <c r="P112" s="290" t="str">
        <f t="shared" si="23"/>
        <v/>
      </c>
      <c r="Q112" s="290" t="str">
        <f t="shared" si="24"/>
        <v/>
      </c>
      <c r="R112" s="290" t="str">
        <f t="shared" si="25"/>
        <v/>
      </c>
      <c r="S112" s="290" t="str">
        <f t="shared" si="26"/>
        <v/>
      </c>
      <c r="T112" s="291" t="str" cm="1">
        <f t="array" ref="T112">_xlfn.IFS(G112="", "", F112 = "", G112, 1, F112*G112)</f>
        <v/>
      </c>
      <c r="U112" s="293" t="str">
        <f t="shared" si="20"/>
        <v/>
      </c>
      <c r="V112" s="105" t="str">
        <f t="shared" si="21"/>
        <v/>
      </c>
      <c r="W112" s="47" t="str">
        <f t="shared" si="22"/>
        <v/>
      </c>
    </row>
    <row r="113" spans="2:23" x14ac:dyDescent="0.25">
      <c r="B113" s="131"/>
      <c r="C113" s="131"/>
      <c r="D113" s="131"/>
      <c r="E113" s="131"/>
      <c r="F113" s="131"/>
      <c r="G113" s="131"/>
      <c r="H113" s="132"/>
      <c r="I113" s="132"/>
      <c r="J113" s="132"/>
      <c r="K113" s="292" t="str">
        <f t="shared" si="27"/>
        <v/>
      </c>
      <c r="L113" s="290" t="str">
        <f t="shared" si="16"/>
        <v/>
      </c>
      <c r="M113" s="290" t="str">
        <f t="shared" si="17"/>
        <v/>
      </c>
      <c r="N113" s="290" t="str">
        <f t="shared" si="18"/>
        <v/>
      </c>
      <c r="O113" s="290" t="str">
        <f t="shared" si="19"/>
        <v/>
      </c>
      <c r="P113" s="290" t="str">
        <f t="shared" si="23"/>
        <v/>
      </c>
      <c r="Q113" s="290" t="str">
        <f t="shared" si="24"/>
        <v/>
      </c>
      <c r="R113" s="290" t="str">
        <f t="shared" si="25"/>
        <v/>
      </c>
      <c r="S113" s="290" t="str">
        <f t="shared" si="26"/>
        <v/>
      </c>
      <c r="T113" s="291" t="str" cm="1">
        <f t="array" ref="T113">_xlfn.IFS(G113="", "", F113 = "", G113, 1, F113*G113)</f>
        <v/>
      </c>
      <c r="U113" s="293" t="str">
        <f t="shared" si="20"/>
        <v/>
      </c>
      <c r="V113" s="105" t="str">
        <f t="shared" si="21"/>
        <v/>
      </c>
      <c r="W113" s="47" t="str">
        <f t="shared" si="22"/>
        <v/>
      </c>
    </row>
    <row r="114" spans="2:23" x14ac:dyDescent="0.25">
      <c r="B114" s="131"/>
      <c r="C114" s="131"/>
      <c r="D114" s="131"/>
      <c r="E114" s="131"/>
      <c r="F114" s="131"/>
      <c r="G114" s="131"/>
      <c r="H114" s="132"/>
      <c r="I114" s="132"/>
      <c r="J114" s="132"/>
      <c r="K114" s="292" t="str">
        <f t="shared" si="27"/>
        <v/>
      </c>
      <c r="L114" s="290" t="str">
        <f t="shared" si="16"/>
        <v/>
      </c>
      <c r="M114" s="290" t="str">
        <f t="shared" si="17"/>
        <v/>
      </c>
      <c r="N114" s="290" t="str">
        <f t="shared" si="18"/>
        <v/>
      </c>
      <c r="O114" s="290" t="str">
        <f t="shared" si="19"/>
        <v/>
      </c>
      <c r="P114" s="290" t="str">
        <f t="shared" si="23"/>
        <v/>
      </c>
      <c r="Q114" s="290" t="str">
        <f t="shared" si="24"/>
        <v/>
      </c>
      <c r="R114" s="290" t="str">
        <f t="shared" si="25"/>
        <v/>
      </c>
      <c r="S114" s="290" t="str">
        <f t="shared" si="26"/>
        <v/>
      </c>
      <c r="T114" s="291" t="str" cm="1">
        <f t="array" ref="T114">_xlfn.IFS(G114="", "", F114 = "", G114, 1, F114*G114)</f>
        <v/>
      </c>
      <c r="U114" s="293" t="str">
        <f t="shared" si="20"/>
        <v/>
      </c>
      <c r="V114" s="105" t="str">
        <f t="shared" si="21"/>
        <v/>
      </c>
      <c r="W114" s="47" t="str">
        <f t="shared" si="22"/>
        <v/>
      </c>
    </row>
    <row r="115" spans="2:23" x14ac:dyDescent="0.25">
      <c r="B115" s="131"/>
      <c r="C115" s="131"/>
      <c r="D115" s="131"/>
      <c r="E115" s="131"/>
      <c r="F115" s="131"/>
      <c r="G115" s="131"/>
      <c r="H115" s="132"/>
      <c r="I115" s="132"/>
      <c r="J115" s="132"/>
      <c r="K115" s="292" t="str">
        <f t="shared" si="27"/>
        <v/>
      </c>
      <c r="L115" s="290" t="str">
        <f t="shared" si="16"/>
        <v/>
      </c>
      <c r="M115" s="290" t="str">
        <f t="shared" si="17"/>
        <v/>
      </c>
      <c r="N115" s="290" t="str">
        <f t="shared" si="18"/>
        <v/>
      </c>
      <c r="O115" s="290" t="str">
        <f t="shared" si="19"/>
        <v/>
      </c>
      <c r="P115" s="290" t="str">
        <f t="shared" si="23"/>
        <v/>
      </c>
      <c r="Q115" s="290" t="str">
        <f t="shared" si="24"/>
        <v/>
      </c>
      <c r="R115" s="290" t="str">
        <f t="shared" si="25"/>
        <v/>
      </c>
      <c r="S115" s="290" t="str">
        <f t="shared" si="26"/>
        <v/>
      </c>
      <c r="T115" s="291" t="str" cm="1">
        <f t="array" ref="T115">_xlfn.IFS(G115="", "", F115 = "", G115, 1, F115*G115)</f>
        <v/>
      </c>
      <c r="U115" s="293" t="str">
        <f t="shared" si="20"/>
        <v/>
      </c>
      <c r="V115" s="105" t="str">
        <f t="shared" si="21"/>
        <v/>
      </c>
      <c r="W115" s="47" t="str">
        <f t="shared" si="22"/>
        <v/>
      </c>
    </row>
    <row r="116" spans="2:23" x14ac:dyDescent="0.25">
      <c r="B116" s="131"/>
      <c r="C116" s="131"/>
      <c r="D116" s="131"/>
      <c r="E116" s="131"/>
      <c r="F116" s="131"/>
      <c r="G116" s="131"/>
      <c r="H116" s="132"/>
      <c r="I116" s="132"/>
      <c r="J116" s="132"/>
      <c r="K116" s="292" t="str">
        <f t="shared" si="27"/>
        <v/>
      </c>
      <c r="L116" s="290" t="str">
        <f t="shared" si="16"/>
        <v/>
      </c>
      <c r="M116" s="290" t="str">
        <f t="shared" si="17"/>
        <v/>
      </c>
      <c r="N116" s="290" t="str">
        <f t="shared" si="18"/>
        <v/>
      </c>
      <c r="O116" s="290" t="str">
        <f t="shared" si="19"/>
        <v/>
      </c>
      <c r="P116" s="290" t="str">
        <f t="shared" si="23"/>
        <v/>
      </c>
      <c r="Q116" s="290" t="str">
        <f t="shared" si="24"/>
        <v/>
      </c>
      <c r="R116" s="290" t="str">
        <f t="shared" si="25"/>
        <v/>
      </c>
      <c r="S116" s="290" t="str">
        <f t="shared" si="26"/>
        <v/>
      </c>
      <c r="T116" s="291" t="str" cm="1">
        <f t="array" ref="T116">_xlfn.IFS(G116="", "", F116 = "", G116, 1, F116*G116)</f>
        <v/>
      </c>
      <c r="U116" s="293" t="str">
        <f t="shared" si="20"/>
        <v/>
      </c>
      <c r="V116" s="105" t="str">
        <f t="shared" si="21"/>
        <v/>
      </c>
      <c r="W116" s="47" t="str">
        <f t="shared" si="22"/>
        <v/>
      </c>
    </row>
    <row r="117" spans="2:23" x14ac:dyDescent="0.25">
      <c r="B117" s="131"/>
      <c r="C117" s="131"/>
      <c r="D117" s="131"/>
      <c r="E117" s="131"/>
      <c r="F117" s="131"/>
      <c r="G117" s="131"/>
      <c r="H117" s="132"/>
      <c r="I117" s="132"/>
      <c r="J117" s="132"/>
      <c r="K117" s="292" t="str">
        <f t="shared" si="27"/>
        <v/>
      </c>
      <c r="L117" s="290" t="str">
        <f t="shared" si="16"/>
        <v/>
      </c>
      <c r="M117" s="290" t="str">
        <f t="shared" si="17"/>
        <v/>
      </c>
      <c r="N117" s="290" t="str">
        <f t="shared" si="18"/>
        <v/>
      </c>
      <c r="O117" s="290" t="str">
        <f t="shared" si="19"/>
        <v/>
      </c>
      <c r="P117" s="290" t="str">
        <f t="shared" si="23"/>
        <v/>
      </c>
      <c r="Q117" s="290" t="str">
        <f t="shared" si="24"/>
        <v/>
      </c>
      <c r="R117" s="290" t="str">
        <f t="shared" si="25"/>
        <v/>
      </c>
      <c r="S117" s="290" t="str">
        <f t="shared" si="26"/>
        <v/>
      </c>
      <c r="T117" s="291" t="str" cm="1">
        <f t="array" ref="T117">_xlfn.IFS(G117="", "", F117 = "", G117, 1, F117*G117)</f>
        <v/>
      </c>
      <c r="U117" s="293" t="str">
        <f t="shared" si="20"/>
        <v/>
      </c>
      <c r="V117" s="105" t="str">
        <f t="shared" si="21"/>
        <v/>
      </c>
      <c r="W117" s="47" t="str">
        <f t="shared" si="22"/>
        <v/>
      </c>
    </row>
    <row r="118" spans="2:23" x14ac:dyDescent="0.25">
      <c r="B118" s="131"/>
      <c r="C118" s="131"/>
      <c r="D118" s="131"/>
      <c r="E118" s="131"/>
      <c r="F118" s="131"/>
      <c r="G118" s="131"/>
      <c r="H118" s="132"/>
      <c r="I118" s="132"/>
      <c r="J118" s="132"/>
      <c r="K118" s="292" t="str">
        <f t="shared" si="27"/>
        <v/>
      </c>
      <c r="L118" s="290" t="str">
        <f t="shared" si="16"/>
        <v/>
      </c>
      <c r="M118" s="290" t="str">
        <f t="shared" si="17"/>
        <v/>
      </c>
      <c r="N118" s="290" t="str">
        <f t="shared" si="18"/>
        <v/>
      </c>
      <c r="O118" s="290" t="str">
        <f t="shared" si="19"/>
        <v/>
      </c>
      <c r="P118" s="290" t="str">
        <f t="shared" si="23"/>
        <v/>
      </c>
      <c r="Q118" s="290" t="str">
        <f t="shared" si="24"/>
        <v/>
      </c>
      <c r="R118" s="290" t="str">
        <f t="shared" si="25"/>
        <v/>
      </c>
      <c r="S118" s="290" t="str">
        <f t="shared" si="26"/>
        <v/>
      </c>
      <c r="T118" s="291" t="str" cm="1">
        <f t="array" ref="T118">_xlfn.IFS(G118="", "", F118 = "", G118, 1, F118*G118)</f>
        <v/>
      </c>
      <c r="U118" s="293" t="str">
        <f t="shared" si="20"/>
        <v/>
      </c>
      <c r="V118" s="105" t="str">
        <f t="shared" si="21"/>
        <v/>
      </c>
      <c r="W118" s="47" t="str">
        <f t="shared" si="22"/>
        <v/>
      </c>
    </row>
    <row r="119" spans="2:23" x14ac:dyDescent="0.25">
      <c r="B119" s="131"/>
      <c r="C119" s="131"/>
      <c r="D119" s="131"/>
      <c r="E119" s="131"/>
      <c r="F119" s="131"/>
      <c r="G119" s="131"/>
      <c r="H119" s="132"/>
      <c r="I119" s="132"/>
      <c r="J119" s="132"/>
      <c r="K119" s="292" t="str">
        <f t="shared" si="27"/>
        <v/>
      </c>
      <c r="L119" s="290" t="str">
        <f t="shared" si="16"/>
        <v/>
      </c>
      <c r="M119" s="290" t="str">
        <f t="shared" si="17"/>
        <v/>
      </c>
      <c r="N119" s="290" t="str">
        <f t="shared" si="18"/>
        <v/>
      </c>
      <c r="O119" s="290" t="str">
        <f t="shared" si="19"/>
        <v/>
      </c>
      <c r="P119" s="290" t="str">
        <f t="shared" si="23"/>
        <v/>
      </c>
      <c r="Q119" s="290" t="str">
        <f t="shared" si="24"/>
        <v/>
      </c>
      <c r="R119" s="290" t="str">
        <f t="shared" si="25"/>
        <v/>
      </c>
      <c r="S119" s="290" t="str">
        <f t="shared" si="26"/>
        <v/>
      </c>
      <c r="T119" s="291" t="str" cm="1">
        <f t="array" ref="T119">_xlfn.IFS(G119="", "", F119 = "", G119, 1, F119*G119)</f>
        <v/>
      </c>
      <c r="U119" s="293" t="str">
        <f t="shared" si="20"/>
        <v/>
      </c>
      <c r="V119" s="105" t="str">
        <f t="shared" si="21"/>
        <v/>
      </c>
      <c r="W119" s="47" t="str">
        <f t="shared" si="22"/>
        <v/>
      </c>
    </row>
    <row r="120" spans="2:23" x14ac:dyDescent="0.25">
      <c r="B120" s="131"/>
      <c r="C120" s="131"/>
      <c r="D120" s="131"/>
      <c r="E120" s="131"/>
      <c r="F120" s="131"/>
      <c r="G120" s="131"/>
      <c r="H120" s="132"/>
      <c r="I120" s="132"/>
      <c r="J120" s="132"/>
      <c r="K120" s="292" t="str">
        <f t="shared" si="27"/>
        <v/>
      </c>
      <c r="L120" s="290" t="str">
        <f t="shared" si="16"/>
        <v/>
      </c>
      <c r="M120" s="290" t="str">
        <f t="shared" si="17"/>
        <v/>
      </c>
      <c r="N120" s="290" t="str">
        <f t="shared" si="18"/>
        <v/>
      </c>
      <c r="O120" s="290" t="str">
        <f t="shared" si="19"/>
        <v/>
      </c>
      <c r="P120" s="290" t="str">
        <f t="shared" si="23"/>
        <v/>
      </c>
      <c r="Q120" s="290" t="str">
        <f t="shared" si="24"/>
        <v/>
      </c>
      <c r="R120" s="290" t="str">
        <f t="shared" si="25"/>
        <v/>
      </c>
      <c r="S120" s="290" t="str">
        <f t="shared" si="26"/>
        <v/>
      </c>
      <c r="T120" s="291" t="str" cm="1">
        <f t="array" ref="T120">_xlfn.IFS(G120="", "", F120 = "", G120, 1, F120*G120)</f>
        <v/>
      </c>
      <c r="U120" s="293" t="str">
        <f t="shared" si="20"/>
        <v/>
      </c>
      <c r="V120" s="105" t="str">
        <f t="shared" si="21"/>
        <v/>
      </c>
      <c r="W120" s="47" t="str">
        <f t="shared" si="22"/>
        <v/>
      </c>
    </row>
    <row r="121" spans="2:23" x14ac:dyDescent="0.25">
      <c r="B121" s="131"/>
      <c r="C121" s="131"/>
      <c r="D121" s="131"/>
      <c r="E121" s="131"/>
      <c r="F121" s="131"/>
      <c r="G121" s="131"/>
      <c r="H121" s="132"/>
      <c r="I121" s="132"/>
      <c r="J121" s="132"/>
      <c r="K121" s="292" t="str">
        <f t="shared" si="27"/>
        <v/>
      </c>
      <c r="L121" s="290" t="str">
        <f t="shared" si="16"/>
        <v/>
      </c>
      <c r="M121" s="290" t="str">
        <f t="shared" si="17"/>
        <v/>
      </c>
      <c r="N121" s="290" t="str">
        <f t="shared" si="18"/>
        <v/>
      </c>
      <c r="O121" s="290" t="str">
        <f t="shared" si="19"/>
        <v/>
      </c>
      <c r="P121" s="290" t="str">
        <f t="shared" si="23"/>
        <v/>
      </c>
      <c r="Q121" s="290" t="str">
        <f t="shared" si="24"/>
        <v/>
      </c>
      <c r="R121" s="290" t="str">
        <f t="shared" si="25"/>
        <v/>
      </c>
      <c r="S121" s="290" t="str">
        <f t="shared" si="26"/>
        <v/>
      </c>
      <c r="T121" s="291" t="str" cm="1">
        <f t="array" ref="T121">_xlfn.IFS(G121="", "", F121 = "", G121, 1, F121*G121)</f>
        <v/>
      </c>
      <c r="U121" s="293" t="str">
        <f t="shared" si="20"/>
        <v/>
      </c>
      <c r="V121" s="105" t="str">
        <f t="shared" si="21"/>
        <v/>
      </c>
      <c r="W121" s="47" t="str">
        <f t="shared" si="22"/>
        <v/>
      </c>
    </row>
    <row r="122" spans="2:23" x14ac:dyDescent="0.25">
      <c r="B122" s="131"/>
      <c r="C122" s="131"/>
      <c r="D122" s="131"/>
      <c r="E122" s="131"/>
      <c r="F122" s="131"/>
      <c r="G122" s="131"/>
      <c r="H122" s="132"/>
      <c r="I122" s="132"/>
      <c r="J122" s="132"/>
      <c r="K122" s="292" t="str">
        <f t="shared" si="27"/>
        <v/>
      </c>
      <c r="L122" s="290" t="str">
        <f t="shared" si="16"/>
        <v/>
      </c>
      <c r="M122" s="290" t="str">
        <f t="shared" si="17"/>
        <v/>
      </c>
      <c r="N122" s="290" t="str">
        <f t="shared" si="18"/>
        <v/>
      </c>
      <c r="O122" s="290" t="str">
        <f t="shared" si="19"/>
        <v/>
      </c>
      <c r="P122" s="290" t="str">
        <f t="shared" si="23"/>
        <v/>
      </c>
      <c r="Q122" s="290" t="str">
        <f t="shared" si="24"/>
        <v/>
      </c>
      <c r="R122" s="290" t="str">
        <f t="shared" si="25"/>
        <v/>
      </c>
      <c r="S122" s="290" t="str">
        <f t="shared" si="26"/>
        <v/>
      </c>
      <c r="T122" s="291" t="str" cm="1">
        <f t="array" ref="T122">_xlfn.IFS(G122="", "", F122 = "", G122, 1, F122*G122)</f>
        <v/>
      </c>
      <c r="U122" s="293" t="str">
        <f t="shared" si="20"/>
        <v/>
      </c>
      <c r="V122" s="105" t="str">
        <f t="shared" si="21"/>
        <v/>
      </c>
      <c r="W122" s="47" t="str">
        <f t="shared" si="22"/>
        <v/>
      </c>
    </row>
    <row r="123" spans="2:23" x14ac:dyDescent="0.25">
      <c r="B123" s="131"/>
      <c r="C123" s="131"/>
      <c r="D123" s="131"/>
      <c r="E123" s="131"/>
      <c r="F123" s="131"/>
      <c r="G123" s="131"/>
      <c r="H123" s="132"/>
      <c r="I123" s="132"/>
      <c r="J123" s="132"/>
      <c r="K123" s="292" t="str">
        <f t="shared" si="27"/>
        <v/>
      </c>
      <c r="L123" s="290" t="str">
        <f t="shared" si="16"/>
        <v/>
      </c>
      <c r="M123" s="290" t="str">
        <f t="shared" si="17"/>
        <v/>
      </c>
      <c r="N123" s="290" t="str">
        <f t="shared" si="18"/>
        <v/>
      </c>
      <c r="O123" s="290" t="str">
        <f t="shared" si="19"/>
        <v/>
      </c>
      <c r="P123" s="290" t="str">
        <f t="shared" si="23"/>
        <v/>
      </c>
      <c r="Q123" s="290" t="str">
        <f t="shared" si="24"/>
        <v/>
      </c>
      <c r="R123" s="290" t="str">
        <f t="shared" si="25"/>
        <v/>
      </c>
      <c r="S123" s="290" t="str">
        <f t="shared" si="26"/>
        <v/>
      </c>
      <c r="T123" s="291" t="str" cm="1">
        <f t="array" ref="T123">_xlfn.IFS(G123="", "", F123 = "", G123, 1, F123*G123)</f>
        <v/>
      </c>
      <c r="U123" s="293" t="str">
        <f t="shared" si="20"/>
        <v/>
      </c>
      <c r="V123" s="105" t="str">
        <f t="shared" si="21"/>
        <v/>
      </c>
      <c r="W123" s="47" t="str">
        <f t="shared" si="22"/>
        <v/>
      </c>
    </row>
    <row r="124" spans="2:23" x14ac:dyDescent="0.25">
      <c r="B124" s="131"/>
      <c r="C124" s="131"/>
      <c r="D124" s="131"/>
      <c r="E124" s="131"/>
      <c r="F124" s="131"/>
      <c r="G124" s="131"/>
      <c r="H124" s="132"/>
      <c r="I124" s="132"/>
      <c r="J124" s="132"/>
      <c r="K124" s="292" t="str">
        <f t="shared" si="27"/>
        <v/>
      </c>
      <c r="L124" s="290" t="str">
        <f t="shared" si="16"/>
        <v/>
      </c>
      <c r="M124" s="290" t="str">
        <f t="shared" si="17"/>
        <v/>
      </c>
      <c r="N124" s="290" t="str">
        <f t="shared" si="18"/>
        <v/>
      </c>
      <c r="O124" s="290" t="str">
        <f t="shared" si="19"/>
        <v/>
      </c>
      <c r="P124" s="290" t="str">
        <f t="shared" si="23"/>
        <v/>
      </c>
      <c r="Q124" s="290" t="str">
        <f t="shared" si="24"/>
        <v/>
      </c>
      <c r="R124" s="290" t="str">
        <f t="shared" si="25"/>
        <v/>
      </c>
      <c r="S124" s="290" t="str">
        <f t="shared" si="26"/>
        <v/>
      </c>
      <c r="T124" s="291" t="str" cm="1">
        <f t="array" ref="T124">_xlfn.IFS(G124="", "", F124 = "", G124, 1, F124*G124)</f>
        <v/>
      </c>
      <c r="U124" s="293" t="str">
        <f t="shared" si="20"/>
        <v/>
      </c>
      <c r="V124" s="105" t="str">
        <f t="shared" si="21"/>
        <v/>
      </c>
      <c r="W124" s="47" t="str">
        <f t="shared" si="22"/>
        <v/>
      </c>
    </row>
    <row r="125" spans="2:23" x14ac:dyDescent="0.25">
      <c r="B125" s="131"/>
      <c r="C125" s="131"/>
      <c r="D125" s="131"/>
      <c r="E125" s="131"/>
      <c r="F125" s="131"/>
      <c r="G125" s="131"/>
      <c r="H125" s="132"/>
      <c r="I125" s="132"/>
      <c r="J125" s="132"/>
      <c r="K125" s="292" t="str">
        <f t="shared" si="27"/>
        <v/>
      </c>
      <c r="L125" s="290" t="str">
        <f t="shared" si="16"/>
        <v/>
      </c>
      <c r="M125" s="290" t="str">
        <f t="shared" si="17"/>
        <v/>
      </c>
      <c r="N125" s="290" t="str">
        <f t="shared" si="18"/>
        <v/>
      </c>
      <c r="O125" s="290" t="str">
        <f t="shared" si="19"/>
        <v/>
      </c>
      <c r="P125" s="290" t="str">
        <f t="shared" si="23"/>
        <v/>
      </c>
      <c r="Q125" s="290" t="str">
        <f t="shared" si="24"/>
        <v/>
      </c>
      <c r="R125" s="290" t="str">
        <f t="shared" si="25"/>
        <v/>
      </c>
      <c r="S125" s="290" t="str">
        <f t="shared" si="26"/>
        <v/>
      </c>
      <c r="T125" s="291" t="str" cm="1">
        <f t="array" ref="T125">_xlfn.IFS(G125="", "", F125 = "", G125, 1, F125*G125)</f>
        <v/>
      </c>
      <c r="U125" s="293" t="str">
        <f t="shared" si="20"/>
        <v/>
      </c>
      <c r="V125" s="105" t="str">
        <f t="shared" si="21"/>
        <v/>
      </c>
      <c r="W125" s="47" t="str">
        <f t="shared" si="22"/>
        <v/>
      </c>
    </row>
    <row r="126" spans="2:23" x14ac:dyDescent="0.25">
      <c r="B126" s="131"/>
      <c r="C126" s="131"/>
      <c r="D126" s="131"/>
      <c r="E126" s="131"/>
      <c r="F126" s="131"/>
      <c r="G126" s="131"/>
      <c r="H126" s="132"/>
      <c r="I126" s="132"/>
      <c r="J126" s="132"/>
      <c r="K126" s="292" t="str">
        <f t="shared" si="27"/>
        <v/>
      </c>
      <c r="L126" s="290" t="str">
        <f t="shared" si="16"/>
        <v/>
      </c>
      <c r="M126" s="290" t="str">
        <f t="shared" si="17"/>
        <v/>
      </c>
      <c r="N126" s="290" t="str">
        <f t="shared" si="18"/>
        <v/>
      </c>
      <c r="O126" s="290" t="str">
        <f t="shared" si="19"/>
        <v/>
      </c>
      <c r="P126" s="290" t="str">
        <f t="shared" si="23"/>
        <v/>
      </c>
      <c r="Q126" s="290" t="str">
        <f t="shared" si="24"/>
        <v/>
      </c>
      <c r="R126" s="290" t="str">
        <f t="shared" si="25"/>
        <v/>
      </c>
      <c r="S126" s="290" t="str">
        <f t="shared" si="26"/>
        <v/>
      </c>
      <c r="T126" s="291" t="str" cm="1">
        <f t="array" ref="T126">_xlfn.IFS(G126="", "", F126 = "", G126, 1, F126*G126)</f>
        <v/>
      </c>
      <c r="U126" s="293" t="str">
        <f t="shared" si="20"/>
        <v/>
      </c>
      <c r="V126" s="105" t="str">
        <f t="shared" si="21"/>
        <v/>
      </c>
      <c r="W126" s="47" t="str">
        <f t="shared" si="22"/>
        <v/>
      </c>
    </row>
    <row r="127" spans="2:23" x14ac:dyDescent="0.25">
      <c r="B127" s="131"/>
      <c r="C127" s="131"/>
      <c r="D127" s="131"/>
      <c r="E127" s="131"/>
      <c r="F127" s="131"/>
      <c r="G127" s="131"/>
      <c r="H127" s="132"/>
      <c r="I127" s="132"/>
      <c r="J127" s="132"/>
      <c r="K127" s="292" t="str">
        <f t="shared" si="27"/>
        <v/>
      </c>
      <c r="L127" s="290" t="str">
        <f t="shared" si="16"/>
        <v/>
      </c>
      <c r="M127" s="290" t="str">
        <f t="shared" si="17"/>
        <v/>
      </c>
      <c r="N127" s="290" t="str">
        <f t="shared" si="18"/>
        <v/>
      </c>
      <c r="O127" s="290" t="str">
        <f t="shared" si="19"/>
        <v/>
      </c>
      <c r="P127" s="290" t="str">
        <f t="shared" si="23"/>
        <v/>
      </c>
      <c r="Q127" s="290" t="str">
        <f t="shared" si="24"/>
        <v/>
      </c>
      <c r="R127" s="290" t="str">
        <f t="shared" si="25"/>
        <v/>
      </c>
      <c r="S127" s="290" t="str">
        <f t="shared" si="26"/>
        <v/>
      </c>
      <c r="T127" s="291" t="str" cm="1">
        <f t="array" ref="T127">_xlfn.IFS(G127="", "", F127 = "", G127, 1, F127*G127)</f>
        <v/>
      </c>
      <c r="U127" s="293" t="str">
        <f t="shared" si="20"/>
        <v/>
      </c>
      <c r="V127" s="105" t="str">
        <f t="shared" si="21"/>
        <v/>
      </c>
      <c r="W127" s="47" t="str">
        <f t="shared" si="22"/>
        <v/>
      </c>
    </row>
    <row r="128" spans="2:23" x14ac:dyDescent="0.25">
      <c r="B128" s="131"/>
      <c r="C128" s="131"/>
      <c r="D128" s="131"/>
      <c r="E128" s="131"/>
      <c r="F128" s="131"/>
      <c r="G128" s="131"/>
      <c r="H128" s="132"/>
      <c r="I128" s="132"/>
      <c r="J128" s="132"/>
      <c r="K128" s="292" t="str">
        <f t="shared" si="27"/>
        <v/>
      </c>
      <c r="L128" s="290" t="str">
        <f t="shared" si="16"/>
        <v/>
      </c>
      <c r="M128" s="290" t="str">
        <f t="shared" si="17"/>
        <v/>
      </c>
      <c r="N128" s="290" t="str">
        <f t="shared" si="18"/>
        <v/>
      </c>
      <c r="O128" s="290" t="str">
        <f t="shared" si="19"/>
        <v/>
      </c>
      <c r="P128" s="290" t="str">
        <f t="shared" si="23"/>
        <v/>
      </c>
      <c r="Q128" s="290" t="str">
        <f t="shared" si="24"/>
        <v/>
      </c>
      <c r="R128" s="290" t="str">
        <f t="shared" si="25"/>
        <v/>
      </c>
      <c r="S128" s="290" t="str">
        <f t="shared" si="26"/>
        <v/>
      </c>
      <c r="T128" s="291" t="str" cm="1">
        <f t="array" ref="T128">_xlfn.IFS(G128="", "", F128 = "", G128, 1, F128*G128)</f>
        <v/>
      </c>
      <c r="U128" s="293" t="str">
        <f t="shared" si="20"/>
        <v/>
      </c>
      <c r="V128" s="105" t="str">
        <f t="shared" si="21"/>
        <v/>
      </c>
      <c r="W128" s="47" t="str">
        <f t="shared" si="22"/>
        <v/>
      </c>
    </row>
    <row r="129" spans="2:23" x14ac:dyDescent="0.25">
      <c r="B129" s="131"/>
      <c r="C129" s="131"/>
      <c r="D129" s="131"/>
      <c r="E129" s="131"/>
      <c r="F129" s="131"/>
      <c r="G129" s="131"/>
      <c r="H129" s="132"/>
      <c r="I129" s="132"/>
      <c r="J129" s="132"/>
      <c r="K129" s="292" t="str">
        <f t="shared" si="27"/>
        <v/>
      </c>
      <c r="L129" s="290" t="str">
        <f t="shared" si="16"/>
        <v/>
      </c>
      <c r="M129" s="290" t="str">
        <f t="shared" si="17"/>
        <v/>
      </c>
      <c r="N129" s="290" t="str">
        <f t="shared" si="18"/>
        <v/>
      </c>
      <c r="O129" s="290" t="str">
        <f t="shared" si="19"/>
        <v/>
      </c>
      <c r="P129" s="290" t="str">
        <f t="shared" si="23"/>
        <v/>
      </c>
      <c r="Q129" s="290" t="str">
        <f t="shared" si="24"/>
        <v/>
      </c>
      <c r="R129" s="290" t="str">
        <f t="shared" si="25"/>
        <v/>
      </c>
      <c r="S129" s="290" t="str">
        <f t="shared" si="26"/>
        <v/>
      </c>
      <c r="T129" s="291" t="str" cm="1">
        <f t="array" ref="T129">_xlfn.IFS(G129="", "", F129 = "", G129, 1, F129*G129)</f>
        <v/>
      </c>
      <c r="U129" s="293" t="str">
        <f t="shared" si="20"/>
        <v/>
      </c>
      <c r="V129" s="105" t="str">
        <f t="shared" si="21"/>
        <v/>
      </c>
      <c r="W129" s="47" t="str">
        <f t="shared" si="22"/>
        <v/>
      </c>
    </row>
    <row r="130" spans="2:23" x14ac:dyDescent="0.25">
      <c r="B130" s="131"/>
      <c r="C130" s="131"/>
      <c r="D130" s="131"/>
      <c r="E130" s="131"/>
      <c r="F130" s="131"/>
      <c r="G130" s="131"/>
      <c r="H130" s="132"/>
      <c r="I130" s="132"/>
      <c r="J130" s="132"/>
      <c r="K130" s="292" t="str">
        <f t="shared" si="27"/>
        <v/>
      </c>
      <c r="L130" s="290" t="str">
        <f t="shared" si="16"/>
        <v/>
      </c>
      <c r="M130" s="290" t="str">
        <f t="shared" si="17"/>
        <v/>
      </c>
      <c r="N130" s="290" t="str">
        <f t="shared" si="18"/>
        <v/>
      </c>
      <c r="O130" s="290" t="str">
        <f t="shared" si="19"/>
        <v/>
      </c>
      <c r="P130" s="290" t="str">
        <f t="shared" si="23"/>
        <v/>
      </c>
      <c r="Q130" s="290" t="str">
        <f t="shared" si="24"/>
        <v/>
      </c>
      <c r="R130" s="290" t="str">
        <f t="shared" si="25"/>
        <v/>
      </c>
      <c r="S130" s="290" t="str">
        <f t="shared" si="26"/>
        <v/>
      </c>
      <c r="T130" s="291" t="str" cm="1">
        <f t="array" ref="T130">_xlfn.IFS(G130="", "", F130 = "", G130, 1, F130*G130)</f>
        <v/>
      </c>
      <c r="U130" s="293" t="str">
        <f t="shared" si="20"/>
        <v/>
      </c>
      <c r="V130" s="105" t="str">
        <f t="shared" si="21"/>
        <v/>
      </c>
      <c r="W130" s="47" t="str">
        <f t="shared" si="22"/>
        <v/>
      </c>
    </row>
    <row r="131" spans="2:23" x14ac:dyDescent="0.25">
      <c r="B131" s="131"/>
      <c r="C131" s="131"/>
      <c r="D131" s="131"/>
      <c r="E131" s="131"/>
      <c r="F131" s="131"/>
      <c r="G131" s="131"/>
      <c r="H131" s="132"/>
      <c r="I131" s="132"/>
      <c r="J131" s="132"/>
      <c r="K131" s="292" t="str">
        <f t="shared" si="27"/>
        <v/>
      </c>
      <c r="L131" s="290" t="str">
        <f t="shared" si="16"/>
        <v/>
      </c>
      <c r="M131" s="290" t="str">
        <f t="shared" si="17"/>
        <v/>
      </c>
      <c r="N131" s="290" t="str">
        <f t="shared" si="18"/>
        <v/>
      </c>
      <c r="O131" s="290" t="str">
        <f t="shared" si="19"/>
        <v/>
      </c>
      <c r="P131" s="290" t="str">
        <f t="shared" si="23"/>
        <v/>
      </c>
      <c r="Q131" s="290" t="str">
        <f t="shared" si="24"/>
        <v/>
      </c>
      <c r="R131" s="290" t="str">
        <f t="shared" si="25"/>
        <v/>
      </c>
      <c r="S131" s="290" t="str">
        <f t="shared" si="26"/>
        <v/>
      </c>
      <c r="T131" s="291" t="str" cm="1">
        <f t="array" ref="T131">_xlfn.IFS(G131="", "", F131 = "", G131, 1, F131*G131)</f>
        <v/>
      </c>
      <c r="U131" s="293" t="str">
        <f t="shared" si="20"/>
        <v/>
      </c>
      <c r="V131" s="105" t="str">
        <f t="shared" si="21"/>
        <v/>
      </c>
      <c r="W131" s="47" t="str">
        <f t="shared" si="22"/>
        <v/>
      </c>
    </row>
    <row r="132" spans="2:23" x14ac:dyDescent="0.25">
      <c r="B132" s="131"/>
      <c r="C132" s="131"/>
      <c r="D132" s="131"/>
      <c r="E132" s="131"/>
      <c r="F132" s="131"/>
      <c r="G132" s="131"/>
      <c r="H132" s="132"/>
      <c r="I132" s="132"/>
      <c r="J132" s="132"/>
      <c r="K132" s="292" t="str">
        <f t="shared" si="27"/>
        <v/>
      </c>
      <c r="L132" s="290" t="str">
        <f t="shared" ref="L132:L195" si="28">IF($U132 = "", "", H132/$G132)</f>
        <v/>
      </c>
      <c r="M132" s="290" t="str">
        <f t="shared" ref="M132:M195" si="29">IF($U132 = "", "", I132/$G132)</f>
        <v/>
      </c>
      <c r="N132" s="290" t="str">
        <f t="shared" ref="N132:N195" si="30">IF($U132 = "", "", J132/$G132)</f>
        <v/>
      </c>
      <c r="O132" s="290" t="str">
        <f t="shared" ref="O132:O195" si="31">IF($U132 = "", "", K132/$G132)</f>
        <v/>
      </c>
      <c r="P132" s="290" t="str">
        <f t="shared" si="23"/>
        <v/>
      </c>
      <c r="Q132" s="290" t="str">
        <f t="shared" si="24"/>
        <v/>
      </c>
      <c r="R132" s="290" t="str">
        <f t="shared" si="25"/>
        <v/>
      </c>
      <c r="S132" s="290" t="str">
        <f t="shared" si="26"/>
        <v/>
      </c>
      <c r="T132" s="291" t="str" cm="1">
        <f t="array" ref="T132">_xlfn.IFS(G132="", "", F132 = "", G132, 1, F132*G132)</f>
        <v/>
      </c>
      <c r="U132" s="293" t="str">
        <f t="shared" si="20"/>
        <v/>
      </c>
      <c r="V132" s="105" t="str">
        <f t="shared" si="21"/>
        <v/>
      </c>
      <c r="W132" s="47" t="str">
        <f t="shared" si="22"/>
        <v/>
      </c>
    </row>
    <row r="133" spans="2:23" x14ac:dyDescent="0.25">
      <c r="B133" s="131"/>
      <c r="C133" s="131"/>
      <c r="D133" s="131"/>
      <c r="E133" s="131"/>
      <c r="F133" s="131"/>
      <c r="G133" s="131"/>
      <c r="H133" s="132"/>
      <c r="I133" s="132"/>
      <c r="J133" s="132"/>
      <c r="K133" s="292" t="str">
        <f t="shared" si="27"/>
        <v/>
      </c>
      <c r="L133" s="290" t="str">
        <f t="shared" si="28"/>
        <v/>
      </c>
      <c r="M133" s="290" t="str">
        <f t="shared" si="29"/>
        <v/>
      </c>
      <c r="N133" s="290" t="str">
        <f t="shared" si="30"/>
        <v/>
      </c>
      <c r="O133" s="290" t="str">
        <f t="shared" si="31"/>
        <v/>
      </c>
      <c r="P133" s="290" t="str">
        <f t="shared" si="23"/>
        <v/>
      </c>
      <c r="Q133" s="290" t="str">
        <f t="shared" si="24"/>
        <v/>
      </c>
      <c r="R133" s="290" t="str">
        <f t="shared" si="25"/>
        <v/>
      </c>
      <c r="S133" s="290" t="str">
        <f t="shared" si="26"/>
        <v/>
      </c>
      <c r="T133" s="291" t="str" cm="1">
        <f t="array" ref="T133">_xlfn.IFS(G133="", "", F133 = "", G133, 1, F133*G133)</f>
        <v/>
      </c>
      <c r="U133" s="293" t="str">
        <f t="shared" ref="U133:U196" si="32">IF(AND(B133="", C133="", E133=""), "", IF(OR(B133=0,B133=""),E133,B133 &amp; " Bed / " &amp;C133&amp; " Bath " &amp;E133))</f>
        <v/>
      </c>
      <c r="V133" s="105" t="str">
        <f t="shared" ref="V133:V196" si="33">IF(U133= "", "", B133)</f>
        <v/>
      </c>
      <c r="W133" s="47" t="str">
        <f t="shared" si="22"/>
        <v/>
      </c>
    </row>
    <row r="134" spans="2:23" x14ac:dyDescent="0.25">
      <c r="B134" s="131"/>
      <c r="C134" s="131"/>
      <c r="D134" s="131"/>
      <c r="E134" s="131"/>
      <c r="F134" s="131"/>
      <c r="G134" s="131"/>
      <c r="H134" s="132"/>
      <c r="I134" s="132"/>
      <c r="J134" s="132"/>
      <c r="K134" s="292" t="str">
        <f t="shared" si="27"/>
        <v/>
      </c>
      <c r="L134" s="290" t="str">
        <f t="shared" si="28"/>
        <v/>
      </c>
      <c r="M134" s="290" t="str">
        <f t="shared" si="29"/>
        <v/>
      </c>
      <c r="N134" s="290" t="str">
        <f t="shared" si="30"/>
        <v/>
      </c>
      <c r="O134" s="290" t="str">
        <f t="shared" si="31"/>
        <v/>
      </c>
      <c r="P134" s="290" t="str">
        <f t="shared" si="23"/>
        <v/>
      </c>
      <c r="Q134" s="290" t="str">
        <f t="shared" si="24"/>
        <v/>
      </c>
      <c r="R134" s="290" t="str">
        <f t="shared" si="25"/>
        <v/>
      </c>
      <c r="S134" s="290" t="str">
        <f t="shared" si="26"/>
        <v/>
      </c>
      <c r="T134" s="291" t="str" cm="1">
        <f t="array" ref="T134">_xlfn.IFS(G134="", "", F134 = "", G134, 1, F134*G134)</f>
        <v/>
      </c>
      <c r="U134" s="293" t="str">
        <f t="shared" si="32"/>
        <v/>
      </c>
      <c r="V134" s="105" t="str">
        <f t="shared" si="33"/>
        <v/>
      </c>
      <c r="W134" s="47" t="str">
        <f t="shared" ref="W134:W197" si="34">IF(AND(B134="", C134="", E134=""), "", IF(OR(B134=0,B134=""),E134,B134 &amp; " Bed / " &amp;C134&amp; " Bath "))</f>
        <v/>
      </c>
    </row>
    <row r="135" spans="2:23" x14ac:dyDescent="0.25">
      <c r="B135" s="131"/>
      <c r="C135" s="131"/>
      <c r="D135" s="131"/>
      <c r="E135" s="131"/>
      <c r="F135" s="131"/>
      <c r="G135" s="131"/>
      <c r="H135" s="132"/>
      <c r="I135" s="132"/>
      <c r="J135" s="132"/>
      <c r="K135" s="292" t="str">
        <f t="shared" ref="K135:K198" si="35">IF(G135= "", "", IF(H135=0,I135,H135))</f>
        <v/>
      </c>
      <c r="L135" s="290" t="str">
        <f t="shared" si="28"/>
        <v/>
      </c>
      <c r="M135" s="290" t="str">
        <f t="shared" si="29"/>
        <v/>
      </c>
      <c r="N135" s="290" t="str">
        <f t="shared" si="30"/>
        <v/>
      </c>
      <c r="O135" s="290" t="str">
        <f t="shared" si="31"/>
        <v/>
      </c>
      <c r="P135" s="290" t="str">
        <f t="shared" ref="P135:P198" si="36">IF(L135="", "", L135*12)</f>
        <v/>
      </c>
      <c r="Q135" s="290" t="str">
        <f t="shared" ref="Q135:Q198" si="37">IF(M135="", "", M135*12)</f>
        <v/>
      </c>
      <c r="R135" s="290" t="str">
        <f t="shared" ref="R135:R198" si="38">IF(N135="", "", N135*12)</f>
        <v/>
      </c>
      <c r="S135" s="290" t="str">
        <f t="shared" ref="S135:S198" si="39">IF(O135="", "", O135*12)</f>
        <v/>
      </c>
      <c r="T135" s="291" t="str" cm="1">
        <f t="array" ref="T135">_xlfn.IFS(G135="", "", F135 = "", G135, 1, F135*G135)</f>
        <v/>
      </c>
      <c r="U135" s="293" t="str">
        <f t="shared" si="32"/>
        <v/>
      </c>
      <c r="V135" s="105" t="str">
        <f t="shared" si="33"/>
        <v/>
      </c>
      <c r="W135" s="47" t="str">
        <f t="shared" si="34"/>
        <v/>
      </c>
    </row>
    <row r="136" spans="2:23" x14ac:dyDescent="0.25">
      <c r="B136" s="131"/>
      <c r="C136" s="131"/>
      <c r="D136" s="131"/>
      <c r="E136" s="131"/>
      <c r="F136" s="131"/>
      <c r="G136" s="131"/>
      <c r="H136" s="132"/>
      <c r="I136" s="132"/>
      <c r="J136" s="132"/>
      <c r="K136" s="292" t="str">
        <f t="shared" si="35"/>
        <v/>
      </c>
      <c r="L136" s="290" t="str">
        <f t="shared" si="28"/>
        <v/>
      </c>
      <c r="M136" s="290" t="str">
        <f t="shared" si="29"/>
        <v/>
      </c>
      <c r="N136" s="290" t="str">
        <f t="shared" si="30"/>
        <v/>
      </c>
      <c r="O136" s="290" t="str">
        <f t="shared" si="31"/>
        <v/>
      </c>
      <c r="P136" s="290" t="str">
        <f t="shared" si="36"/>
        <v/>
      </c>
      <c r="Q136" s="290" t="str">
        <f t="shared" si="37"/>
        <v/>
      </c>
      <c r="R136" s="290" t="str">
        <f t="shared" si="38"/>
        <v/>
      </c>
      <c r="S136" s="290" t="str">
        <f t="shared" si="39"/>
        <v/>
      </c>
      <c r="T136" s="291" t="str" cm="1">
        <f t="array" ref="T136">_xlfn.IFS(G136="", "", F136 = "", G136, 1, F136*G136)</f>
        <v/>
      </c>
      <c r="U136" s="293" t="str">
        <f t="shared" si="32"/>
        <v/>
      </c>
      <c r="V136" s="105" t="str">
        <f t="shared" si="33"/>
        <v/>
      </c>
      <c r="W136" s="47" t="str">
        <f t="shared" si="34"/>
        <v/>
      </c>
    </row>
    <row r="137" spans="2:23" x14ac:dyDescent="0.25">
      <c r="B137" s="131"/>
      <c r="C137" s="131"/>
      <c r="D137" s="131"/>
      <c r="E137" s="131"/>
      <c r="F137" s="131"/>
      <c r="G137" s="131"/>
      <c r="H137" s="132"/>
      <c r="I137" s="132"/>
      <c r="J137" s="132"/>
      <c r="K137" s="292" t="str">
        <f t="shared" si="35"/>
        <v/>
      </c>
      <c r="L137" s="290" t="str">
        <f t="shared" si="28"/>
        <v/>
      </c>
      <c r="M137" s="290" t="str">
        <f t="shared" si="29"/>
        <v/>
      </c>
      <c r="N137" s="290" t="str">
        <f t="shared" si="30"/>
        <v/>
      </c>
      <c r="O137" s="290" t="str">
        <f t="shared" si="31"/>
        <v/>
      </c>
      <c r="P137" s="290" t="str">
        <f t="shared" si="36"/>
        <v/>
      </c>
      <c r="Q137" s="290" t="str">
        <f t="shared" si="37"/>
        <v/>
      </c>
      <c r="R137" s="290" t="str">
        <f t="shared" si="38"/>
        <v/>
      </c>
      <c r="S137" s="290" t="str">
        <f t="shared" si="39"/>
        <v/>
      </c>
      <c r="T137" s="291" t="str" cm="1">
        <f t="array" ref="T137">_xlfn.IFS(G137="", "", F137 = "", G137, 1, F137*G137)</f>
        <v/>
      </c>
      <c r="U137" s="293" t="str">
        <f t="shared" si="32"/>
        <v/>
      </c>
      <c r="V137" s="105" t="str">
        <f t="shared" si="33"/>
        <v/>
      </c>
      <c r="W137" s="47" t="str">
        <f t="shared" si="34"/>
        <v/>
      </c>
    </row>
    <row r="138" spans="2:23" x14ac:dyDescent="0.25">
      <c r="B138" s="131"/>
      <c r="C138" s="131"/>
      <c r="D138" s="131"/>
      <c r="E138" s="131"/>
      <c r="F138" s="131"/>
      <c r="G138" s="131"/>
      <c r="H138" s="132"/>
      <c r="I138" s="132"/>
      <c r="J138" s="132"/>
      <c r="K138" s="292" t="str">
        <f t="shared" si="35"/>
        <v/>
      </c>
      <c r="L138" s="290" t="str">
        <f t="shared" si="28"/>
        <v/>
      </c>
      <c r="M138" s="290" t="str">
        <f t="shared" si="29"/>
        <v/>
      </c>
      <c r="N138" s="290" t="str">
        <f t="shared" si="30"/>
        <v/>
      </c>
      <c r="O138" s="290" t="str">
        <f t="shared" si="31"/>
        <v/>
      </c>
      <c r="P138" s="290" t="str">
        <f t="shared" si="36"/>
        <v/>
      </c>
      <c r="Q138" s="290" t="str">
        <f t="shared" si="37"/>
        <v/>
      </c>
      <c r="R138" s="290" t="str">
        <f t="shared" si="38"/>
        <v/>
      </c>
      <c r="S138" s="290" t="str">
        <f t="shared" si="39"/>
        <v/>
      </c>
      <c r="T138" s="291" t="str" cm="1">
        <f t="array" ref="T138">_xlfn.IFS(G138="", "", F138 = "", G138, 1, F138*G138)</f>
        <v/>
      </c>
      <c r="U138" s="293" t="str">
        <f t="shared" si="32"/>
        <v/>
      </c>
      <c r="V138" s="105" t="str">
        <f t="shared" si="33"/>
        <v/>
      </c>
      <c r="W138" s="47" t="str">
        <f t="shared" si="34"/>
        <v/>
      </c>
    </row>
    <row r="139" spans="2:23" x14ac:dyDescent="0.25">
      <c r="B139" s="131"/>
      <c r="C139" s="131"/>
      <c r="D139" s="131"/>
      <c r="E139" s="131"/>
      <c r="F139" s="131"/>
      <c r="G139" s="131"/>
      <c r="H139" s="132"/>
      <c r="I139" s="132"/>
      <c r="J139" s="132"/>
      <c r="K139" s="292" t="str">
        <f t="shared" si="35"/>
        <v/>
      </c>
      <c r="L139" s="290" t="str">
        <f t="shared" si="28"/>
        <v/>
      </c>
      <c r="M139" s="290" t="str">
        <f t="shared" si="29"/>
        <v/>
      </c>
      <c r="N139" s="290" t="str">
        <f t="shared" si="30"/>
        <v/>
      </c>
      <c r="O139" s="290" t="str">
        <f t="shared" si="31"/>
        <v/>
      </c>
      <c r="P139" s="290" t="str">
        <f t="shared" si="36"/>
        <v/>
      </c>
      <c r="Q139" s="290" t="str">
        <f t="shared" si="37"/>
        <v/>
      </c>
      <c r="R139" s="290" t="str">
        <f t="shared" si="38"/>
        <v/>
      </c>
      <c r="S139" s="290" t="str">
        <f t="shared" si="39"/>
        <v/>
      </c>
      <c r="T139" s="291" t="str" cm="1">
        <f t="array" ref="T139">_xlfn.IFS(G139="", "", F139 = "", G139, 1, F139*G139)</f>
        <v/>
      </c>
      <c r="U139" s="293" t="str">
        <f t="shared" si="32"/>
        <v/>
      </c>
      <c r="V139" s="105" t="str">
        <f t="shared" si="33"/>
        <v/>
      </c>
      <c r="W139" s="47" t="str">
        <f t="shared" si="34"/>
        <v/>
      </c>
    </row>
    <row r="140" spans="2:23" x14ac:dyDescent="0.25">
      <c r="B140" s="131"/>
      <c r="C140" s="131"/>
      <c r="D140" s="131"/>
      <c r="E140" s="131"/>
      <c r="F140" s="131"/>
      <c r="G140" s="131"/>
      <c r="H140" s="132"/>
      <c r="I140" s="132"/>
      <c r="J140" s="132"/>
      <c r="K140" s="292" t="str">
        <f t="shared" si="35"/>
        <v/>
      </c>
      <c r="L140" s="290" t="str">
        <f t="shared" si="28"/>
        <v/>
      </c>
      <c r="M140" s="290" t="str">
        <f t="shared" si="29"/>
        <v/>
      </c>
      <c r="N140" s="290" t="str">
        <f t="shared" si="30"/>
        <v/>
      </c>
      <c r="O140" s="290" t="str">
        <f t="shared" si="31"/>
        <v/>
      </c>
      <c r="P140" s="290" t="str">
        <f t="shared" si="36"/>
        <v/>
      </c>
      <c r="Q140" s="290" t="str">
        <f t="shared" si="37"/>
        <v/>
      </c>
      <c r="R140" s="290" t="str">
        <f t="shared" si="38"/>
        <v/>
      </c>
      <c r="S140" s="290" t="str">
        <f t="shared" si="39"/>
        <v/>
      </c>
      <c r="T140" s="291" t="str" cm="1">
        <f t="array" ref="T140">_xlfn.IFS(G140="", "", F140 = "", G140, 1, F140*G140)</f>
        <v/>
      </c>
      <c r="U140" s="293" t="str">
        <f t="shared" si="32"/>
        <v/>
      </c>
      <c r="V140" s="105" t="str">
        <f t="shared" si="33"/>
        <v/>
      </c>
      <c r="W140" s="47" t="str">
        <f t="shared" si="34"/>
        <v/>
      </c>
    </row>
    <row r="141" spans="2:23" x14ac:dyDescent="0.25">
      <c r="B141" s="131"/>
      <c r="C141" s="131"/>
      <c r="D141" s="131"/>
      <c r="E141" s="131"/>
      <c r="F141" s="131"/>
      <c r="G141" s="131"/>
      <c r="H141" s="132"/>
      <c r="I141" s="132"/>
      <c r="J141" s="132"/>
      <c r="K141" s="292" t="str">
        <f t="shared" si="35"/>
        <v/>
      </c>
      <c r="L141" s="290" t="str">
        <f t="shared" si="28"/>
        <v/>
      </c>
      <c r="M141" s="290" t="str">
        <f t="shared" si="29"/>
        <v/>
      </c>
      <c r="N141" s="290" t="str">
        <f t="shared" si="30"/>
        <v/>
      </c>
      <c r="O141" s="290" t="str">
        <f t="shared" si="31"/>
        <v/>
      </c>
      <c r="P141" s="290" t="str">
        <f t="shared" si="36"/>
        <v/>
      </c>
      <c r="Q141" s="290" t="str">
        <f t="shared" si="37"/>
        <v/>
      </c>
      <c r="R141" s="290" t="str">
        <f t="shared" si="38"/>
        <v/>
      </c>
      <c r="S141" s="290" t="str">
        <f t="shared" si="39"/>
        <v/>
      </c>
      <c r="T141" s="291" t="str" cm="1">
        <f t="array" ref="T141">_xlfn.IFS(G141="", "", F141 = "", G141, 1, F141*G141)</f>
        <v/>
      </c>
      <c r="U141" s="293" t="str">
        <f t="shared" si="32"/>
        <v/>
      </c>
      <c r="V141" s="105" t="str">
        <f t="shared" si="33"/>
        <v/>
      </c>
      <c r="W141" s="47" t="str">
        <f t="shared" si="34"/>
        <v/>
      </c>
    </row>
    <row r="142" spans="2:23" x14ac:dyDescent="0.25">
      <c r="B142" s="131"/>
      <c r="C142" s="131"/>
      <c r="D142" s="131"/>
      <c r="E142" s="131"/>
      <c r="F142" s="131"/>
      <c r="G142" s="131"/>
      <c r="H142" s="132"/>
      <c r="I142" s="132"/>
      <c r="J142" s="132"/>
      <c r="K142" s="292" t="str">
        <f t="shared" si="35"/>
        <v/>
      </c>
      <c r="L142" s="290" t="str">
        <f t="shared" si="28"/>
        <v/>
      </c>
      <c r="M142" s="290" t="str">
        <f t="shared" si="29"/>
        <v/>
      </c>
      <c r="N142" s="290" t="str">
        <f t="shared" si="30"/>
        <v/>
      </c>
      <c r="O142" s="290" t="str">
        <f t="shared" si="31"/>
        <v/>
      </c>
      <c r="P142" s="290" t="str">
        <f t="shared" si="36"/>
        <v/>
      </c>
      <c r="Q142" s="290" t="str">
        <f t="shared" si="37"/>
        <v/>
      </c>
      <c r="R142" s="290" t="str">
        <f t="shared" si="38"/>
        <v/>
      </c>
      <c r="S142" s="290" t="str">
        <f t="shared" si="39"/>
        <v/>
      </c>
      <c r="T142" s="291" t="str" cm="1">
        <f t="array" ref="T142">_xlfn.IFS(G142="", "", F142 = "", G142, 1, F142*G142)</f>
        <v/>
      </c>
      <c r="U142" s="293" t="str">
        <f t="shared" si="32"/>
        <v/>
      </c>
      <c r="V142" s="105" t="str">
        <f t="shared" si="33"/>
        <v/>
      </c>
      <c r="W142" s="47" t="str">
        <f t="shared" si="34"/>
        <v/>
      </c>
    </row>
    <row r="143" spans="2:23" x14ac:dyDescent="0.25">
      <c r="B143" s="131"/>
      <c r="C143" s="131"/>
      <c r="D143" s="131"/>
      <c r="E143" s="131"/>
      <c r="F143" s="131"/>
      <c r="G143" s="131"/>
      <c r="H143" s="132"/>
      <c r="I143" s="132"/>
      <c r="J143" s="132"/>
      <c r="K143" s="292" t="str">
        <f t="shared" si="35"/>
        <v/>
      </c>
      <c r="L143" s="290" t="str">
        <f t="shared" si="28"/>
        <v/>
      </c>
      <c r="M143" s="290" t="str">
        <f t="shared" si="29"/>
        <v/>
      </c>
      <c r="N143" s="290" t="str">
        <f t="shared" si="30"/>
        <v/>
      </c>
      <c r="O143" s="290" t="str">
        <f t="shared" si="31"/>
        <v/>
      </c>
      <c r="P143" s="290" t="str">
        <f t="shared" si="36"/>
        <v/>
      </c>
      <c r="Q143" s="290" t="str">
        <f t="shared" si="37"/>
        <v/>
      </c>
      <c r="R143" s="290" t="str">
        <f t="shared" si="38"/>
        <v/>
      </c>
      <c r="S143" s="290" t="str">
        <f t="shared" si="39"/>
        <v/>
      </c>
      <c r="T143" s="291" t="str" cm="1">
        <f t="array" ref="T143">_xlfn.IFS(G143="", "", F143 = "", G143, 1, F143*G143)</f>
        <v/>
      </c>
      <c r="U143" s="293" t="str">
        <f t="shared" si="32"/>
        <v/>
      </c>
      <c r="V143" s="105" t="str">
        <f t="shared" si="33"/>
        <v/>
      </c>
      <c r="W143" s="47" t="str">
        <f t="shared" si="34"/>
        <v/>
      </c>
    </row>
    <row r="144" spans="2:23" x14ac:dyDescent="0.25">
      <c r="B144" s="131"/>
      <c r="C144" s="131"/>
      <c r="D144" s="131"/>
      <c r="E144" s="131"/>
      <c r="F144" s="131"/>
      <c r="G144" s="131"/>
      <c r="H144" s="132"/>
      <c r="I144" s="132"/>
      <c r="J144" s="132"/>
      <c r="K144" s="292" t="str">
        <f t="shared" si="35"/>
        <v/>
      </c>
      <c r="L144" s="290" t="str">
        <f t="shared" si="28"/>
        <v/>
      </c>
      <c r="M144" s="290" t="str">
        <f t="shared" si="29"/>
        <v/>
      </c>
      <c r="N144" s="290" t="str">
        <f t="shared" si="30"/>
        <v/>
      </c>
      <c r="O144" s="290" t="str">
        <f t="shared" si="31"/>
        <v/>
      </c>
      <c r="P144" s="290" t="str">
        <f t="shared" si="36"/>
        <v/>
      </c>
      <c r="Q144" s="290" t="str">
        <f t="shared" si="37"/>
        <v/>
      </c>
      <c r="R144" s="290" t="str">
        <f t="shared" si="38"/>
        <v/>
      </c>
      <c r="S144" s="290" t="str">
        <f t="shared" si="39"/>
        <v/>
      </c>
      <c r="T144" s="291" t="str" cm="1">
        <f t="array" ref="T144">_xlfn.IFS(G144="", "", F144 = "", G144, 1, F144*G144)</f>
        <v/>
      </c>
      <c r="U144" s="293" t="str">
        <f t="shared" si="32"/>
        <v/>
      </c>
      <c r="V144" s="105" t="str">
        <f t="shared" si="33"/>
        <v/>
      </c>
      <c r="W144" s="47" t="str">
        <f t="shared" si="34"/>
        <v/>
      </c>
    </row>
    <row r="145" spans="2:23" x14ac:dyDescent="0.25">
      <c r="B145" s="131"/>
      <c r="C145" s="131"/>
      <c r="D145" s="131"/>
      <c r="E145" s="131"/>
      <c r="F145" s="131"/>
      <c r="G145" s="131"/>
      <c r="H145" s="132"/>
      <c r="I145" s="132"/>
      <c r="J145" s="132"/>
      <c r="K145" s="292" t="str">
        <f t="shared" si="35"/>
        <v/>
      </c>
      <c r="L145" s="290" t="str">
        <f t="shared" si="28"/>
        <v/>
      </c>
      <c r="M145" s="290" t="str">
        <f t="shared" si="29"/>
        <v/>
      </c>
      <c r="N145" s="290" t="str">
        <f t="shared" si="30"/>
        <v/>
      </c>
      <c r="O145" s="290" t="str">
        <f t="shared" si="31"/>
        <v/>
      </c>
      <c r="P145" s="290" t="str">
        <f t="shared" si="36"/>
        <v/>
      </c>
      <c r="Q145" s="290" t="str">
        <f t="shared" si="37"/>
        <v/>
      </c>
      <c r="R145" s="290" t="str">
        <f t="shared" si="38"/>
        <v/>
      </c>
      <c r="S145" s="290" t="str">
        <f t="shared" si="39"/>
        <v/>
      </c>
      <c r="T145" s="291" t="str" cm="1">
        <f t="array" ref="T145">_xlfn.IFS(G145="", "", F145 = "", G145, 1, F145*G145)</f>
        <v/>
      </c>
      <c r="U145" s="293" t="str">
        <f t="shared" si="32"/>
        <v/>
      </c>
      <c r="V145" s="105" t="str">
        <f t="shared" si="33"/>
        <v/>
      </c>
      <c r="W145" s="47" t="str">
        <f t="shared" si="34"/>
        <v/>
      </c>
    </row>
    <row r="146" spans="2:23" x14ac:dyDescent="0.25">
      <c r="B146" s="131"/>
      <c r="C146" s="131"/>
      <c r="D146" s="131"/>
      <c r="E146" s="131"/>
      <c r="F146" s="131"/>
      <c r="G146" s="131"/>
      <c r="H146" s="132"/>
      <c r="I146" s="132"/>
      <c r="J146" s="132"/>
      <c r="K146" s="292" t="str">
        <f t="shared" si="35"/>
        <v/>
      </c>
      <c r="L146" s="290" t="str">
        <f t="shared" si="28"/>
        <v/>
      </c>
      <c r="M146" s="290" t="str">
        <f t="shared" si="29"/>
        <v/>
      </c>
      <c r="N146" s="290" t="str">
        <f t="shared" si="30"/>
        <v/>
      </c>
      <c r="O146" s="290" t="str">
        <f t="shared" si="31"/>
        <v/>
      </c>
      <c r="P146" s="290" t="str">
        <f t="shared" si="36"/>
        <v/>
      </c>
      <c r="Q146" s="290" t="str">
        <f t="shared" si="37"/>
        <v/>
      </c>
      <c r="R146" s="290" t="str">
        <f t="shared" si="38"/>
        <v/>
      </c>
      <c r="S146" s="290" t="str">
        <f t="shared" si="39"/>
        <v/>
      </c>
      <c r="T146" s="291" t="str" cm="1">
        <f t="array" ref="T146">_xlfn.IFS(G146="", "", F146 = "", G146, 1, F146*G146)</f>
        <v/>
      </c>
      <c r="U146" s="293" t="str">
        <f t="shared" si="32"/>
        <v/>
      </c>
      <c r="V146" s="105" t="str">
        <f t="shared" si="33"/>
        <v/>
      </c>
      <c r="W146" s="47" t="str">
        <f t="shared" si="34"/>
        <v/>
      </c>
    </row>
    <row r="147" spans="2:23" x14ac:dyDescent="0.25">
      <c r="B147" s="131"/>
      <c r="C147" s="131"/>
      <c r="D147" s="131"/>
      <c r="E147" s="131"/>
      <c r="F147" s="131"/>
      <c r="G147" s="131"/>
      <c r="H147" s="132"/>
      <c r="I147" s="132"/>
      <c r="J147" s="132"/>
      <c r="K147" s="292" t="str">
        <f t="shared" si="35"/>
        <v/>
      </c>
      <c r="L147" s="290" t="str">
        <f t="shared" si="28"/>
        <v/>
      </c>
      <c r="M147" s="290" t="str">
        <f t="shared" si="29"/>
        <v/>
      </c>
      <c r="N147" s="290" t="str">
        <f t="shared" si="30"/>
        <v/>
      </c>
      <c r="O147" s="290" t="str">
        <f t="shared" si="31"/>
        <v/>
      </c>
      <c r="P147" s="290" t="str">
        <f t="shared" si="36"/>
        <v/>
      </c>
      <c r="Q147" s="290" t="str">
        <f t="shared" si="37"/>
        <v/>
      </c>
      <c r="R147" s="290" t="str">
        <f t="shared" si="38"/>
        <v/>
      </c>
      <c r="S147" s="290" t="str">
        <f t="shared" si="39"/>
        <v/>
      </c>
      <c r="T147" s="291" t="str" cm="1">
        <f t="array" ref="T147">_xlfn.IFS(G147="", "", F147 = "", G147, 1, F147*G147)</f>
        <v/>
      </c>
      <c r="U147" s="293" t="str">
        <f t="shared" si="32"/>
        <v/>
      </c>
      <c r="V147" s="105" t="str">
        <f t="shared" si="33"/>
        <v/>
      </c>
      <c r="W147" s="47" t="str">
        <f t="shared" si="34"/>
        <v/>
      </c>
    </row>
    <row r="148" spans="2:23" x14ac:dyDescent="0.25">
      <c r="B148" s="131"/>
      <c r="C148" s="131"/>
      <c r="D148" s="131"/>
      <c r="E148" s="131"/>
      <c r="F148" s="131"/>
      <c r="G148" s="131"/>
      <c r="H148" s="132"/>
      <c r="I148" s="132"/>
      <c r="J148" s="132"/>
      <c r="K148" s="292" t="str">
        <f t="shared" si="35"/>
        <v/>
      </c>
      <c r="L148" s="290" t="str">
        <f t="shared" si="28"/>
        <v/>
      </c>
      <c r="M148" s="290" t="str">
        <f t="shared" si="29"/>
        <v/>
      </c>
      <c r="N148" s="290" t="str">
        <f t="shared" si="30"/>
        <v/>
      </c>
      <c r="O148" s="290" t="str">
        <f t="shared" si="31"/>
        <v/>
      </c>
      <c r="P148" s="290" t="str">
        <f t="shared" si="36"/>
        <v/>
      </c>
      <c r="Q148" s="290" t="str">
        <f t="shared" si="37"/>
        <v/>
      </c>
      <c r="R148" s="290" t="str">
        <f t="shared" si="38"/>
        <v/>
      </c>
      <c r="S148" s="290" t="str">
        <f t="shared" si="39"/>
        <v/>
      </c>
      <c r="T148" s="291" t="str" cm="1">
        <f t="array" ref="T148">_xlfn.IFS(G148="", "", F148 = "", G148, 1, F148*G148)</f>
        <v/>
      </c>
      <c r="U148" s="293" t="str">
        <f t="shared" si="32"/>
        <v/>
      </c>
      <c r="V148" s="105" t="str">
        <f t="shared" si="33"/>
        <v/>
      </c>
      <c r="W148" s="47" t="str">
        <f t="shared" si="34"/>
        <v/>
      </c>
    </row>
    <row r="149" spans="2:23" x14ac:dyDescent="0.25">
      <c r="B149" s="131"/>
      <c r="C149" s="131"/>
      <c r="D149" s="131"/>
      <c r="E149" s="131"/>
      <c r="F149" s="131"/>
      <c r="G149" s="131"/>
      <c r="H149" s="132"/>
      <c r="I149" s="132"/>
      <c r="J149" s="132"/>
      <c r="K149" s="292" t="str">
        <f t="shared" si="35"/>
        <v/>
      </c>
      <c r="L149" s="290" t="str">
        <f t="shared" si="28"/>
        <v/>
      </c>
      <c r="M149" s="290" t="str">
        <f t="shared" si="29"/>
        <v/>
      </c>
      <c r="N149" s="290" t="str">
        <f t="shared" si="30"/>
        <v/>
      </c>
      <c r="O149" s="290" t="str">
        <f t="shared" si="31"/>
        <v/>
      </c>
      <c r="P149" s="290" t="str">
        <f t="shared" si="36"/>
        <v/>
      </c>
      <c r="Q149" s="290" t="str">
        <f t="shared" si="37"/>
        <v/>
      </c>
      <c r="R149" s="290" t="str">
        <f t="shared" si="38"/>
        <v/>
      </c>
      <c r="S149" s="290" t="str">
        <f t="shared" si="39"/>
        <v/>
      </c>
      <c r="T149" s="291" t="str" cm="1">
        <f t="array" ref="T149">_xlfn.IFS(G149="", "", F149 = "", G149, 1, F149*G149)</f>
        <v/>
      </c>
      <c r="U149" s="293" t="str">
        <f t="shared" si="32"/>
        <v/>
      </c>
      <c r="V149" s="105" t="str">
        <f t="shared" si="33"/>
        <v/>
      </c>
      <c r="W149" s="47" t="str">
        <f t="shared" si="34"/>
        <v/>
      </c>
    </row>
    <row r="150" spans="2:23" x14ac:dyDescent="0.25">
      <c r="B150" s="131"/>
      <c r="C150" s="131"/>
      <c r="D150" s="131"/>
      <c r="E150" s="131"/>
      <c r="F150" s="131"/>
      <c r="G150" s="131"/>
      <c r="H150" s="132"/>
      <c r="I150" s="132"/>
      <c r="J150" s="132"/>
      <c r="K150" s="292" t="str">
        <f t="shared" si="35"/>
        <v/>
      </c>
      <c r="L150" s="290" t="str">
        <f t="shared" si="28"/>
        <v/>
      </c>
      <c r="M150" s="290" t="str">
        <f t="shared" si="29"/>
        <v/>
      </c>
      <c r="N150" s="290" t="str">
        <f t="shared" si="30"/>
        <v/>
      </c>
      <c r="O150" s="290" t="str">
        <f t="shared" si="31"/>
        <v/>
      </c>
      <c r="P150" s="290" t="str">
        <f t="shared" si="36"/>
        <v/>
      </c>
      <c r="Q150" s="290" t="str">
        <f t="shared" si="37"/>
        <v/>
      </c>
      <c r="R150" s="290" t="str">
        <f t="shared" si="38"/>
        <v/>
      </c>
      <c r="S150" s="290" t="str">
        <f t="shared" si="39"/>
        <v/>
      </c>
      <c r="T150" s="291" t="str" cm="1">
        <f t="array" ref="T150">_xlfn.IFS(G150="", "", F150 = "", G150, 1, F150*G150)</f>
        <v/>
      </c>
      <c r="U150" s="293" t="str">
        <f t="shared" si="32"/>
        <v/>
      </c>
      <c r="V150" s="105" t="str">
        <f t="shared" si="33"/>
        <v/>
      </c>
      <c r="W150" s="47" t="str">
        <f t="shared" si="34"/>
        <v/>
      </c>
    </row>
    <row r="151" spans="2:23" x14ac:dyDescent="0.25">
      <c r="B151" s="131"/>
      <c r="C151" s="131"/>
      <c r="D151" s="131"/>
      <c r="E151" s="131"/>
      <c r="F151" s="131"/>
      <c r="G151" s="131"/>
      <c r="H151" s="132"/>
      <c r="I151" s="132"/>
      <c r="J151" s="132"/>
      <c r="K151" s="292" t="str">
        <f t="shared" si="35"/>
        <v/>
      </c>
      <c r="L151" s="290" t="str">
        <f t="shared" si="28"/>
        <v/>
      </c>
      <c r="M151" s="290" t="str">
        <f t="shared" si="29"/>
        <v/>
      </c>
      <c r="N151" s="290" t="str">
        <f t="shared" si="30"/>
        <v/>
      </c>
      <c r="O151" s="290" t="str">
        <f t="shared" si="31"/>
        <v/>
      </c>
      <c r="P151" s="290" t="str">
        <f t="shared" si="36"/>
        <v/>
      </c>
      <c r="Q151" s="290" t="str">
        <f t="shared" si="37"/>
        <v/>
      </c>
      <c r="R151" s="290" t="str">
        <f t="shared" si="38"/>
        <v/>
      </c>
      <c r="S151" s="290" t="str">
        <f t="shared" si="39"/>
        <v/>
      </c>
      <c r="T151" s="291" t="str" cm="1">
        <f t="array" ref="T151">_xlfn.IFS(G151="", "", F151 = "", G151, 1, F151*G151)</f>
        <v/>
      </c>
      <c r="U151" s="293" t="str">
        <f t="shared" si="32"/>
        <v/>
      </c>
      <c r="V151" s="105" t="str">
        <f t="shared" si="33"/>
        <v/>
      </c>
      <c r="W151" s="47" t="str">
        <f t="shared" si="34"/>
        <v/>
      </c>
    </row>
    <row r="152" spans="2:23" x14ac:dyDescent="0.25">
      <c r="B152" s="131"/>
      <c r="C152" s="131"/>
      <c r="D152" s="131"/>
      <c r="E152" s="131"/>
      <c r="F152" s="131"/>
      <c r="G152" s="131"/>
      <c r="H152" s="132"/>
      <c r="I152" s="132"/>
      <c r="J152" s="132"/>
      <c r="K152" s="292" t="str">
        <f t="shared" si="35"/>
        <v/>
      </c>
      <c r="L152" s="290" t="str">
        <f t="shared" si="28"/>
        <v/>
      </c>
      <c r="M152" s="290" t="str">
        <f t="shared" si="29"/>
        <v/>
      </c>
      <c r="N152" s="290" t="str">
        <f t="shared" si="30"/>
        <v/>
      </c>
      <c r="O152" s="290" t="str">
        <f t="shared" si="31"/>
        <v/>
      </c>
      <c r="P152" s="290" t="str">
        <f t="shared" si="36"/>
        <v/>
      </c>
      <c r="Q152" s="290" t="str">
        <f t="shared" si="37"/>
        <v/>
      </c>
      <c r="R152" s="290" t="str">
        <f t="shared" si="38"/>
        <v/>
      </c>
      <c r="S152" s="290" t="str">
        <f t="shared" si="39"/>
        <v/>
      </c>
      <c r="T152" s="291" t="str" cm="1">
        <f t="array" ref="T152">_xlfn.IFS(G152="", "", F152 = "", G152, 1, F152*G152)</f>
        <v/>
      </c>
      <c r="U152" s="293" t="str">
        <f t="shared" si="32"/>
        <v/>
      </c>
      <c r="V152" s="105" t="str">
        <f t="shared" si="33"/>
        <v/>
      </c>
      <c r="W152" s="47" t="str">
        <f t="shared" si="34"/>
        <v/>
      </c>
    </row>
    <row r="153" spans="2:23" x14ac:dyDescent="0.25">
      <c r="B153" s="131"/>
      <c r="C153" s="131"/>
      <c r="D153" s="131"/>
      <c r="E153" s="131"/>
      <c r="F153" s="131"/>
      <c r="G153" s="131"/>
      <c r="H153" s="132"/>
      <c r="I153" s="132"/>
      <c r="J153" s="132"/>
      <c r="K153" s="292" t="str">
        <f t="shared" si="35"/>
        <v/>
      </c>
      <c r="L153" s="290" t="str">
        <f t="shared" si="28"/>
        <v/>
      </c>
      <c r="M153" s="290" t="str">
        <f t="shared" si="29"/>
        <v/>
      </c>
      <c r="N153" s="290" t="str">
        <f t="shared" si="30"/>
        <v/>
      </c>
      <c r="O153" s="290" t="str">
        <f t="shared" si="31"/>
        <v/>
      </c>
      <c r="P153" s="290" t="str">
        <f t="shared" si="36"/>
        <v/>
      </c>
      <c r="Q153" s="290" t="str">
        <f t="shared" si="37"/>
        <v/>
      </c>
      <c r="R153" s="290" t="str">
        <f t="shared" si="38"/>
        <v/>
      </c>
      <c r="S153" s="290" t="str">
        <f t="shared" si="39"/>
        <v/>
      </c>
      <c r="T153" s="291" t="str" cm="1">
        <f t="array" ref="T153">_xlfn.IFS(G153="", "", F153 = "", G153, 1, F153*G153)</f>
        <v/>
      </c>
      <c r="U153" s="293" t="str">
        <f t="shared" si="32"/>
        <v/>
      </c>
      <c r="V153" s="105" t="str">
        <f t="shared" si="33"/>
        <v/>
      </c>
      <c r="W153" s="47" t="str">
        <f t="shared" si="34"/>
        <v/>
      </c>
    </row>
    <row r="154" spans="2:23" x14ac:dyDescent="0.25">
      <c r="B154" s="131"/>
      <c r="C154" s="131"/>
      <c r="D154" s="131"/>
      <c r="E154" s="131"/>
      <c r="F154" s="131"/>
      <c r="G154" s="131"/>
      <c r="H154" s="132"/>
      <c r="I154" s="132"/>
      <c r="J154" s="132"/>
      <c r="K154" s="292" t="str">
        <f t="shared" si="35"/>
        <v/>
      </c>
      <c r="L154" s="290" t="str">
        <f t="shared" si="28"/>
        <v/>
      </c>
      <c r="M154" s="290" t="str">
        <f t="shared" si="29"/>
        <v/>
      </c>
      <c r="N154" s="290" t="str">
        <f t="shared" si="30"/>
        <v/>
      </c>
      <c r="O154" s="290" t="str">
        <f t="shared" si="31"/>
        <v/>
      </c>
      <c r="P154" s="290" t="str">
        <f t="shared" si="36"/>
        <v/>
      </c>
      <c r="Q154" s="290" t="str">
        <f t="shared" si="37"/>
        <v/>
      </c>
      <c r="R154" s="290" t="str">
        <f t="shared" si="38"/>
        <v/>
      </c>
      <c r="S154" s="290" t="str">
        <f t="shared" si="39"/>
        <v/>
      </c>
      <c r="T154" s="291" t="str" cm="1">
        <f t="array" ref="T154">_xlfn.IFS(G154="", "", F154 = "", G154, 1, F154*G154)</f>
        <v/>
      </c>
      <c r="U154" s="293" t="str">
        <f t="shared" si="32"/>
        <v/>
      </c>
      <c r="V154" s="105" t="str">
        <f t="shared" si="33"/>
        <v/>
      </c>
      <c r="W154" s="47" t="str">
        <f t="shared" si="34"/>
        <v/>
      </c>
    </row>
    <row r="155" spans="2:23" x14ac:dyDescent="0.25">
      <c r="B155" s="131"/>
      <c r="C155" s="131"/>
      <c r="D155" s="131"/>
      <c r="E155" s="131"/>
      <c r="F155" s="131"/>
      <c r="G155" s="131"/>
      <c r="H155" s="132"/>
      <c r="I155" s="132"/>
      <c r="J155" s="132"/>
      <c r="K155" s="292" t="str">
        <f t="shared" si="35"/>
        <v/>
      </c>
      <c r="L155" s="290" t="str">
        <f t="shared" si="28"/>
        <v/>
      </c>
      <c r="M155" s="290" t="str">
        <f t="shared" si="29"/>
        <v/>
      </c>
      <c r="N155" s="290" t="str">
        <f t="shared" si="30"/>
        <v/>
      </c>
      <c r="O155" s="290" t="str">
        <f t="shared" si="31"/>
        <v/>
      </c>
      <c r="P155" s="290" t="str">
        <f t="shared" si="36"/>
        <v/>
      </c>
      <c r="Q155" s="290" t="str">
        <f t="shared" si="37"/>
        <v/>
      </c>
      <c r="R155" s="290" t="str">
        <f t="shared" si="38"/>
        <v/>
      </c>
      <c r="S155" s="290" t="str">
        <f t="shared" si="39"/>
        <v/>
      </c>
      <c r="T155" s="291" t="str" cm="1">
        <f t="array" ref="T155">_xlfn.IFS(G155="", "", F155 = "", G155, 1, F155*G155)</f>
        <v/>
      </c>
      <c r="U155" s="293" t="str">
        <f t="shared" si="32"/>
        <v/>
      </c>
      <c r="V155" s="105" t="str">
        <f t="shared" si="33"/>
        <v/>
      </c>
      <c r="W155" s="47" t="str">
        <f t="shared" si="34"/>
        <v/>
      </c>
    </row>
    <row r="156" spans="2:23" x14ac:dyDescent="0.25">
      <c r="B156" s="131"/>
      <c r="C156" s="131"/>
      <c r="D156" s="131"/>
      <c r="E156" s="131"/>
      <c r="F156" s="131"/>
      <c r="G156" s="131"/>
      <c r="H156" s="132"/>
      <c r="I156" s="132"/>
      <c r="J156" s="132"/>
      <c r="K156" s="292" t="str">
        <f t="shared" si="35"/>
        <v/>
      </c>
      <c r="L156" s="290" t="str">
        <f t="shared" si="28"/>
        <v/>
      </c>
      <c r="M156" s="290" t="str">
        <f t="shared" si="29"/>
        <v/>
      </c>
      <c r="N156" s="290" t="str">
        <f t="shared" si="30"/>
        <v/>
      </c>
      <c r="O156" s="290" t="str">
        <f t="shared" si="31"/>
        <v/>
      </c>
      <c r="P156" s="290" t="str">
        <f t="shared" si="36"/>
        <v/>
      </c>
      <c r="Q156" s="290" t="str">
        <f t="shared" si="37"/>
        <v/>
      </c>
      <c r="R156" s="290" t="str">
        <f t="shared" si="38"/>
        <v/>
      </c>
      <c r="S156" s="290" t="str">
        <f t="shared" si="39"/>
        <v/>
      </c>
      <c r="T156" s="291" t="str" cm="1">
        <f t="array" ref="T156">_xlfn.IFS(G156="", "", F156 = "", G156, 1, F156*G156)</f>
        <v/>
      </c>
      <c r="U156" s="293" t="str">
        <f t="shared" si="32"/>
        <v/>
      </c>
      <c r="V156" s="105" t="str">
        <f t="shared" si="33"/>
        <v/>
      </c>
      <c r="W156" s="47" t="str">
        <f t="shared" si="34"/>
        <v/>
      </c>
    </row>
    <row r="157" spans="2:23" x14ac:dyDescent="0.25">
      <c r="B157" s="131"/>
      <c r="C157" s="131"/>
      <c r="D157" s="131"/>
      <c r="E157" s="131"/>
      <c r="F157" s="131"/>
      <c r="G157" s="131"/>
      <c r="H157" s="132"/>
      <c r="I157" s="132"/>
      <c r="J157" s="132"/>
      <c r="K157" s="292" t="str">
        <f t="shared" si="35"/>
        <v/>
      </c>
      <c r="L157" s="290" t="str">
        <f t="shared" si="28"/>
        <v/>
      </c>
      <c r="M157" s="290" t="str">
        <f t="shared" si="29"/>
        <v/>
      </c>
      <c r="N157" s="290" t="str">
        <f t="shared" si="30"/>
        <v/>
      </c>
      <c r="O157" s="290" t="str">
        <f t="shared" si="31"/>
        <v/>
      </c>
      <c r="P157" s="290" t="str">
        <f t="shared" si="36"/>
        <v/>
      </c>
      <c r="Q157" s="290" t="str">
        <f t="shared" si="37"/>
        <v/>
      </c>
      <c r="R157" s="290" t="str">
        <f t="shared" si="38"/>
        <v/>
      </c>
      <c r="S157" s="290" t="str">
        <f t="shared" si="39"/>
        <v/>
      </c>
      <c r="T157" s="291" t="str" cm="1">
        <f t="array" ref="T157">_xlfn.IFS(G157="", "", F157 = "", G157, 1, F157*G157)</f>
        <v/>
      </c>
      <c r="U157" s="293" t="str">
        <f t="shared" si="32"/>
        <v/>
      </c>
      <c r="V157" s="105" t="str">
        <f t="shared" si="33"/>
        <v/>
      </c>
      <c r="W157" s="47" t="str">
        <f t="shared" si="34"/>
        <v/>
      </c>
    </row>
    <row r="158" spans="2:23" x14ac:dyDescent="0.25">
      <c r="B158" s="131"/>
      <c r="C158" s="131"/>
      <c r="D158" s="131"/>
      <c r="E158" s="131"/>
      <c r="F158" s="131"/>
      <c r="G158" s="131"/>
      <c r="H158" s="132"/>
      <c r="I158" s="132"/>
      <c r="J158" s="132"/>
      <c r="K158" s="292" t="str">
        <f t="shared" si="35"/>
        <v/>
      </c>
      <c r="L158" s="290" t="str">
        <f t="shared" si="28"/>
        <v/>
      </c>
      <c r="M158" s="290" t="str">
        <f t="shared" si="29"/>
        <v/>
      </c>
      <c r="N158" s="290" t="str">
        <f t="shared" si="30"/>
        <v/>
      </c>
      <c r="O158" s="290" t="str">
        <f t="shared" si="31"/>
        <v/>
      </c>
      <c r="P158" s="290" t="str">
        <f t="shared" si="36"/>
        <v/>
      </c>
      <c r="Q158" s="290" t="str">
        <f t="shared" si="37"/>
        <v/>
      </c>
      <c r="R158" s="290" t="str">
        <f t="shared" si="38"/>
        <v/>
      </c>
      <c r="S158" s="290" t="str">
        <f t="shared" si="39"/>
        <v/>
      </c>
      <c r="T158" s="291" t="str" cm="1">
        <f t="array" ref="T158">_xlfn.IFS(G158="", "", F158 = "", G158, 1, F158*G158)</f>
        <v/>
      </c>
      <c r="U158" s="293" t="str">
        <f t="shared" si="32"/>
        <v/>
      </c>
      <c r="V158" s="105" t="str">
        <f t="shared" si="33"/>
        <v/>
      </c>
      <c r="W158" s="47" t="str">
        <f t="shared" si="34"/>
        <v/>
      </c>
    </row>
    <row r="159" spans="2:23" x14ac:dyDescent="0.25">
      <c r="B159" s="131"/>
      <c r="C159" s="131"/>
      <c r="D159" s="131"/>
      <c r="E159" s="131"/>
      <c r="F159" s="131"/>
      <c r="G159" s="131"/>
      <c r="H159" s="132"/>
      <c r="I159" s="132"/>
      <c r="J159" s="132"/>
      <c r="K159" s="292" t="str">
        <f t="shared" si="35"/>
        <v/>
      </c>
      <c r="L159" s="290" t="str">
        <f t="shared" si="28"/>
        <v/>
      </c>
      <c r="M159" s="290" t="str">
        <f t="shared" si="29"/>
        <v/>
      </c>
      <c r="N159" s="290" t="str">
        <f t="shared" si="30"/>
        <v/>
      </c>
      <c r="O159" s="290" t="str">
        <f t="shared" si="31"/>
        <v/>
      </c>
      <c r="P159" s="290" t="str">
        <f t="shared" si="36"/>
        <v/>
      </c>
      <c r="Q159" s="290" t="str">
        <f t="shared" si="37"/>
        <v/>
      </c>
      <c r="R159" s="290" t="str">
        <f t="shared" si="38"/>
        <v/>
      </c>
      <c r="S159" s="290" t="str">
        <f t="shared" si="39"/>
        <v/>
      </c>
      <c r="T159" s="291" t="str" cm="1">
        <f t="array" ref="T159">_xlfn.IFS(G159="", "", F159 = "", G159, 1, F159*G159)</f>
        <v/>
      </c>
      <c r="U159" s="293" t="str">
        <f t="shared" si="32"/>
        <v/>
      </c>
      <c r="V159" s="105" t="str">
        <f t="shared" si="33"/>
        <v/>
      </c>
      <c r="W159" s="47" t="str">
        <f t="shared" si="34"/>
        <v/>
      </c>
    </row>
    <row r="160" spans="2:23" x14ac:dyDescent="0.25">
      <c r="B160" s="131"/>
      <c r="C160" s="131"/>
      <c r="D160" s="131"/>
      <c r="E160" s="131"/>
      <c r="F160" s="131"/>
      <c r="G160" s="131"/>
      <c r="H160" s="132"/>
      <c r="I160" s="132"/>
      <c r="J160" s="132"/>
      <c r="K160" s="292" t="str">
        <f t="shared" si="35"/>
        <v/>
      </c>
      <c r="L160" s="290" t="str">
        <f t="shared" si="28"/>
        <v/>
      </c>
      <c r="M160" s="290" t="str">
        <f t="shared" si="29"/>
        <v/>
      </c>
      <c r="N160" s="290" t="str">
        <f t="shared" si="30"/>
        <v/>
      </c>
      <c r="O160" s="290" t="str">
        <f t="shared" si="31"/>
        <v/>
      </c>
      <c r="P160" s="290" t="str">
        <f t="shared" si="36"/>
        <v/>
      </c>
      <c r="Q160" s="290" t="str">
        <f t="shared" si="37"/>
        <v/>
      </c>
      <c r="R160" s="290" t="str">
        <f t="shared" si="38"/>
        <v/>
      </c>
      <c r="S160" s="290" t="str">
        <f t="shared" si="39"/>
        <v/>
      </c>
      <c r="T160" s="291" t="str" cm="1">
        <f t="array" ref="T160">_xlfn.IFS(G160="", "", F160 = "", G160, 1, F160*G160)</f>
        <v/>
      </c>
      <c r="U160" s="293" t="str">
        <f t="shared" si="32"/>
        <v/>
      </c>
      <c r="V160" s="105" t="str">
        <f t="shared" si="33"/>
        <v/>
      </c>
      <c r="W160" s="47" t="str">
        <f t="shared" si="34"/>
        <v/>
      </c>
    </row>
    <row r="161" spans="2:23" x14ac:dyDescent="0.25">
      <c r="B161" s="131"/>
      <c r="C161" s="131"/>
      <c r="D161" s="131"/>
      <c r="E161" s="131"/>
      <c r="F161" s="131"/>
      <c r="G161" s="131"/>
      <c r="H161" s="132"/>
      <c r="I161" s="132"/>
      <c r="J161" s="132"/>
      <c r="K161" s="292" t="str">
        <f t="shared" si="35"/>
        <v/>
      </c>
      <c r="L161" s="290" t="str">
        <f t="shared" si="28"/>
        <v/>
      </c>
      <c r="M161" s="290" t="str">
        <f t="shared" si="29"/>
        <v/>
      </c>
      <c r="N161" s="290" t="str">
        <f t="shared" si="30"/>
        <v/>
      </c>
      <c r="O161" s="290" t="str">
        <f t="shared" si="31"/>
        <v/>
      </c>
      <c r="P161" s="290" t="str">
        <f t="shared" si="36"/>
        <v/>
      </c>
      <c r="Q161" s="290" t="str">
        <f t="shared" si="37"/>
        <v/>
      </c>
      <c r="R161" s="290" t="str">
        <f t="shared" si="38"/>
        <v/>
      </c>
      <c r="S161" s="290" t="str">
        <f t="shared" si="39"/>
        <v/>
      </c>
      <c r="T161" s="291" t="str" cm="1">
        <f t="array" ref="T161">_xlfn.IFS(G161="", "", F161 = "", G161, 1, F161*G161)</f>
        <v/>
      </c>
      <c r="U161" s="293" t="str">
        <f t="shared" si="32"/>
        <v/>
      </c>
      <c r="V161" s="105" t="str">
        <f t="shared" si="33"/>
        <v/>
      </c>
      <c r="W161" s="47" t="str">
        <f t="shared" si="34"/>
        <v/>
      </c>
    </row>
    <row r="162" spans="2:23" x14ac:dyDescent="0.25">
      <c r="B162" s="131"/>
      <c r="C162" s="131"/>
      <c r="D162" s="131"/>
      <c r="E162" s="131"/>
      <c r="F162" s="131"/>
      <c r="G162" s="131"/>
      <c r="H162" s="132"/>
      <c r="I162" s="132"/>
      <c r="J162" s="132"/>
      <c r="K162" s="292" t="str">
        <f t="shared" si="35"/>
        <v/>
      </c>
      <c r="L162" s="290" t="str">
        <f t="shared" si="28"/>
        <v/>
      </c>
      <c r="M162" s="290" t="str">
        <f t="shared" si="29"/>
        <v/>
      </c>
      <c r="N162" s="290" t="str">
        <f t="shared" si="30"/>
        <v/>
      </c>
      <c r="O162" s="290" t="str">
        <f t="shared" si="31"/>
        <v/>
      </c>
      <c r="P162" s="290" t="str">
        <f t="shared" si="36"/>
        <v/>
      </c>
      <c r="Q162" s="290" t="str">
        <f t="shared" si="37"/>
        <v/>
      </c>
      <c r="R162" s="290" t="str">
        <f t="shared" si="38"/>
        <v/>
      </c>
      <c r="S162" s="290" t="str">
        <f t="shared" si="39"/>
        <v/>
      </c>
      <c r="T162" s="291" t="str" cm="1">
        <f t="array" ref="T162">_xlfn.IFS(G162="", "", F162 = "", G162, 1, F162*G162)</f>
        <v/>
      </c>
      <c r="U162" s="293" t="str">
        <f t="shared" si="32"/>
        <v/>
      </c>
      <c r="V162" s="105" t="str">
        <f t="shared" si="33"/>
        <v/>
      </c>
      <c r="W162" s="47" t="str">
        <f t="shared" si="34"/>
        <v/>
      </c>
    </row>
    <row r="163" spans="2:23" x14ac:dyDescent="0.25">
      <c r="B163" s="131"/>
      <c r="C163" s="131"/>
      <c r="D163" s="131"/>
      <c r="E163" s="131"/>
      <c r="F163" s="131"/>
      <c r="G163" s="131"/>
      <c r="H163" s="132"/>
      <c r="I163" s="132"/>
      <c r="J163" s="132"/>
      <c r="K163" s="292" t="str">
        <f t="shared" si="35"/>
        <v/>
      </c>
      <c r="L163" s="290" t="str">
        <f t="shared" si="28"/>
        <v/>
      </c>
      <c r="M163" s="290" t="str">
        <f t="shared" si="29"/>
        <v/>
      </c>
      <c r="N163" s="290" t="str">
        <f t="shared" si="30"/>
        <v/>
      </c>
      <c r="O163" s="290" t="str">
        <f t="shared" si="31"/>
        <v/>
      </c>
      <c r="P163" s="290" t="str">
        <f t="shared" si="36"/>
        <v/>
      </c>
      <c r="Q163" s="290" t="str">
        <f t="shared" si="37"/>
        <v/>
      </c>
      <c r="R163" s="290" t="str">
        <f t="shared" si="38"/>
        <v/>
      </c>
      <c r="S163" s="290" t="str">
        <f t="shared" si="39"/>
        <v/>
      </c>
      <c r="T163" s="291" t="str" cm="1">
        <f t="array" ref="T163">_xlfn.IFS(G163="", "", F163 = "", G163, 1, F163*G163)</f>
        <v/>
      </c>
      <c r="U163" s="293" t="str">
        <f t="shared" si="32"/>
        <v/>
      </c>
      <c r="V163" s="105" t="str">
        <f t="shared" si="33"/>
        <v/>
      </c>
      <c r="W163" s="47" t="str">
        <f t="shared" si="34"/>
        <v/>
      </c>
    </row>
    <row r="164" spans="2:23" x14ac:dyDescent="0.25">
      <c r="B164" s="131"/>
      <c r="C164" s="131"/>
      <c r="D164" s="131"/>
      <c r="E164" s="131"/>
      <c r="F164" s="131"/>
      <c r="G164" s="131"/>
      <c r="H164" s="132"/>
      <c r="I164" s="132"/>
      <c r="J164" s="132"/>
      <c r="K164" s="292" t="str">
        <f t="shared" si="35"/>
        <v/>
      </c>
      <c r="L164" s="290" t="str">
        <f t="shared" si="28"/>
        <v/>
      </c>
      <c r="M164" s="290" t="str">
        <f t="shared" si="29"/>
        <v/>
      </c>
      <c r="N164" s="290" t="str">
        <f t="shared" si="30"/>
        <v/>
      </c>
      <c r="O164" s="290" t="str">
        <f t="shared" si="31"/>
        <v/>
      </c>
      <c r="P164" s="290" t="str">
        <f t="shared" si="36"/>
        <v/>
      </c>
      <c r="Q164" s="290" t="str">
        <f t="shared" si="37"/>
        <v/>
      </c>
      <c r="R164" s="290" t="str">
        <f t="shared" si="38"/>
        <v/>
      </c>
      <c r="S164" s="290" t="str">
        <f t="shared" si="39"/>
        <v/>
      </c>
      <c r="T164" s="291" t="str" cm="1">
        <f t="array" ref="T164">_xlfn.IFS(G164="", "", F164 = "", G164, 1, F164*G164)</f>
        <v/>
      </c>
      <c r="U164" s="293" t="str">
        <f t="shared" si="32"/>
        <v/>
      </c>
      <c r="V164" s="105" t="str">
        <f t="shared" si="33"/>
        <v/>
      </c>
      <c r="W164" s="47" t="str">
        <f t="shared" si="34"/>
        <v/>
      </c>
    </row>
    <row r="165" spans="2:23" x14ac:dyDescent="0.25">
      <c r="B165" s="131"/>
      <c r="C165" s="131"/>
      <c r="D165" s="131"/>
      <c r="E165" s="131"/>
      <c r="F165" s="131"/>
      <c r="G165" s="131"/>
      <c r="H165" s="132"/>
      <c r="I165" s="132"/>
      <c r="J165" s="132"/>
      <c r="K165" s="292" t="str">
        <f t="shared" si="35"/>
        <v/>
      </c>
      <c r="L165" s="290" t="str">
        <f t="shared" si="28"/>
        <v/>
      </c>
      <c r="M165" s="290" t="str">
        <f t="shared" si="29"/>
        <v/>
      </c>
      <c r="N165" s="290" t="str">
        <f t="shared" si="30"/>
        <v/>
      </c>
      <c r="O165" s="290" t="str">
        <f t="shared" si="31"/>
        <v/>
      </c>
      <c r="P165" s="290" t="str">
        <f t="shared" si="36"/>
        <v/>
      </c>
      <c r="Q165" s="290" t="str">
        <f t="shared" si="37"/>
        <v/>
      </c>
      <c r="R165" s="290" t="str">
        <f t="shared" si="38"/>
        <v/>
      </c>
      <c r="S165" s="290" t="str">
        <f t="shared" si="39"/>
        <v/>
      </c>
      <c r="T165" s="291" t="str" cm="1">
        <f t="array" ref="T165">_xlfn.IFS(G165="", "", F165 = "", G165, 1, F165*G165)</f>
        <v/>
      </c>
      <c r="U165" s="293" t="str">
        <f t="shared" si="32"/>
        <v/>
      </c>
      <c r="V165" s="105" t="str">
        <f t="shared" si="33"/>
        <v/>
      </c>
      <c r="W165" s="47" t="str">
        <f t="shared" si="34"/>
        <v/>
      </c>
    </row>
    <row r="166" spans="2:23" x14ac:dyDescent="0.25">
      <c r="B166" s="131"/>
      <c r="C166" s="131"/>
      <c r="D166" s="131"/>
      <c r="E166" s="131"/>
      <c r="F166" s="131"/>
      <c r="G166" s="131"/>
      <c r="H166" s="132"/>
      <c r="I166" s="132"/>
      <c r="J166" s="132"/>
      <c r="K166" s="292" t="str">
        <f t="shared" si="35"/>
        <v/>
      </c>
      <c r="L166" s="290" t="str">
        <f t="shared" si="28"/>
        <v/>
      </c>
      <c r="M166" s="290" t="str">
        <f t="shared" si="29"/>
        <v/>
      </c>
      <c r="N166" s="290" t="str">
        <f t="shared" si="30"/>
        <v/>
      </c>
      <c r="O166" s="290" t="str">
        <f t="shared" si="31"/>
        <v/>
      </c>
      <c r="P166" s="290" t="str">
        <f t="shared" si="36"/>
        <v/>
      </c>
      <c r="Q166" s="290" t="str">
        <f t="shared" si="37"/>
        <v/>
      </c>
      <c r="R166" s="290" t="str">
        <f t="shared" si="38"/>
        <v/>
      </c>
      <c r="S166" s="290" t="str">
        <f t="shared" si="39"/>
        <v/>
      </c>
      <c r="T166" s="291" t="str" cm="1">
        <f t="array" ref="T166">_xlfn.IFS(G166="", "", F166 = "", G166, 1, F166*G166)</f>
        <v/>
      </c>
      <c r="U166" s="293" t="str">
        <f t="shared" si="32"/>
        <v/>
      </c>
      <c r="V166" s="105" t="str">
        <f t="shared" si="33"/>
        <v/>
      </c>
      <c r="W166" s="47" t="str">
        <f t="shared" si="34"/>
        <v/>
      </c>
    </row>
    <row r="167" spans="2:23" x14ac:dyDescent="0.25">
      <c r="B167" s="131"/>
      <c r="C167" s="131"/>
      <c r="D167" s="131"/>
      <c r="E167" s="131"/>
      <c r="F167" s="131"/>
      <c r="G167" s="131"/>
      <c r="H167" s="132"/>
      <c r="I167" s="132"/>
      <c r="J167" s="132"/>
      <c r="K167" s="292" t="str">
        <f t="shared" si="35"/>
        <v/>
      </c>
      <c r="L167" s="290" t="str">
        <f t="shared" si="28"/>
        <v/>
      </c>
      <c r="M167" s="290" t="str">
        <f t="shared" si="29"/>
        <v/>
      </c>
      <c r="N167" s="290" t="str">
        <f t="shared" si="30"/>
        <v/>
      </c>
      <c r="O167" s="290" t="str">
        <f t="shared" si="31"/>
        <v/>
      </c>
      <c r="P167" s="290" t="str">
        <f t="shared" si="36"/>
        <v/>
      </c>
      <c r="Q167" s="290" t="str">
        <f t="shared" si="37"/>
        <v/>
      </c>
      <c r="R167" s="290" t="str">
        <f t="shared" si="38"/>
        <v/>
      </c>
      <c r="S167" s="290" t="str">
        <f t="shared" si="39"/>
        <v/>
      </c>
      <c r="T167" s="291" t="str" cm="1">
        <f t="array" ref="T167">_xlfn.IFS(G167="", "", F167 = "", G167, 1, F167*G167)</f>
        <v/>
      </c>
      <c r="U167" s="293" t="str">
        <f t="shared" si="32"/>
        <v/>
      </c>
      <c r="V167" s="105" t="str">
        <f t="shared" si="33"/>
        <v/>
      </c>
      <c r="W167" s="47" t="str">
        <f t="shared" si="34"/>
        <v/>
      </c>
    </row>
    <row r="168" spans="2:23" x14ac:dyDescent="0.25">
      <c r="B168" s="131"/>
      <c r="C168" s="131"/>
      <c r="D168" s="131"/>
      <c r="E168" s="131"/>
      <c r="F168" s="131"/>
      <c r="G168" s="131"/>
      <c r="H168" s="132"/>
      <c r="I168" s="132"/>
      <c r="J168" s="132"/>
      <c r="K168" s="292" t="str">
        <f t="shared" si="35"/>
        <v/>
      </c>
      <c r="L168" s="290" t="str">
        <f t="shared" si="28"/>
        <v/>
      </c>
      <c r="M168" s="290" t="str">
        <f t="shared" si="29"/>
        <v/>
      </c>
      <c r="N168" s="290" t="str">
        <f t="shared" si="30"/>
        <v/>
      </c>
      <c r="O168" s="290" t="str">
        <f t="shared" si="31"/>
        <v/>
      </c>
      <c r="P168" s="290" t="str">
        <f t="shared" si="36"/>
        <v/>
      </c>
      <c r="Q168" s="290" t="str">
        <f t="shared" si="37"/>
        <v/>
      </c>
      <c r="R168" s="290" t="str">
        <f t="shared" si="38"/>
        <v/>
      </c>
      <c r="S168" s="290" t="str">
        <f t="shared" si="39"/>
        <v/>
      </c>
      <c r="T168" s="291" t="str" cm="1">
        <f t="array" ref="T168">_xlfn.IFS(G168="", "", F168 = "", G168, 1, F168*G168)</f>
        <v/>
      </c>
      <c r="U168" s="293" t="str">
        <f t="shared" si="32"/>
        <v/>
      </c>
      <c r="V168" s="105" t="str">
        <f t="shared" si="33"/>
        <v/>
      </c>
      <c r="W168" s="47" t="str">
        <f t="shared" si="34"/>
        <v/>
      </c>
    </row>
    <row r="169" spans="2:23" x14ac:dyDescent="0.25">
      <c r="B169" s="131"/>
      <c r="C169" s="131"/>
      <c r="D169" s="131"/>
      <c r="E169" s="131"/>
      <c r="F169" s="131"/>
      <c r="G169" s="131"/>
      <c r="H169" s="132"/>
      <c r="I169" s="132"/>
      <c r="J169" s="132"/>
      <c r="K169" s="292" t="str">
        <f t="shared" si="35"/>
        <v/>
      </c>
      <c r="L169" s="290" t="str">
        <f t="shared" si="28"/>
        <v/>
      </c>
      <c r="M169" s="290" t="str">
        <f t="shared" si="29"/>
        <v/>
      </c>
      <c r="N169" s="290" t="str">
        <f t="shared" si="30"/>
        <v/>
      </c>
      <c r="O169" s="290" t="str">
        <f t="shared" si="31"/>
        <v/>
      </c>
      <c r="P169" s="290" t="str">
        <f t="shared" si="36"/>
        <v/>
      </c>
      <c r="Q169" s="290" t="str">
        <f t="shared" si="37"/>
        <v/>
      </c>
      <c r="R169" s="290" t="str">
        <f t="shared" si="38"/>
        <v/>
      </c>
      <c r="S169" s="290" t="str">
        <f t="shared" si="39"/>
        <v/>
      </c>
      <c r="T169" s="291" t="str" cm="1">
        <f t="array" ref="T169">_xlfn.IFS(G169="", "", F169 = "", G169, 1, F169*G169)</f>
        <v/>
      </c>
      <c r="U169" s="293" t="str">
        <f t="shared" si="32"/>
        <v/>
      </c>
      <c r="V169" s="105" t="str">
        <f t="shared" si="33"/>
        <v/>
      </c>
      <c r="W169" s="47" t="str">
        <f t="shared" si="34"/>
        <v/>
      </c>
    </row>
    <row r="170" spans="2:23" x14ac:dyDescent="0.25">
      <c r="B170" s="131"/>
      <c r="C170" s="131"/>
      <c r="D170" s="131"/>
      <c r="E170" s="131"/>
      <c r="F170" s="131"/>
      <c r="G170" s="131"/>
      <c r="H170" s="132"/>
      <c r="I170" s="132"/>
      <c r="J170" s="132"/>
      <c r="K170" s="292" t="str">
        <f t="shared" si="35"/>
        <v/>
      </c>
      <c r="L170" s="290" t="str">
        <f t="shared" si="28"/>
        <v/>
      </c>
      <c r="M170" s="290" t="str">
        <f t="shared" si="29"/>
        <v/>
      </c>
      <c r="N170" s="290" t="str">
        <f t="shared" si="30"/>
        <v/>
      </c>
      <c r="O170" s="290" t="str">
        <f t="shared" si="31"/>
        <v/>
      </c>
      <c r="P170" s="290" t="str">
        <f t="shared" si="36"/>
        <v/>
      </c>
      <c r="Q170" s="290" t="str">
        <f t="shared" si="37"/>
        <v/>
      </c>
      <c r="R170" s="290" t="str">
        <f t="shared" si="38"/>
        <v/>
      </c>
      <c r="S170" s="290" t="str">
        <f t="shared" si="39"/>
        <v/>
      </c>
      <c r="T170" s="291" t="str" cm="1">
        <f t="array" ref="T170">_xlfn.IFS(G170="", "", F170 = "", G170, 1, F170*G170)</f>
        <v/>
      </c>
      <c r="U170" s="293" t="str">
        <f t="shared" si="32"/>
        <v/>
      </c>
      <c r="V170" s="105" t="str">
        <f t="shared" si="33"/>
        <v/>
      </c>
      <c r="W170" s="47" t="str">
        <f t="shared" si="34"/>
        <v/>
      </c>
    </row>
    <row r="171" spans="2:23" x14ac:dyDescent="0.25">
      <c r="B171" s="131"/>
      <c r="C171" s="131"/>
      <c r="D171" s="131"/>
      <c r="E171" s="131"/>
      <c r="F171" s="131"/>
      <c r="G171" s="131"/>
      <c r="H171" s="132"/>
      <c r="I171" s="132"/>
      <c r="J171" s="132"/>
      <c r="K171" s="292" t="str">
        <f t="shared" si="35"/>
        <v/>
      </c>
      <c r="L171" s="290" t="str">
        <f t="shared" si="28"/>
        <v/>
      </c>
      <c r="M171" s="290" t="str">
        <f t="shared" si="29"/>
        <v/>
      </c>
      <c r="N171" s="290" t="str">
        <f t="shared" si="30"/>
        <v/>
      </c>
      <c r="O171" s="290" t="str">
        <f t="shared" si="31"/>
        <v/>
      </c>
      <c r="P171" s="290" t="str">
        <f t="shared" si="36"/>
        <v/>
      </c>
      <c r="Q171" s="290" t="str">
        <f t="shared" si="37"/>
        <v/>
      </c>
      <c r="R171" s="290" t="str">
        <f t="shared" si="38"/>
        <v/>
      </c>
      <c r="S171" s="290" t="str">
        <f t="shared" si="39"/>
        <v/>
      </c>
      <c r="T171" s="291" t="str" cm="1">
        <f t="array" ref="T171">_xlfn.IFS(G171="", "", F171 = "", G171, 1, F171*G171)</f>
        <v/>
      </c>
      <c r="U171" s="293" t="str">
        <f t="shared" si="32"/>
        <v/>
      </c>
      <c r="V171" s="105" t="str">
        <f t="shared" si="33"/>
        <v/>
      </c>
      <c r="W171" s="47" t="str">
        <f t="shared" si="34"/>
        <v/>
      </c>
    </row>
    <row r="172" spans="2:23" x14ac:dyDescent="0.25">
      <c r="B172" s="131"/>
      <c r="C172" s="131"/>
      <c r="D172" s="131"/>
      <c r="E172" s="131"/>
      <c r="F172" s="131"/>
      <c r="G172" s="131"/>
      <c r="H172" s="132"/>
      <c r="I172" s="132"/>
      <c r="J172" s="132"/>
      <c r="K172" s="292" t="str">
        <f t="shared" si="35"/>
        <v/>
      </c>
      <c r="L172" s="290" t="str">
        <f t="shared" si="28"/>
        <v/>
      </c>
      <c r="M172" s="290" t="str">
        <f t="shared" si="29"/>
        <v/>
      </c>
      <c r="N172" s="290" t="str">
        <f t="shared" si="30"/>
        <v/>
      </c>
      <c r="O172" s="290" t="str">
        <f t="shared" si="31"/>
        <v/>
      </c>
      <c r="P172" s="290" t="str">
        <f t="shared" si="36"/>
        <v/>
      </c>
      <c r="Q172" s="290" t="str">
        <f t="shared" si="37"/>
        <v/>
      </c>
      <c r="R172" s="290" t="str">
        <f t="shared" si="38"/>
        <v/>
      </c>
      <c r="S172" s="290" t="str">
        <f t="shared" si="39"/>
        <v/>
      </c>
      <c r="T172" s="291" t="str" cm="1">
        <f t="array" ref="T172">_xlfn.IFS(G172="", "", F172 = "", G172, 1, F172*G172)</f>
        <v/>
      </c>
      <c r="U172" s="293" t="str">
        <f t="shared" si="32"/>
        <v/>
      </c>
      <c r="V172" s="105" t="str">
        <f t="shared" si="33"/>
        <v/>
      </c>
      <c r="W172" s="47" t="str">
        <f t="shared" si="34"/>
        <v/>
      </c>
    </row>
    <row r="173" spans="2:23" x14ac:dyDescent="0.25">
      <c r="B173" s="131"/>
      <c r="C173" s="131"/>
      <c r="D173" s="131"/>
      <c r="E173" s="131"/>
      <c r="F173" s="131"/>
      <c r="G173" s="131"/>
      <c r="H173" s="132"/>
      <c r="I173" s="132"/>
      <c r="J173" s="132"/>
      <c r="K173" s="292" t="str">
        <f t="shared" si="35"/>
        <v/>
      </c>
      <c r="L173" s="290" t="str">
        <f t="shared" si="28"/>
        <v/>
      </c>
      <c r="M173" s="290" t="str">
        <f t="shared" si="29"/>
        <v/>
      </c>
      <c r="N173" s="290" t="str">
        <f t="shared" si="30"/>
        <v/>
      </c>
      <c r="O173" s="290" t="str">
        <f t="shared" si="31"/>
        <v/>
      </c>
      <c r="P173" s="290" t="str">
        <f t="shared" si="36"/>
        <v/>
      </c>
      <c r="Q173" s="290" t="str">
        <f t="shared" si="37"/>
        <v/>
      </c>
      <c r="R173" s="290" t="str">
        <f t="shared" si="38"/>
        <v/>
      </c>
      <c r="S173" s="290" t="str">
        <f t="shared" si="39"/>
        <v/>
      </c>
      <c r="T173" s="291" t="str" cm="1">
        <f t="array" ref="T173">_xlfn.IFS(G173="", "", F173 = "", G173, 1, F173*G173)</f>
        <v/>
      </c>
      <c r="U173" s="293" t="str">
        <f t="shared" si="32"/>
        <v/>
      </c>
      <c r="V173" s="105" t="str">
        <f t="shared" si="33"/>
        <v/>
      </c>
      <c r="W173" s="47" t="str">
        <f t="shared" si="34"/>
        <v/>
      </c>
    </row>
    <row r="174" spans="2:23" x14ac:dyDescent="0.25">
      <c r="B174" s="131"/>
      <c r="C174" s="131"/>
      <c r="D174" s="131"/>
      <c r="E174" s="131"/>
      <c r="F174" s="131"/>
      <c r="G174" s="131"/>
      <c r="H174" s="132"/>
      <c r="I174" s="132"/>
      <c r="J174" s="132"/>
      <c r="K174" s="292" t="str">
        <f t="shared" si="35"/>
        <v/>
      </c>
      <c r="L174" s="290" t="str">
        <f t="shared" si="28"/>
        <v/>
      </c>
      <c r="M174" s="290" t="str">
        <f t="shared" si="29"/>
        <v/>
      </c>
      <c r="N174" s="290" t="str">
        <f t="shared" si="30"/>
        <v/>
      </c>
      <c r="O174" s="290" t="str">
        <f t="shared" si="31"/>
        <v/>
      </c>
      <c r="P174" s="290" t="str">
        <f t="shared" si="36"/>
        <v/>
      </c>
      <c r="Q174" s="290" t="str">
        <f t="shared" si="37"/>
        <v/>
      </c>
      <c r="R174" s="290" t="str">
        <f t="shared" si="38"/>
        <v/>
      </c>
      <c r="S174" s="290" t="str">
        <f t="shared" si="39"/>
        <v/>
      </c>
      <c r="T174" s="291" t="str" cm="1">
        <f t="array" ref="T174">_xlfn.IFS(G174="", "", F174 = "", G174, 1, F174*G174)</f>
        <v/>
      </c>
      <c r="U174" s="293" t="str">
        <f t="shared" si="32"/>
        <v/>
      </c>
      <c r="V174" s="105" t="str">
        <f t="shared" si="33"/>
        <v/>
      </c>
      <c r="W174" s="47" t="str">
        <f t="shared" si="34"/>
        <v/>
      </c>
    </row>
    <row r="175" spans="2:23" x14ac:dyDescent="0.25">
      <c r="B175" s="131"/>
      <c r="C175" s="131"/>
      <c r="D175" s="131"/>
      <c r="E175" s="131"/>
      <c r="F175" s="131"/>
      <c r="G175" s="131"/>
      <c r="H175" s="132"/>
      <c r="I175" s="132"/>
      <c r="J175" s="132"/>
      <c r="K175" s="292" t="str">
        <f t="shared" si="35"/>
        <v/>
      </c>
      <c r="L175" s="290" t="str">
        <f t="shared" si="28"/>
        <v/>
      </c>
      <c r="M175" s="290" t="str">
        <f t="shared" si="29"/>
        <v/>
      </c>
      <c r="N175" s="290" t="str">
        <f t="shared" si="30"/>
        <v/>
      </c>
      <c r="O175" s="290" t="str">
        <f t="shared" si="31"/>
        <v/>
      </c>
      <c r="P175" s="290" t="str">
        <f t="shared" si="36"/>
        <v/>
      </c>
      <c r="Q175" s="290" t="str">
        <f t="shared" si="37"/>
        <v/>
      </c>
      <c r="R175" s="290" t="str">
        <f t="shared" si="38"/>
        <v/>
      </c>
      <c r="S175" s="290" t="str">
        <f t="shared" si="39"/>
        <v/>
      </c>
      <c r="T175" s="291" t="str" cm="1">
        <f t="array" ref="T175">_xlfn.IFS(G175="", "", F175 = "", G175, 1, F175*G175)</f>
        <v/>
      </c>
      <c r="U175" s="293" t="str">
        <f t="shared" si="32"/>
        <v/>
      </c>
      <c r="V175" s="105" t="str">
        <f t="shared" si="33"/>
        <v/>
      </c>
      <c r="W175" s="47" t="str">
        <f t="shared" si="34"/>
        <v/>
      </c>
    </row>
    <row r="176" spans="2:23" x14ac:dyDescent="0.25">
      <c r="B176" s="131"/>
      <c r="C176" s="131"/>
      <c r="D176" s="131"/>
      <c r="E176" s="131"/>
      <c r="F176" s="131"/>
      <c r="G176" s="131"/>
      <c r="H176" s="132"/>
      <c r="I176" s="132"/>
      <c r="J176" s="132"/>
      <c r="K176" s="292" t="str">
        <f t="shared" si="35"/>
        <v/>
      </c>
      <c r="L176" s="290" t="str">
        <f t="shared" si="28"/>
        <v/>
      </c>
      <c r="M176" s="290" t="str">
        <f t="shared" si="29"/>
        <v/>
      </c>
      <c r="N176" s="290" t="str">
        <f t="shared" si="30"/>
        <v/>
      </c>
      <c r="O176" s="290" t="str">
        <f t="shared" si="31"/>
        <v/>
      </c>
      <c r="P176" s="290" t="str">
        <f t="shared" si="36"/>
        <v/>
      </c>
      <c r="Q176" s="290" t="str">
        <f t="shared" si="37"/>
        <v/>
      </c>
      <c r="R176" s="290" t="str">
        <f t="shared" si="38"/>
        <v/>
      </c>
      <c r="S176" s="290" t="str">
        <f t="shared" si="39"/>
        <v/>
      </c>
      <c r="T176" s="291" t="str" cm="1">
        <f t="array" ref="T176">_xlfn.IFS(G176="", "", F176 = "", G176, 1, F176*G176)</f>
        <v/>
      </c>
      <c r="U176" s="293" t="str">
        <f t="shared" si="32"/>
        <v/>
      </c>
      <c r="V176" s="105" t="str">
        <f t="shared" si="33"/>
        <v/>
      </c>
      <c r="W176" s="47" t="str">
        <f t="shared" si="34"/>
        <v/>
      </c>
    </row>
    <row r="177" spans="2:23" x14ac:dyDescent="0.25">
      <c r="B177" s="131"/>
      <c r="C177" s="131"/>
      <c r="D177" s="131"/>
      <c r="E177" s="131"/>
      <c r="F177" s="131"/>
      <c r="G177" s="131"/>
      <c r="H177" s="132"/>
      <c r="I177" s="132"/>
      <c r="J177" s="132"/>
      <c r="K177" s="292" t="str">
        <f t="shared" si="35"/>
        <v/>
      </c>
      <c r="L177" s="290" t="str">
        <f t="shared" si="28"/>
        <v/>
      </c>
      <c r="M177" s="290" t="str">
        <f t="shared" si="29"/>
        <v/>
      </c>
      <c r="N177" s="290" t="str">
        <f t="shared" si="30"/>
        <v/>
      </c>
      <c r="O177" s="290" t="str">
        <f t="shared" si="31"/>
        <v/>
      </c>
      <c r="P177" s="290" t="str">
        <f t="shared" si="36"/>
        <v/>
      </c>
      <c r="Q177" s="290" t="str">
        <f t="shared" si="37"/>
        <v/>
      </c>
      <c r="R177" s="290" t="str">
        <f t="shared" si="38"/>
        <v/>
      </c>
      <c r="S177" s="290" t="str">
        <f t="shared" si="39"/>
        <v/>
      </c>
      <c r="T177" s="291" t="str" cm="1">
        <f t="array" ref="T177">_xlfn.IFS(G177="", "", F177 = "", G177, 1, F177*G177)</f>
        <v/>
      </c>
      <c r="U177" s="293" t="str">
        <f t="shared" si="32"/>
        <v/>
      </c>
      <c r="V177" s="105" t="str">
        <f t="shared" si="33"/>
        <v/>
      </c>
      <c r="W177" s="47" t="str">
        <f t="shared" si="34"/>
        <v/>
      </c>
    </row>
    <row r="178" spans="2:23" x14ac:dyDescent="0.25">
      <c r="B178" s="131"/>
      <c r="C178" s="131"/>
      <c r="D178" s="131"/>
      <c r="E178" s="131"/>
      <c r="F178" s="131"/>
      <c r="G178" s="131"/>
      <c r="H178" s="132"/>
      <c r="I178" s="132"/>
      <c r="J178" s="132"/>
      <c r="K178" s="292" t="str">
        <f t="shared" si="35"/>
        <v/>
      </c>
      <c r="L178" s="290" t="str">
        <f t="shared" si="28"/>
        <v/>
      </c>
      <c r="M178" s="290" t="str">
        <f t="shared" si="29"/>
        <v/>
      </c>
      <c r="N178" s="290" t="str">
        <f t="shared" si="30"/>
        <v/>
      </c>
      <c r="O178" s="290" t="str">
        <f t="shared" si="31"/>
        <v/>
      </c>
      <c r="P178" s="290" t="str">
        <f t="shared" si="36"/>
        <v/>
      </c>
      <c r="Q178" s="290" t="str">
        <f t="shared" si="37"/>
        <v/>
      </c>
      <c r="R178" s="290" t="str">
        <f t="shared" si="38"/>
        <v/>
      </c>
      <c r="S178" s="290" t="str">
        <f t="shared" si="39"/>
        <v/>
      </c>
      <c r="T178" s="291" t="str" cm="1">
        <f t="array" ref="T178">_xlfn.IFS(G178="", "", F178 = "", G178, 1, F178*G178)</f>
        <v/>
      </c>
      <c r="U178" s="293" t="str">
        <f t="shared" si="32"/>
        <v/>
      </c>
      <c r="V178" s="105" t="str">
        <f t="shared" si="33"/>
        <v/>
      </c>
      <c r="W178" s="47" t="str">
        <f t="shared" si="34"/>
        <v/>
      </c>
    </row>
    <row r="179" spans="2:23" x14ac:dyDescent="0.25">
      <c r="B179" s="131"/>
      <c r="C179" s="131"/>
      <c r="D179" s="131"/>
      <c r="E179" s="131"/>
      <c r="F179" s="131"/>
      <c r="G179" s="131"/>
      <c r="H179" s="132"/>
      <c r="I179" s="132"/>
      <c r="J179" s="132"/>
      <c r="K179" s="292" t="str">
        <f t="shared" si="35"/>
        <v/>
      </c>
      <c r="L179" s="290" t="str">
        <f t="shared" si="28"/>
        <v/>
      </c>
      <c r="M179" s="290" t="str">
        <f t="shared" si="29"/>
        <v/>
      </c>
      <c r="N179" s="290" t="str">
        <f t="shared" si="30"/>
        <v/>
      </c>
      <c r="O179" s="290" t="str">
        <f t="shared" si="31"/>
        <v/>
      </c>
      <c r="P179" s="290" t="str">
        <f t="shared" si="36"/>
        <v/>
      </c>
      <c r="Q179" s="290" t="str">
        <f t="shared" si="37"/>
        <v/>
      </c>
      <c r="R179" s="290" t="str">
        <f t="shared" si="38"/>
        <v/>
      </c>
      <c r="S179" s="290" t="str">
        <f t="shared" si="39"/>
        <v/>
      </c>
      <c r="T179" s="291" t="str" cm="1">
        <f t="array" ref="T179">_xlfn.IFS(G179="", "", F179 = "", G179, 1, F179*G179)</f>
        <v/>
      </c>
      <c r="U179" s="293" t="str">
        <f t="shared" si="32"/>
        <v/>
      </c>
      <c r="V179" s="105" t="str">
        <f t="shared" si="33"/>
        <v/>
      </c>
      <c r="W179" s="47" t="str">
        <f t="shared" si="34"/>
        <v/>
      </c>
    </row>
    <row r="180" spans="2:23" x14ac:dyDescent="0.25">
      <c r="B180" s="131"/>
      <c r="C180" s="131"/>
      <c r="D180" s="131"/>
      <c r="E180" s="131"/>
      <c r="F180" s="131"/>
      <c r="G180" s="131"/>
      <c r="H180" s="132"/>
      <c r="I180" s="132"/>
      <c r="J180" s="132"/>
      <c r="K180" s="292" t="str">
        <f t="shared" si="35"/>
        <v/>
      </c>
      <c r="L180" s="290" t="str">
        <f t="shared" si="28"/>
        <v/>
      </c>
      <c r="M180" s="290" t="str">
        <f t="shared" si="29"/>
        <v/>
      </c>
      <c r="N180" s="290" t="str">
        <f t="shared" si="30"/>
        <v/>
      </c>
      <c r="O180" s="290" t="str">
        <f t="shared" si="31"/>
        <v/>
      </c>
      <c r="P180" s="290" t="str">
        <f t="shared" si="36"/>
        <v/>
      </c>
      <c r="Q180" s="290" t="str">
        <f t="shared" si="37"/>
        <v/>
      </c>
      <c r="R180" s="290" t="str">
        <f t="shared" si="38"/>
        <v/>
      </c>
      <c r="S180" s="290" t="str">
        <f t="shared" si="39"/>
        <v/>
      </c>
      <c r="T180" s="291" t="str" cm="1">
        <f t="array" ref="T180">_xlfn.IFS(G180="", "", F180 = "", G180, 1, F180*G180)</f>
        <v/>
      </c>
      <c r="U180" s="293" t="str">
        <f t="shared" si="32"/>
        <v/>
      </c>
      <c r="V180" s="105" t="str">
        <f t="shared" si="33"/>
        <v/>
      </c>
      <c r="W180" s="47" t="str">
        <f t="shared" si="34"/>
        <v/>
      </c>
    </row>
    <row r="181" spans="2:23" x14ac:dyDescent="0.25">
      <c r="B181" s="131"/>
      <c r="C181" s="131"/>
      <c r="D181" s="131"/>
      <c r="E181" s="131"/>
      <c r="F181" s="131"/>
      <c r="G181" s="131"/>
      <c r="H181" s="132"/>
      <c r="I181" s="132"/>
      <c r="J181" s="132"/>
      <c r="K181" s="292" t="str">
        <f t="shared" si="35"/>
        <v/>
      </c>
      <c r="L181" s="290" t="str">
        <f t="shared" si="28"/>
        <v/>
      </c>
      <c r="M181" s="290" t="str">
        <f t="shared" si="29"/>
        <v/>
      </c>
      <c r="N181" s="290" t="str">
        <f t="shared" si="30"/>
        <v/>
      </c>
      <c r="O181" s="290" t="str">
        <f t="shared" si="31"/>
        <v/>
      </c>
      <c r="P181" s="290" t="str">
        <f t="shared" si="36"/>
        <v/>
      </c>
      <c r="Q181" s="290" t="str">
        <f t="shared" si="37"/>
        <v/>
      </c>
      <c r="R181" s="290" t="str">
        <f t="shared" si="38"/>
        <v/>
      </c>
      <c r="S181" s="290" t="str">
        <f t="shared" si="39"/>
        <v/>
      </c>
      <c r="T181" s="291" t="str" cm="1">
        <f t="array" ref="T181">_xlfn.IFS(G181="", "", F181 = "", G181, 1, F181*G181)</f>
        <v/>
      </c>
      <c r="U181" s="293" t="str">
        <f t="shared" si="32"/>
        <v/>
      </c>
      <c r="V181" s="105" t="str">
        <f t="shared" si="33"/>
        <v/>
      </c>
      <c r="W181" s="47" t="str">
        <f t="shared" si="34"/>
        <v/>
      </c>
    </row>
    <row r="182" spans="2:23" x14ac:dyDescent="0.25">
      <c r="B182" s="131"/>
      <c r="C182" s="131"/>
      <c r="D182" s="131"/>
      <c r="E182" s="131"/>
      <c r="F182" s="131"/>
      <c r="G182" s="131"/>
      <c r="H182" s="132"/>
      <c r="I182" s="132"/>
      <c r="J182" s="132"/>
      <c r="K182" s="292" t="str">
        <f t="shared" si="35"/>
        <v/>
      </c>
      <c r="L182" s="290" t="str">
        <f t="shared" si="28"/>
        <v/>
      </c>
      <c r="M182" s="290" t="str">
        <f t="shared" si="29"/>
        <v/>
      </c>
      <c r="N182" s="290" t="str">
        <f t="shared" si="30"/>
        <v/>
      </c>
      <c r="O182" s="290" t="str">
        <f t="shared" si="31"/>
        <v/>
      </c>
      <c r="P182" s="290" t="str">
        <f t="shared" si="36"/>
        <v/>
      </c>
      <c r="Q182" s="290" t="str">
        <f t="shared" si="37"/>
        <v/>
      </c>
      <c r="R182" s="290" t="str">
        <f t="shared" si="38"/>
        <v/>
      </c>
      <c r="S182" s="290" t="str">
        <f t="shared" si="39"/>
        <v/>
      </c>
      <c r="T182" s="291" t="str" cm="1">
        <f t="array" ref="T182">_xlfn.IFS(G182="", "", F182 = "", G182, 1, F182*G182)</f>
        <v/>
      </c>
      <c r="U182" s="293" t="str">
        <f t="shared" si="32"/>
        <v/>
      </c>
      <c r="V182" s="105" t="str">
        <f t="shared" si="33"/>
        <v/>
      </c>
      <c r="W182" s="47" t="str">
        <f t="shared" si="34"/>
        <v/>
      </c>
    </row>
    <row r="183" spans="2:23" x14ac:dyDescent="0.25">
      <c r="B183" s="131"/>
      <c r="C183" s="131"/>
      <c r="D183" s="131"/>
      <c r="E183" s="131"/>
      <c r="F183" s="131"/>
      <c r="G183" s="131"/>
      <c r="H183" s="132"/>
      <c r="I183" s="132"/>
      <c r="J183" s="132"/>
      <c r="K183" s="292" t="str">
        <f t="shared" si="35"/>
        <v/>
      </c>
      <c r="L183" s="290" t="str">
        <f t="shared" si="28"/>
        <v/>
      </c>
      <c r="M183" s="290" t="str">
        <f t="shared" si="29"/>
        <v/>
      </c>
      <c r="N183" s="290" t="str">
        <f t="shared" si="30"/>
        <v/>
      </c>
      <c r="O183" s="290" t="str">
        <f t="shared" si="31"/>
        <v/>
      </c>
      <c r="P183" s="290" t="str">
        <f t="shared" si="36"/>
        <v/>
      </c>
      <c r="Q183" s="290" t="str">
        <f t="shared" si="37"/>
        <v/>
      </c>
      <c r="R183" s="290" t="str">
        <f t="shared" si="38"/>
        <v/>
      </c>
      <c r="S183" s="290" t="str">
        <f t="shared" si="39"/>
        <v/>
      </c>
      <c r="T183" s="291" t="str" cm="1">
        <f t="array" ref="T183">_xlfn.IFS(G183="", "", F183 = "", G183, 1, F183*G183)</f>
        <v/>
      </c>
      <c r="U183" s="293" t="str">
        <f t="shared" si="32"/>
        <v/>
      </c>
      <c r="V183" s="105" t="str">
        <f t="shared" si="33"/>
        <v/>
      </c>
      <c r="W183" s="47" t="str">
        <f t="shared" si="34"/>
        <v/>
      </c>
    </row>
    <row r="184" spans="2:23" x14ac:dyDescent="0.25">
      <c r="B184" s="131"/>
      <c r="C184" s="131"/>
      <c r="D184" s="131"/>
      <c r="E184" s="131"/>
      <c r="F184" s="131"/>
      <c r="G184" s="131"/>
      <c r="H184" s="132"/>
      <c r="I184" s="132"/>
      <c r="J184" s="132"/>
      <c r="K184" s="292" t="str">
        <f t="shared" si="35"/>
        <v/>
      </c>
      <c r="L184" s="290" t="str">
        <f t="shared" si="28"/>
        <v/>
      </c>
      <c r="M184" s="290" t="str">
        <f t="shared" si="29"/>
        <v/>
      </c>
      <c r="N184" s="290" t="str">
        <f t="shared" si="30"/>
        <v/>
      </c>
      <c r="O184" s="290" t="str">
        <f t="shared" si="31"/>
        <v/>
      </c>
      <c r="P184" s="290" t="str">
        <f t="shared" si="36"/>
        <v/>
      </c>
      <c r="Q184" s="290" t="str">
        <f t="shared" si="37"/>
        <v/>
      </c>
      <c r="R184" s="290" t="str">
        <f t="shared" si="38"/>
        <v/>
      </c>
      <c r="S184" s="290" t="str">
        <f t="shared" si="39"/>
        <v/>
      </c>
      <c r="T184" s="291" t="str" cm="1">
        <f t="array" ref="T184">_xlfn.IFS(G184="", "", F184 = "", G184, 1, F184*G184)</f>
        <v/>
      </c>
      <c r="U184" s="293" t="str">
        <f t="shared" si="32"/>
        <v/>
      </c>
      <c r="V184" s="105" t="str">
        <f t="shared" si="33"/>
        <v/>
      </c>
      <c r="W184" s="47" t="str">
        <f t="shared" si="34"/>
        <v/>
      </c>
    </row>
    <row r="185" spans="2:23" x14ac:dyDescent="0.25">
      <c r="B185" s="131"/>
      <c r="C185" s="131"/>
      <c r="D185" s="131"/>
      <c r="E185" s="131"/>
      <c r="F185" s="131"/>
      <c r="G185" s="131"/>
      <c r="H185" s="132"/>
      <c r="I185" s="132"/>
      <c r="J185" s="132"/>
      <c r="K185" s="292" t="str">
        <f t="shared" si="35"/>
        <v/>
      </c>
      <c r="L185" s="290" t="str">
        <f t="shared" si="28"/>
        <v/>
      </c>
      <c r="M185" s="290" t="str">
        <f t="shared" si="29"/>
        <v/>
      </c>
      <c r="N185" s="290" t="str">
        <f t="shared" si="30"/>
        <v/>
      </c>
      <c r="O185" s="290" t="str">
        <f t="shared" si="31"/>
        <v/>
      </c>
      <c r="P185" s="290" t="str">
        <f t="shared" si="36"/>
        <v/>
      </c>
      <c r="Q185" s="290" t="str">
        <f t="shared" si="37"/>
        <v/>
      </c>
      <c r="R185" s="290" t="str">
        <f t="shared" si="38"/>
        <v/>
      </c>
      <c r="S185" s="290" t="str">
        <f t="shared" si="39"/>
        <v/>
      </c>
      <c r="T185" s="291" t="str" cm="1">
        <f t="array" ref="T185">_xlfn.IFS(G185="", "", F185 = "", G185, 1, F185*G185)</f>
        <v/>
      </c>
      <c r="U185" s="293" t="str">
        <f t="shared" si="32"/>
        <v/>
      </c>
      <c r="V185" s="105" t="str">
        <f t="shared" si="33"/>
        <v/>
      </c>
      <c r="W185" s="47" t="str">
        <f t="shared" si="34"/>
        <v/>
      </c>
    </row>
    <row r="186" spans="2:23" x14ac:dyDescent="0.25">
      <c r="B186" s="131"/>
      <c r="C186" s="131"/>
      <c r="D186" s="131"/>
      <c r="E186" s="131"/>
      <c r="F186" s="131"/>
      <c r="G186" s="131"/>
      <c r="H186" s="132"/>
      <c r="I186" s="132"/>
      <c r="J186" s="132"/>
      <c r="K186" s="292" t="str">
        <f t="shared" si="35"/>
        <v/>
      </c>
      <c r="L186" s="290" t="str">
        <f t="shared" si="28"/>
        <v/>
      </c>
      <c r="M186" s="290" t="str">
        <f t="shared" si="29"/>
        <v/>
      </c>
      <c r="N186" s="290" t="str">
        <f t="shared" si="30"/>
        <v/>
      </c>
      <c r="O186" s="290" t="str">
        <f t="shared" si="31"/>
        <v/>
      </c>
      <c r="P186" s="290" t="str">
        <f t="shared" si="36"/>
        <v/>
      </c>
      <c r="Q186" s="290" t="str">
        <f t="shared" si="37"/>
        <v/>
      </c>
      <c r="R186" s="290" t="str">
        <f t="shared" si="38"/>
        <v/>
      </c>
      <c r="S186" s="290" t="str">
        <f t="shared" si="39"/>
        <v/>
      </c>
      <c r="T186" s="291" t="str" cm="1">
        <f t="array" ref="T186">_xlfn.IFS(G186="", "", F186 = "", G186, 1, F186*G186)</f>
        <v/>
      </c>
      <c r="U186" s="293" t="str">
        <f t="shared" si="32"/>
        <v/>
      </c>
      <c r="V186" s="105" t="str">
        <f t="shared" si="33"/>
        <v/>
      </c>
      <c r="W186" s="47" t="str">
        <f t="shared" si="34"/>
        <v/>
      </c>
    </row>
    <row r="187" spans="2:23" x14ac:dyDescent="0.25">
      <c r="B187" s="131"/>
      <c r="C187" s="131"/>
      <c r="D187" s="131"/>
      <c r="E187" s="131"/>
      <c r="F187" s="131"/>
      <c r="G187" s="131"/>
      <c r="H187" s="132"/>
      <c r="I187" s="132"/>
      <c r="J187" s="132"/>
      <c r="K187" s="292" t="str">
        <f t="shared" si="35"/>
        <v/>
      </c>
      <c r="L187" s="290" t="str">
        <f t="shared" si="28"/>
        <v/>
      </c>
      <c r="M187" s="290" t="str">
        <f t="shared" si="29"/>
        <v/>
      </c>
      <c r="N187" s="290" t="str">
        <f t="shared" si="30"/>
        <v/>
      </c>
      <c r="O187" s="290" t="str">
        <f t="shared" si="31"/>
        <v/>
      </c>
      <c r="P187" s="290" t="str">
        <f t="shared" si="36"/>
        <v/>
      </c>
      <c r="Q187" s="290" t="str">
        <f t="shared" si="37"/>
        <v/>
      </c>
      <c r="R187" s="290" t="str">
        <f t="shared" si="38"/>
        <v/>
      </c>
      <c r="S187" s="290" t="str">
        <f t="shared" si="39"/>
        <v/>
      </c>
      <c r="T187" s="291" t="str" cm="1">
        <f t="array" ref="T187">_xlfn.IFS(G187="", "", F187 = "", G187, 1, F187*G187)</f>
        <v/>
      </c>
      <c r="U187" s="293" t="str">
        <f t="shared" si="32"/>
        <v/>
      </c>
      <c r="V187" s="105" t="str">
        <f t="shared" si="33"/>
        <v/>
      </c>
      <c r="W187" s="47" t="str">
        <f t="shared" si="34"/>
        <v/>
      </c>
    </row>
    <row r="188" spans="2:23" x14ac:dyDescent="0.25">
      <c r="B188" s="131"/>
      <c r="C188" s="131"/>
      <c r="D188" s="131"/>
      <c r="E188" s="131"/>
      <c r="F188" s="131"/>
      <c r="G188" s="131"/>
      <c r="H188" s="132"/>
      <c r="I188" s="132"/>
      <c r="J188" s="132"/>
      <c r="K188" s="292" t="str">
        <f t="shared" si="35"/>
        <v/>
      </c>
      <c r="L188" s="290" t="str">
        <f t="shared" si="28"/>
        <v/>
      </c>
      <c r="M188" s="290" t="str">
        <f t="shared" si="29"/>
        <v/>
      </c>
      <c r="N188" s="290" t="str">
        <f t="shared" si="30"/>
        <v/>
      </c>
      <c r="O188" s="290" t="str">
        <f t="shared" si="31"/>
        <v/>
      </c>
      <c r="P188" s="290" t="str">
        <f t="shared" si="36"/>
        <v/>
      </c>
      <c r="Q188" s="290" t="str">
        <f t="shared" si="37"/>
        <v/>
      </c>
      <c r="R188" s="290" t="str">
        <f t="shared" si="38"/>
        <v/>
      </c>
      <c r="S188" s="290" t="str">
        <f t="shared" si="39"/>
        <v/>
      </c>
      <c r="T188" s="291" t="str" cm="1">
        <f t="array" ref="T188">_xlfn.IFS(G188="", "", F188 = "", G188, 1, F188*G188)</f>
        <v/>
      </c>
      <c r="U188" s="293" t="str">
        <f t="shared" si="32"/>
        <v/>
      </c>
      <c r="V188" s="105" t="str">
        <f t="shared" si="33"/>
        <v/>
      </c>
      <c r="W188" s="47" t="str">
        <f t="shared" si="34"/>
        <v/>
      </c>
    </row>
    <row r="189" spans="2:23" x14ac:dyDescent="0.25">
      <c r="B189" s="131"/>
      <c r="C189" s="131"/>
      <c r="D189" s="131"/>
      <c r="E189" s="131"/>
      <c r="F189" s="131"/>
      <c r="G189" s="131"/>
      <c r="H189" s="132"/>
      <c r="I189" s="132"/>
      <c r="J189" s="132"/>
      <c r="K189" s="292" t="str">
        <f t="shared" si="35"/>
        <v/>
      </c>
      <c r="L189" s="290" t="str">
        <f t="shared" si="28"/>
        <v/>
      </c>
      <c r="M189" s="290" t="str">
        <f t="shared" si="29"/>
        <v/>
      </c>
      <c r="N189" s="290" t="str">
        <f t="shared" si="30"/>
        <v/>
      </c>
      <c r="O189" s="290" t="str">
        <f t="shared" si="31"/>
        <v/>
      </c>
      <c r="P189" s="290" t="str">
        <f t="shared" si="36"/>
        <v/>
      </c>
      <c r="Q189" s="290" t="str">
        <f t="shared" si="37"/>
        <v/>
      </c>
      <c r="R189" s="290" t="str">
        <f t="shared" si="38"/>
        <v/>
      </c>
      <c r="S189" s="290" t="str">
        <f t="shared" si="39"/>
        <v/>
      </c>
      <c r="T189" s="291" t="str" cm="1">
        <f t="array" ref="T189">_xlfn.IFS(G189="", "", F189 = "", G189, 1, F189*G189)</f>
        <v/>
      </c>
      <c r="U189" s="293" t="str">
        <f t="shared" si="32"/>
        <v/>
      </c>
      <c r="V189" s="105" t="str">
        <f t="shared" si="33"/>
        <v/>
      </c>
      <c r="W189" s="47" t="str">
        <f t="shared" si="34"/>
        <v/>
      </c>
    </row>
    <row r="190" spans="2:23" x14ac:dyDescent="0.25">
      <c r="B190" s="131"/>
      <c r="C190" s="131"/>
      <c r="D190" s="131"/>
      <c r="E190" s="131"/>
      <c r="F190" s="131"/>
      <c r="G190" s="131"/>
      <c r="H190" s="132"/>
      <c r="I190" s="132"/>
      <c r="J190" s="132"/>
      <c r="K190" s="292" t="str">
        <f t="shared" si="35"/>
        <v/>
      </c>
      <c r="L190" s="290" t="str">
        <f t="shared" si="28"/>
        <v/>
      </c>
      <c r="M190" s="290" t="str">
        <f t="shared" si="29"/>
        <v/>
      </c>
      <c r="N190" s="290" t="str">
        <f t="shared" si="30"/>
        <v/>
      </c>
      <c r="O190" s="290" t="str">
        <f t="shared" si="31"/>
        <v/>
      </c>
      <c r="P190" s="290" t="str">
        <f t="shared" si="36"/>
        <v/>
      </c>
      <c r="Q190" s="290" t="str">
        <f t="shared" si="37"/>
        <v/>
      </c>
      <c r="R190" s="290" t="str">
        <f t="shared" si="38"/>
        <v/>
      </c>
      <c r="S190" s="290" t="str">
        <f t="shared" si="39"/>
        <v/>
      </c>
      <c r="T190" s="291" t="str" cm="1">
        <f t="array" ref="T190">_xlfn.IFS(G190="", "", F190 = "", G190, 1, F190*G190)</f>
        <v/>
      </c>
      <c r="U190" s="293" t="str">
        <f t="shared" si="32"/>
        <v/>
      </c>
      <c r="V190" s="105" t="str">
        <f t="shared" si="33"/>
        <v/>
      </c>
      <c r="W190" s="47" t="str">
        <f t="shared" si="34"/>
        <v/>
      </c>
    </row>
    <row r="191" spans="2:23" x14ac:dyDescent="0.25">
      <c r="B191" s="131"/>
      <c r="C191" s="131"/>
      <c r="D191" s="131"/>
      <c r="E191" s="131"/>
      <c r="F191" s="131"/>
      <c r="G191" s="131"/>
      <c r="H191" s="132"/>
      <c r="I191" s="132"/>
      <c r="J191" s="132"/>
      <c r="K191" s="292" t="str">
        <f t="shared" si="35"/>
        <v/>
      </c>
      <c r="L191" s="290" t="str">
        <f t="shared" si="28"/>
        <v/>
      </c>
      <c r="M191" s="290" t="str">
        <f t="shared" si="29"/>
        <v/>
      </c>
      <c r="N191" s="290" t="str">
        <f t="shared" si="30"/>
        <v/>
      </c>
      <c r="O191" s="290" t="str">
        <f t="shared" si="31"/>
        <v/>
      </c>
      <c r="P191" s="290" t="str">
        <f t="shared" si="36"/>
        <v/>
      </c>
      <c r="Q191" s="290" t="str">
        <f t="shared" si="37"/>
        <v/>
      </c>
      <c r="R191" s="290" t="str">
        <f t="shared" si="38"/>
        <v/>
      </c>
      <c r="S191" s="290" t="str">
        <f t="shared" si="39"/>
        <v/>
      </c>
      <c r="T191" s="291" t="str" cm="1">
        <f t="array" ref="T191">_xlfn.IFS(G191="", "", F191 = "", G191, 1, F191*G191)</f>
        <v/>
      </c>
      <c r="U191" s="293" t="str">
        <f t="shared" si="32"/>
        <v/>
      </c>
      <c r="V191" s="105" t="str">
        <f t="shared" si="33"/>
        <v/>
      </c>
      <c r="W191" s="47" t="str">
        <f t="shared" si="34"/>
        <v/>
      </c>
    </row>
    <row r="192" spans="2:23" x14ac:dyDescent="0.25">
      <c r="B192" s="131"/>
      <c r="C192" s="131"/>
      <c r="D192" s="131"/>
      <c r="E192" s="131"/>
      <c r="F192" s="131"/>
      <c r="G192" s="131"/>
      <c r="H192" s="132"/>
      <c r="I192" s="132"/>
      <c r="J192" s="132"/>
      <c r="K192" s="292" t="str">
        <f t="shared" si="35"/>
        <v/>
      </c>
      <c r="L192" s="290" t="str">
        <f t="shared" si="28"/>
        <v/>
      </c>
      <c r="M192" s="290" t="str">
        <f t="shared" si="29"/>
        <v/>
      </c>
      <c r="N192" s="290" t="str">
        <f t="shared" si="30"/>
        <v/>
      </c>
      <c r="O192" s="290" t="str">
        <f t="shared" si="31"/>
        <v/>
      </c>
      <c r="P192" s="290" t="str">
        <f t="shared" si="36"/>
        <v/>
      </c>
      <c r="Q192" s="290" t="str">
        <f t="shared" si="37"/>
        <v/>
      </c>
      <c r="R192" s="290" t="str">
        <f t="shared" si="38"/>
        <v/>
      </c>
      <c r="S192" s="290" t="str">
        <f t="shared" si="39"/>
        <v/>
      </c>
      <c r="T192" s="291" t="str" cm="1">
        <f t="array" ref="T192">_xlfn.IFS(G192="", "", F192 = "", G192, 1, F192*G192)</f>
        <v/>
      </c>
      <c r="U192" s="293" t="str">
        <f t="shared" si="32"/>
        <v/>
      </c>
      <c r="V192" s="105" t="str">
        <f t="shared" si="33"/>
        <v/>
      </c>
      <c r="W192" s="47" t="str">
        <f t="shared" si="34"/>
        <v/>
      </c>
    </row>
    <row r="193" spans="2:23" x14ac:dyDescent="0.25">
      <c r="B193" s="131"/>
      <c r="C193" s="131"/>
      <c r="D193" s="131"/>
      <c r="E193" s="131"/>
      <c r="F193" s="131"/>
      <c r="G193" s="131"/>
      <c r="H193" s="132"/>
      <c r="I193" s="132"/>
      <c r="J193" s="132"/>
      <c r="K193" s="292" t="str">
        <f t="shared" si="35"/>
        <v/>
      </c>
      <c r="L193" s="290" t="str">
        <f t="shared" si="28"/>
        <v/>
      </c>
      <c r="M193" s="290" t="str">
        <f t="shared" si="29"/>
        <v/>
      </c>
      <c r="N193" s="290" t="str">
        <f t="shared" si="30"/>
        <v/>
      </c>
      <c r="O193" s="290" t="str">
        <f t="shared" si="31"/>
        <v/>
      </c>
      <c r="P193" s="290" t="str">
        <f t="shared" si="36"/>
        <v/>
      </c>
      <c r="Q193" s="290" t="str">
        <f t="shared" si="37"/>
        <v/>
      </c>
      <c r="R193" s="290" t="str">
        <f t="shared" si="38"/>
        <v/>
      </c>
      <c r="S193" s="290" t="str">
        <f t="shared" si="39"/>
        <v/>
      </c>
      <c r="T193" s="291" t="str" cm="1">
        <f t="array" ref="T193">_xlfn.IFS(G193="", "", F193 = "", G193, 1, F193*G193)</f>
        <v/>
      </c>
      <c r="U193" s="293" t="str">
        <f t="shared" si="32"/>
        <v/>
      </c>
      <c r="V193" s="105" t="str">
        <f t="shared" si="33"/>
        <v/>
      </c>
      <c r="W193" s="47" t="str">
        <f t="shared" si="34"/>
        <v/>
      </c>
    </row>
    <row r="194" spans="2:23" x14ac:dyDescent="0.25">
      <c r="B194" s="131"/>
      <c r="C194" s="131"/>
      <c r="D194" s="131"/>
      <c r="E194" s="131"/>
      <c r="F194" s="131"/>
      <c r="G194" s="131"/>
      <c r="H194" s="132"/>
      <c r="I194" s="132"/>
      <c r="J194" s="132"/>
      <c r="K194" s="292" t="str">
        <f t="shared" si="35"/>
        <v/>
      </c>
      <c r="L194" s="290" t="str">
        <f t="shared" si="28"/>
        <v/>
      </c>
      <c r="M194" s="290" t="str">
        <f t="shared" si="29"/>
        <v/>
      </c>
      <c r="N194" s="290" t="str">
        <f t="shared" si="30"/>
        <v/>
      </c>
      <c r="O194" s="290" t="str">
        <f t="shared" si="31"/>
        <v/>
      </c>
      <c r="P194" s="290" t="str">
        <f t="shared" si="36"/>
        <v/>
      </c>
      <c r="Q194" s="290" t="str">
        <f t="shared" si="37"/>
        <v/>
      </c>
      <c r="R194" s="290" t="str">
        <f t="shared" si="38"/>
        <v/>
      </c>
      <c r="S194" s="290" t="str">
        <f t="shared" si="39"/>
        <v/>
      </c>
      <c r="T194" s="291" t="str" cm="1">
        <f t="array" ref="T194">_xlfn.IFS(G194="", "", F194 = "", G194, 1, F194*G194)</f>
        <v/>
      </c>
      <c r="U194" s="293" t="str">
        <f t="shared" si="32"/>
        <v/>
      </c>
      <c r="V194" s="105" t="str">
        <f t="shared" si="33"/>
        <v/>
      </c>
      <c r="W194" s="47" t="str">
        <f t="shared" si="34"/>
        <v/>
      </c>
    </row>
    <row r="195" spans="2:23" x14ac:dyDescent="0.25">
      <c r="B195" s="131"/>
      <c r="C195" s="131"/>
      <c r="D195" s="131"/>
      <c r="E195" s="131"/>
      <c r="F195" s="131"/>
      <c r="G195" s="131"/>
      <c r="H195" s="132"/>
      <c r="I195" s="132"/>
      <c r="J195" s="132"/>
      <c r="K195" s="292" t="str">
        <f t="shared" si="35"/>
        <v/>
      </c>
      <c r="L195" s="290" t="str">
        <f t="shared" si="28"/>
        <v/>
      </c>
      <c r="M195" s="290" t="str">
        <f t="shared" si="29"/>
        <v/>
      </c>
      <c r="N195" s="290" t="str">
        <f t="shared" si="30"/>
        <v/>
      </c>
      <c r="O195" s="290" t="str">
        <f t="shared" si="31"/>
        <v/>
      </c>
      <c r="P195" s="290" t="str">
        <f t="shared" si="36"/>
        <v/>
      </c>
      <c r="Q195" s="290" t="str">
        <f t="shared" si="37"/>
        <v/>
      </c>
      <c r="R195" s="290" t="str">
        <f t="shared" si="38"/>
        <v/>
      </c>
      <c r="S195" s="290" t="str">
        <f t="shared" si="39"/>
        <v/>
      </c>
      <c r="T195" s="291" t="str" cm="1">
        <f t="array" ref="T195">_xlfn.IFS(G195="", "", F195 = "", G195, 1, F195*G195)</f>
        <v/>
      </c>
      <c r="U195" s="293" t="str">
        <f t="shared" si="32"/>
        <v/>
      </c>
      <c r="V195" s="105" t="str">
        <f t="shared" si="33"/>
        <v/>
      </c>
      <c r="W195" s="47" t="str">
        <f t="shared" si="34"/>
        <v/>
      </c>
    </row>
    <row r="196" spans="2:23" x14ac:dyDescent="0.25">
      <c r="B196" s="131"/>
      <c r="C196" s="131"/>
      <c r="D196" s="131"/>
      <c r="E196" s="131"/>
      <c r="F196" s="131"/>
      <c r="G196" s="131"/>
      <c r="H196" s="132"/>
      <c r="I196" s="132"/>
      <c r="J196" s="132"/>
      <c r="K196" s="292" t="str">
        <f t="shared" si="35"/>
        <v/>
      </c>
      <c r="L196" s="290" t="str">
        <f t="shared" ref="L196:L214" si="40">IF($U196 = "", "", H196/$G196)</f>
        <v/>
      </c>
      <c r="M196" s="290" t="str">
        <f t="shared" ref="M196:M214" si="41">IF($U196 = "", "", I196/$G196)</f>
        <v/>
      </c>
      <c r="N196" s="290" t="str">
        <f t="shared" ref="N196:N214" si="42">IF($U196 = "", "", J196/$G196)</f>
        <v/>
      </c>
      <c r="O196" s="290" t="str">
        <f t="shared" ref="O196:O214" si="43">IF($U196 = "", "", K196/$G196)</f>
        <v/>
      </c>
      <c r="P196" s="290" t="str">
        <f t="shared" si="36"/>
        <v/>
      </c>
      <c r="Q196" s="290" t="str">
        <f t="shared" si="37"/>
        <v/>
      </c>
      <c r="R196" s="290" t="str">
        <f t="shared" si="38"/>
        <v/>
      </c>
      <c r="S196" s="290" t="str">
        <f t="shared" si="39"/>
        <v/>
      </c>
      <c r="T196" s="291" t="str" cm="1">
        <f t="array" ref="T196">_xlfn.IFS(G196="", "", F196 = "", G196, 1, F196*G196)</f>
        <v/>
      </c>
      <c r="U196" s="293" t="str">
        <f t="shared" si="32"/>
        <v/>
      </c>
      <c r="V196" s="105" t="str">
        <f t="shared" si="33"/>
        <v/>
      </c>
      <c r="W196" s="47" t="str">
        <f t="shared" si="34"/>
        <v/>
      </c>
    </row>
    <row r="197" spans="2:23" x14ac:dyDescent="0.25">
      <c r="B197" s="131"/>
      <c r="C197" s="131"/>
      <c r="D197" s="131"/>
      <c r="E197" s="131"/>
      <c r="F197" s="131"/>
      <c r="G197" s="131"/>
      <c r="H197" s="132"/>
      <c r="I197" s="132"/>
      <c r="J197" s="132"/>
      <c r="K197" s="292" t="str">
        <f t="shared" si="35"/>
        <v/>
      </c>
      <c r="L197" s="290" t="str">
        <f t="shared" si="40"/>
        <v/>
      </c>
      <c r="M197" s="290" t="str">
        <f t="shared" si="41"/>
        <v/>
      </c>
      <c r="N197" s="290" t="str">
        <f t="shared" si="42"/>
        <v/>
      </c>
      <c r="O197" s="290" t="str">
        <f t="shared" si="43"/>
        <v/>
      </c>
      <c r="P197" s="290" t="str">
        <f t="shared" si="36"/>
        <v/>
      </c>
      <c r="Q197" s="290" t="str">
        <f t="shared" si="37"/>
        <v/>
      </c>
      <c r="R197" s="290" t="str">
        <f t="shared" si="38"/>
        <v/>
      </c>
      <c r="S197" s="290" t="str">
        <f t="shared" si="39"/>
        <v/>
      </c>
      <c r="T197" s="291" t="str" cm="1">
        <f t="array" ref="T197">_xlfn.IFS(G197="", "", F197 = "", G197, 1, F197*G197)</f>
        <v/>
      </c>
      <c r="U197" s="293" t="str">
        <f t="shared" ref="U197:U214" si="44">IF(AND(B197="", C197="", E197=""), "", IF(OR(B197=0,B197=""),E197,B197 &amp; " Bed / " &amp;C197&amp; " Bath " &amp;E197))</f>
        <v/>
      </c>
      <c r="V197" s="105" t="str">
        <f t="shared" ref="V197:V214" si="45">IF(U197= "", "", B197)</f>
        <v/>
      </c>
      <c r="W197" s="47" t="str">
        <f t="shared" si="34"/>
        <v/>
      </c>
    </row>
    <row r="198" spans="2:23" x14ac:dyDescent="0.25">
      <c r="B198" s="131"/>
      <c r="C198" s="131"/>
      <c r="D198" s="131"/>
      <c r="E198" s="131"/>
      <c r="F198" s="131"/>
      <c r="G198" s="131"/>
      <c r="H198" s="132"/>
      <c r="I198" s="132"/>
      <c r="J198" s="132"/>
      <c r="K198" s="292" t="str">
        <f t="shared" si="35"/>
        <v/>
      </c>
      <c r="L198" s="290" t="str">
        <f t="shared" si="40"/>
        <v/>
      </c>
      <c r="M198" s="290" t="str">
        <f t="shared" si="41"/>
        <v/>
      </c>
      <c r="N198" s="290" t="str">
        <f t="shared" si="42"/>
        <v/>
      </c>
      <c r="O198" s="290" t="str">
        <f t="shared" si="43"/>
        <v/>
      </c>
      <c r="P198" s="290" t="str">
        <f t="shared" si="36"/>
        <v/>
      </c>
      <c r="Q198" s="290" t="str">
        <f t="shared" si="37"/>
        <v/>
      </c>
      <c r="R198" s="290" t="str">
        <f t="shared" si="38"/>
        <v/>
      </c>
      <c r="S198" s="290" t="str">
        <f t="shared" si="39"/>
        <v/>
      </c>
      <c r="T198" s="291" t="str" cm="1">
        <f t="array" ref="T198">_xlfn.IFS(G198="", "", F198 = "", G198, 1, F198*G198)</f>
        <v/>
      </c>
      <c r="U198" s="293" t="str">
        <f t="shared" si="44"/>
        <v/>
      </c>
      <c r="V198" s="105" t="str">
        <f t="shared" si="45"/>
        <v/>
      </c>
      <c r="W198" s="47" t="str">
        <f t="shared" ref="W198:W214" si="46">IF(AND(B198="", C198="", E198=""), "", IF(OR(B198=0,B198=""),E198,B198 &amp; " Bed / " &amp;C198&amp; " Bath "))</f>
        <v/>
      </c>
    </row>
    <row r="199" spans="2:23" x14ac:dyDescent="0.25">
      <c r="B199" s="131"/>
      <c r="C199" s="131"/>
      <c r="D199" s="131"/>
      <c r="E199" s="131"/>
      <c r="F199" s="131"/>
      <c r="G199" s="131"/>
      <c r="H199" s="132"/>
      <c r="I199" s="132"/>
      <c r="J199" s="132"/>
      <c r="K199" s="292" t="str">
        <f t="shared" ref="K199:K214" si="47">IF(G199= "", "", IF(H199=0,I199,H199))</f>
        <v/>
      </c>
      <c r="L199" s="290" t="str">
        <f t="shared" si="40"/>
        <v/>
      </c>
      <c r="M199" s="290" t="str">
        <f t="shared" si="41"/>
        <v/>
      </c>
      <c r="N199" s="290" t="str">
        <f t="shared" si="42"/>
        <v/>
      </c>
      <c r="O199" s="290" t="str">
        <f t="shared" si="43"/>
        <v/>
      </c>
      <c r="P199" s="290" t="str">
        <f t="shared" ref="P199:P214" si="48">IF(L199="", "", L199*12)</f>
        <v/>
      </c>
      <c r="Q199" s="290" t="str">
        <f t="shared" ref="Q199:Q214" si="49">IF(M199="", "", M199*12)</f>
        <v/>
      </c>
      <c r="R199" s="290" t="str">
        <f t="shared" ref="R199:R214" si="50">IF(N199="", "", N199*12)</f>
        <v/>
      </c>
      <c r="S199" s="290" t="str">
        <f t="shared" ref="S199:S214" si="51">IF(O199="", "", O199*12)</f>
        <v/>
      </c>
      <c r="T199" s="291" t="str" cm="1">
        <f t="array" ref="T199">_xlfn.IFS(G199="", "", F199 = "", G199, 1, F199*G199)</f>
        <v/>
      </c>
      <c r="U199" s="293" t="str">
        <f t="shared" si="44"/>
        <v/>
      </c>
      <c r="V199" s="105" t="str">
        <f t="shared" si="45"/>
        <v/>
      </c>
      <c r="W199" s="47" t="str">
        <f t="shared" si="46"/>
        <v/>
      </c>
    </row>
    <row r="200" spans="2:23" x14ac:dyDescent="0.25">
      <c r="B200" s="131"/>
      <c r="C200" s="131"/>
      <c r="D200" s="131"/>
      <c r="E200" s="131"/>
      <c r="F200" s="131"/>
      <c r="G200" s="131"/>
      <c r="H200" s="132"/>
      <c r="I200" s="132"/>
      <c r="J200" s="132"/>
      <c r="K200" s="292" t="str">
        <f t="shared" si="47"/>
        <v/>
      </c>
      <c r="L200" s="290" t="str">
        <f t="shared" si="40"/>
        <v/>
      </c>
      <c r="M200" s="290" t="str">
        <f t="shared" si="41"/>
        <v/>
      </c>
      <c r="N200" s="290" t="str">
        <f t="shared" si="42"/>
        <v/>
      </c>
      <c r="O200" s="290" t="str">
        <f t="shared" si="43"/>
        <v/>
      </c>
      <c r="P200" s="290" t="str">
        <f t="shared" si="48"/>
        <v/>
      </c>
      <c r="Q200" s="290" t="str">
        <f t="shared" si="49"/>
        <v/>
      </c>
      <c r="R200" s="290" t="str">
        <f t="shared" si="50"/>
        <v/>
      </c>
      <c r="S200" s="290" t="str">
        <f t="shared" si="51"/>
        <v/>
      </c>
      <c r="T200" s="291" t="str" cm="1">
        <f t="array" ref="T200">_xlfn.IFS(G200="", "", F200 = "", G200, 1, F200*G200)</f>
        <v/>
      </c>
      <c r="U200" s="293" t="str">
        <f t="shared" si="44"/>
        <v/>
      </c>
      <c r="V200" s="105" t="str">
        <f t="shared" si="45"/>
        <v/>
      </c>
      <c r="W200" s="47" t="str">
        <f t="shared" si="46"/>
        <v/>
      </c>
    </row>
    <row r="201" spans="2:23" x14ac:dyDescent="0.25">
      <c r="B201" s="131"/>
      <c r="C201" s="131"/>
      <c r="D201" s="131"/>
      <c r="E201" s="131"/>
      <c r="F201" s="131"/>
      <c r="G201" s="131"/>
      <c r="H201" s="132"/>
      <c r="I201" s="132"/>
      <c r="J201" s="132"/>
      <c r="K201" s="292" t="str">
        <f t="shared" si="47"/>
        <v/>
      </c>
      <c r="L201" s="290" t="str">
        <f t="shared" si="40"/>
        <v/>
      </c>
      <c r="M201" s="290" t="str">
        <f t="shared" si="41"/>
        <v/>
      </c>
      <c r="N201" s="290" t="str">
        <f t="shared" si="42"/>
        <v/>
      </c>
      <c r="O201" s="290" t="str">
        <f t="shared" si="43"/>
        <v/>
      </c>
      <c r="P201" s="290" t="str">
        <f t="shared" si="48"/>
        <v/>
      </c>
      <c r="Q201" s="290" t="str">
        <f t="shared" si="49"/>
        <v/>
      </c>
      <c r="R201" s="290" t="str">
        <f t="shared" si="50"/>
        <v/>
      </c>
      <c r="S201" s="290" t="str">
        <f t="shared" si="51"/>
        <v/>
      </c>
      <c r="T201" s="291" t="str" cm="1">
        <f t="array" ref="T201">_xlfn.IFS(G201="", "", F201 = "", G201, 1, F201*G201)</f>
        <v/>
      </c>
      <c r="U201" s="293" t="str">
        <f t="shared" si="44"/>
        <v/>
      </c>
      <c r="V201" s="105" t="str">
        <f t="shared" si="45"/>
        <v/>
      </c>
      <c r="W201" s="47" t="str">
        <f t="shared" si="46"/>
        <v/>
      </c>
    </row>
    <row r="202" spans="2:23" x14ac:dyDescent="0.25">
      <c r="B202" s="131"/>
      <c r="C202" s="131"/>
      <c r="D202" s="131"/>
      <c r="E202" s="131"/>
      <c r="F202" s="131"/>
      <c r="G202" s="131"/>
      <c r="H202" s="132"/>
      <c r="I202" s="132"/>
      <c r="J202" s="132"/>
      <c r="K202" s="292" t="str">
        <f t="shared" si="47"/>
        <v/>
      </c>
      <c r="L202" s="290" t="str">
        <f t="shared" si="40"/>
        <v/>
      </c>
      <c r="M202" s="290" t="str">
        <f t="shared" si="41"/>
        <v/>
      </c>
      <c r="N202" s="290" t="str">
        <f t="shared" si="42"/>
        <v/>
      </c>
      <c r="O202" s="290" t="str">
        <f t="shared" si="43"/>
        <v/>
      </c>
      <c r="P202" s="290" t="str">
        <f t="shared" si="48"/>
        <v/>
      </c>
      <c r="Q202" s="290" t="str">
        <f t="shared" si="49"/>
        <v/>
      </c>
      <c r="R202" s="290" t="str">
        <f t="shared" si="50"/>
        <v/>
      </c>
      <c r="S202" s="290" t="str">
        <f t="shared" si="51"/>
        <v/>
      </c>
      <c r="T202" s="291" t="str" cm="1">
        <f t="array" ref="T202">_xlfn.IFS(G202="", "", F202 = "", G202, 1, F202*G202)</f>
        <v/>
      </c>
      <c r="U202" s="293" t="str">
        <f t="shared" si="44"/>
        <v/>
      </c>
      <c r="V202" s="105" t="str">
        <f t="shared" si="45"/>
        <v/>
      </c>
      <c r="W202" s="47" t="str">
        <f t="shared" si="46"/>
        <v/>
      </c>
    </row>
    <row r="203" spans="2:23" x14ac:dyDescent="0.25">
      <c r="B203" s="131"/>
      <c r="C203" s="131"/>
      <c r="D203" s="131"/>
      <c r="E203" s="131"/>
      <c r="F203" s="131"/>
      <c r="G203" s="131"/>
      <c r="H203" s="132"/>
      <c r="I203" s="132"/>
      <c r="J203" s="132"/>
      <c r="K203" s="292" t="str">
        <f t="shared" si="47"/>
        <v/>
      </c>
      <c r="L203" s="290" t="str">
        <f t="shared" si="40"/>
        <v/>
      </c>
      <c r="M203" s="290" t="str">
        <f t="shared" si="41"/>
        <v/>
      </c>
      <c r="N203" s="290" t="str">
        <f t="shared" si="42"/>
        <v/>
      </c>
      <c r="O203" s="290" t="str">
        <f t="shared" si="43"/>
        <v/>
      </c>
      <c r="P203" s="290" t="str">
        <f t="shared" si="48"/>
        <v/>
      </c>
      <c r="Q203" s="290" t="str">
        <f t="shared" si="49"/>
        <v/>
      </c>
      <c r="R203" s="290" t="str">
        <f t="shared" si="50"/>
        <v/>
      </c>
      <c r="S203" s="290" t="str">
        <f t="shared" si="51"/>
        <v/>
      </c>
      <c r="T203" s="291" t="str" cm="1">
        <f t="array" ref="T203">_xlfn.IFS(G203="", "", F203 = "", G203, 1, F203*G203)</f>
        <v/>
      </c>
      <c r="U203" s="293" t="str">
        <f t="shared" si="44"/>
        <v/>
      </c>
      <c r="V203" s="105" t="str">
        <f t="shared" si="45"/>
        <v/>
      </c>
      <c r="W203" s="47" t="str">
        <f t="shared" si="46"/>
        <v/>
      </c>
    </row>
    <row r="204" spans="2:23" x14ac:dyDescent="0.25">
      <c r="B204" s="131"/>
      <c r="C204" s="131"/>
      <c r="D204" s="131"/>
      <c r="E204" s="131"/>
      <c r="F204" s="131"/>
      <c r="G204" s="131"/>
      <c r="H204" s="132"/>
      <c r="I204" s="132"/>
      <c r="J204" s="132"/>
      <c r="K204" s="292" t="str">
        <f t="shared" si="47"/>
        <v/>
      </c>
      <c r="L204" s="290" t="str">
        <f t="shared" si="40"/>
        <v/>
      </c>
      <c r="M204" s="290" t="str">
        <f t="shared" si="41"/>
        <v/>
      </c>
      <c r="N204" s="290" t="str">
        <f t="shared" si="42"/>
        <v/>
      </c>
      <c r="O204" s="290" t="str">
        <f t="shared" si="43"/>
        <v/>
      </c>
      <c r="P204" s="290" t="str">
        <f t="shared" si="48"/>
        <v/>
      </c>
      <c r="Q204" s="290" t="str">
        <f t="shared" si="49"/>
        <v/>
      </c>
      <c r="R204" s="290" t="str">
        <f t="shared" si="50"/>
        <v/>
      </c>
      <c r="S204" s="290" t="str">
        <f t="shared" si="51"/>
        <v/>
      </c>
      <c r="T204" s="291" t="str" cm="1">
        <f t="array" ref="T204">_xlfn.IFS(G204="", "", F204 = "", G204, 1, F204*G204)</f>
        <v/>
      </c>
      <c r="U204" s="293" t="str">
        <f t="shared" si="44"/>
        <v/>
      </c>
      <c r="V204" s="105" t="str">
        <f t="shared" si="45"/>
        <v/>
      </c>
      <c r="W204" s="47" t="str">
        <f t="shared" si="46"/>
        <v/>
      </c>
    </row>
    <row r="205" spans="2:23" x14ac:dyDescent="0.25">
      <c r="B205" s="131"/>
      <c r="C205" s="131"/>
      <c r="D205" s="131"/>
      <c r="E205" s="131"/>
      <c r="F205" s="131"/>
      <c r="G205" s="131"/>
      <c r="H205" s="132"/>
      <c r="I205" s="132"/>
      <c r="J205" s="132"/>
      <c r="K205" s="292" t="str">
        <f t="shared" si="47"/>
        <v/>
      </c>
      <c r="L205" s="290" t="str">
        <f t="shared" si="40"/>
        <v/>
      </c>
      <c r="M205" s="290" t="str">
        <f t="shared" si="41"/>
        <v/>
      </c>
      <c r="N205" s="290" t="str">
        <f t="shared" si="42"/>
        <v/>
      </c>
      <c r="O205" s="290" t="str">
        <f t="shared" si="43"/>
        <v/>
      </c>
      <c r="P205" s="290" t="str">
        <f t="shared" si="48"/>
        <v/>
      </c>
      <c r="Q205" s="290" t="str">
        <f t="shared" si="49"/>
        <v/>
      </c>
      <c r="R205" s="290" t="str">
        <f t="shared" si="50"/>
        <v/>
      </c>
      <c r="S205" s="290" t="str">
        <f t="shared" si="51"/>
        <v/>
      </c>
      <c r="T205" s="291" t="str" cm="1">
        <f t="array" ref="T205">_xlfn.IFS(G205="", "", F205 = "", G205, 1, F205*G205)</f>
        <v/>
      </c>
      <c r="U205" s="293" t="str">
        <f t="shared" si="44"/>
        <v/>
      </c>
      <c r="V205" s="105" t="str">
        <f t="shared" si="45"/>
        <v/>
      </c>
      <c r="W205" s="47" t="str">
        <f t="shared" si="46"/>
        <v/>
      </c>
    </row>
    <row r="206" spans="2:23" x14ac:dyDescent="0.25">
      <c r="B206" s="131"/>
      <c r="C206" s="131"/>
      <c r="D206" s="131"/>
      <c r="E206" s="131"/>
      <c r="F206" s="131"/>
      <c r="G206" s="131"/>
      <c r="H206" s="132"/>
      <c r="I206" s="132"/>
      <c r="J206" s="132"/>
      <c r="K206" s="292" t="str">
        <f t="shared" si="47"/>
        <v/>
      </c>
      <c r="L206" s="290" t="str">
        <f t="shared" si="40"/>
        <v/>
      </c>
      <c r="M206" s="290" t="str">
        <f t="shared" si="41"/>
        <v/>
      </c>
      <c r="N206" s="290" t="str">
        <f t="shared" si="42"/>
        <v/>
      </c>
      <c r="O206" s="290" t="str">
        <f t="shared" si="43"/>
        <v/>
      </c>
      <c r="P206" s="290" t="str">
        <f t="shared" si="48"/>
        <v/>
      </c>
      <c r="Q206" s="290" t="str">
        <f t="shared" si="49"/>
        <v/>
      </c>
      <c r="R206" s="290" t="str">
        <f t="shared" si="50"/>
        <v/>
      </c>
      <c r="S206" s="290" t="str">
        <f t="shared" si="51"/>
        <v/>
      </c>
      <c r="T206" s="291" t="str" cm="1">
        <f t="array" ref="T206">_xlfn.IFS(G206="", "", F206 = "", G206, 1, F206*G206)</f>
        <v/>
      </c>
      <c r="U206" s="293" t="str">
        <f t="shared" si="44"/>
        <v/>
      </c>
      <c r="V206" s="105" t="str">
        <f t="shared" si="45"/>
        <v/>
      </c>
      <c r="W206" s="47" t="str">
        <f t="shared" si="46"/>
        <v/>
      </c>
    </row>
    <row r="207" spans="2:23" x14ac:dyDescent="0.25">
      <c r="B207" s="131"/>
      <c r="C207" s="131"/>
      <c r="D207" s="131"/>
      <c r="E207" s="131"/>
      <c r="F207" s="131"/>
      <c r="G207" s="131"/>
      <c r="H207" s="132"/>
      <c r="I207" s="132"/>
      <c r="J207" s="132"/>
      <c r="K207" s="292" t="str">
        <f t="shared" si="47"/>
        <v/>
      </c>
      <c r="L207" s="290" t="str">
        <f t="shared" si="40"/>
        <v/>
      </c>
      <c r="M207" s="290" t="str">
        <f t="shared" si="41"/>
        <v/>
      </c>
      <c r="N207" s="290" t="str">
        <f t="shared" si="42"/>
        <v/>
      </c>
      <c r="O207" s="290" t="str">
        <f t="shared" si="43"/>
        <v/>
      </c>
      <c r="P207" s="290" t="str">
        <f t="shared" si="48"/>
        <v/>
      </c>
      <c r="Q207" s="290" t="str">
        <f t="shared" si="49"/>
        <v/>
      </c>
      <c r="R207" s="290" t="str">
        <f t="shared" si="50"/>
        <v/>
      </c>
      <c r="S207" s="290" t="str">
        <f t="shared" si="51"/>
        <v/>
      </c>
      <c r="T207" s="291" t="str" cm="1">
        <f t="array" ref="T207">_xlfn.IFS(G207="", "", F207 = "", G207, 1, F207*G207)</f>
        <v/>
      </c>
      <c r="U207" s="293" t="str">
        <f t="shared" si="44"/>
        <v/>
      </c>
      <c r="V207" s="105" t="str">
        <f t="shared" si="45"/>
        <v/>
      </c>
      <c r="W207" s="47" t="str">
        <f t="shared" si="46"/>
        <v/>
      </c>
    </row>
    <row r="208" spans="2:23" x14ac:dyDescent="0.25">
      <c r="B208" s="131"/>
      <c r="C208" s="131"/>
      <c r="D208" s="131"/>
      <c r="E208" s="131"/>
      <c r="F208" s="131"/>
      <c r="G208" s="131"/>
      <c r="H208" s="132"/>
      <c r="I208" s="132"/>
      <c r="J208" s="132"/>
      <c r="K208" s="292" t="str">
        <f t="shared" si="47"/>
        <v/>
      </c>
      <c r="L208" s="290" t="str">
        <f t="shared" si="40"/>
        <v/>
      </c>
      <c r="M208" s="290" t="str">
        <f t="shared" si="41"/>
        <v/>
      </c>
      <c r="N208" s="290" t="str">
        <f t="shared" si="42"/>
        <v/>
      </c>
      <c r="O208" s="290" t="str">
        <f t="shared" si="43"/>
        <v/>
      </c>
      <c r="P208" s="290" t="str">
        <f t="shared" si="48"/>
        <v/>
      </c>
      <c r="Q208" s="290" t="str">
        <f t="shared" si="49"/>
        <v/>
      </c>
      <c r="R208" s="290" t="str">
        <f t="shared" si="50"/>
        <v/>
      </c>
      <c r="S208" s="290" t="str">
        <f t="shared" si="51"/>
        <v/>
      </c>
      <c r="T208" s="291" t="str" cm="1">
        <f t="array" ref="T208">_xlfn.IFS(G208="", "", F208 = "", G208, 1, F208*G208)</f>
        <v/>
      </c>
      <c r="U208" s="293" t="str">
        <f t="shared" si="44"/>
        <v/>
      </c>
      <c r="V208" s="105" t="str">
        <f t="shared" si="45"/>
        <v/>
      </c>
      <c r="W208" s="47" t="str">
        <f t="shared" si="46"/>
        <v/>
      </c>
    </row>
    <row r="209" spans="2:23" x14ac:dyDescent="0.25">
      <c r="B209" s="131"/>
      <c r="C209" s="131"/>
      <c r="D209" s="131"/>
      <c r="E209" s="131"/>
      <c r="F209" s="131"/>
      <c r="G209" s="131"/>
      <c r="H209" s="132"/>
      <c r="I209" s="132"/>
      <c r="J209" s="132"/>
      <c r="K209" s="292" t="str">
        <f t="shared" si="47"/>
        <v/>
      </c>
      <c r="L209" s="290" t="str">
        <f t="shared" si="40"/>
        <v/>
      </c>
      <c r="M209" s="290" t="str">
        <f t="shared" si="41"/>
        <v/>
      </c>
      <c r="N209" s="290" t="str">
        <f t="shared" si="42"/>
        <v/>
      </c>
      <c r="O209" s="290" t="str">
        <f t="shared" si="43"/>
        <v/>
      </c>
      <c r="P209" s="290" t="str">
        <f t="shared" si="48"/>
        <v/>
      </c>
      <c r="Q209" s="290" t="str">
        <f t="shared" si="49"/>
        <v/>
      </c>
      <c r="R209" s="290" t="str">
        <f t="shared" si="50"/>
        <v/>
      </c>
      <c r="S209" s="290" t="str">
        <f t="shared" si="51"/>
        <v/>
      </c>
      <c r="T209" s="291" t="str" cm="1">
        <f t="array" ref="T209">_xlfn.IFS(G209="", "", F209 = "", G209, 1, F209*G209)</f>
        <v/>
      </c>
      <c r="U209" s="293" t="str">
        <f t="shared" si="44"/>
        <v/>
      </c>
      <c r="V209" s="105" t="str">
        <f t="shared" si="45"/>
        <v/>
      </c>
      <c r="W209" s="47" t="str">
        <f t="shared" si="46"/>
        <v/>
      </c>
    </row>
    <row r="210" spans="2:23" x14ac:dyDescent="0.25">
      <c r="B210" s="131"/>
      <c r="C210" s="131"/>
      <c r="D210" s="131"/>
      <c r="E210" s="131"/>
      <c r="F210" s="131"/>
      <c r="G210" s="131"/>
      <c r="H210" s="132"/>
      <c r="I210" s="132"/>
      <c r="J210" s="132"/>
      <c r="K210" s="292" t="str">
        <f t="shared" si="47"/>
        <v/>
      </c>
      <c r="L210" s="290" t="str">
        <f t="shared" si="40"/>
        <v/>
      </c>
      <c r="M210" s="290" t="str">
        <f t="shared" si="41"/>
        <v/>
      </c>
      <c r="N210" s="290" t="str">
        <f t="shared" si="42"/>
        <v/>
      </c>
      <c r="O210" s="290" t="str">
        <f t="shared" si="43"/>
        <v/>
      </c>
      <c r="P210" s="290" t="str">
        <f t="shared" si="48"/>
        <v/>
      </c>
      <c r="Q210" s="290" t="str">
        <f t="shared" si="49"/>
        <v/>
      </c>
      <c r="R210" s="290" t="str">
        <f t="shared" si="50"/>
        <v/>
      </c>
      <c r="S210" s="290" t="str">
        <f t="shared" si="51"/>
        <v/>
      </c>
      <c r="T210" s="291" t="str" cm="1">
        <f t="array" ref="T210">_xlfn.IFS(G210="", "", F210 = "", G210, 1, F210*G210)</f>
        <v/>
      </c>
      <c r="U210" s="293" t="str">
        <f t="shared" si="44"/>
        <v/>
      </c>
      <c r="V210" s="105" t="str">
        <f t="shared" si="45"/>
        <v/>
      </c>
      <c r="W210" s="47" t="str">
        <f t="shared" si="46"/>
        <v/>
      </c>
    </row>
    <row r="211" spans="2:23" x14ac:dyDescent="0.25">
      <c r="B211" s="131"/>
      <c r="C211" s="131"/>
      <c r="D211" s="131"/>
      <c r="E211" s="131"/>
      <c r="F211" s="131"/>
      <c r="G211" s="131"/>
      <c r="H211" s="132"/>
      <c r="I211" s="132"/>
      <c r="J211" s="132"/>
      <c r="K211" s="292" t="str">
        <f t="shared" si="47"/>
        <v/>
      </c>
      <c r="L211" s="290" t="str">
        <f t="shared" si="40"/>
        <v/>
      </c>
      <c r="M211" s="290" t="str">
        <f t="shared" si="41"/>
        <v/>
      </c>
      <c r="N211" s="290" t="str">
        <f t="shared" si="42"/>
        <v/>
      </c>
      <c r="O211" s="290" t="str">
        <f t="shared" si="43"/>
        <v/>
      </c>
      <c r="P211" s="290" t="str">
        <f t="shared" si="48"/>
        <v/>
      </c>
      <c r="Q211" s="290" t="str">
        <f t="shared" si="49"/>
        <v/>
      </c>
      <c r="R211" s="290" t="str">
        <f t="shared" si="50"/>
        <v/>
      </c>
      <c r="S211" s="290" t="str">
        <f t="shared" si="51"/>
        <v/>
      </c>
      <c r="T211" s="291" t="str" cm="1">
        <f t="array" ref="T211">_xlfn.IFS(G211="", "", F211 = "", G211, 1, F211*G211)</f>
        <v/>
      </c>
      <c r="U211" s="293" t="str">
        <f t="shared" si="44"/>
        <v/>
      </c>
      <c r="V211" s="105" t="str">
        <f t="shared" si="45"/>
        <v/>
      </c>
      <c r="W211" s="47" t="str">
        <f t="shared" si="46"/>
        <v/>
      </c>
    </row>
    <row r="212" spans="2:23" x14ac:dyDescent="0.25">
      <c r="B212" s="131"/>
      <c r="C212" s="131"/>
      <c r="D212" s="131"/>
      <c r="E212" s="131"/>
      <c r="F212" s="131"/>
      <c r="G212" s="131"/>
      <c r="H212" s="132"/>
      <c r="I212" s="132"/>
      <c r="J212" s="132"/>
      <c r="K212" s="292" t="str">
        <f t="shared" si="47"/>
        <v/>
      </c>
      <c r="L212" s="290" t="str">
        <f t="shared" si="40"/>
        <v/>
      </c>
      <c r="M212" s="290" t="str">
        <f t="shared" si="41"/>
        <v/>
      </c>
      <c r="N212" s="290" t="str">
        <f t="shared" si="42"/>
        <v/>
      </c>
      <c r="O212" s="290" t="str">
        <f t="shared" si="43"/>
        <v/>
      </c>
      <c r="P212" s="290" t="str">
        <f t="shared" si="48"/>
        <v/>
      </c>
      <c r="Q212" s="290" t="str">
        <f t="shared" si="49"/>
        <v/>
      </c>
      <c r="R212" s="290" t="str">
        <f t="shared" si="50"/>
        <v/>
      </c>
      <c r="S212" s="290" t="str">
        <f t="shared" si="51"/>
        <v/>
      </c>
      <c r="T212" s="291" t="str" cm="1">
        <f t="array" ref="T212">_xlfn.IFS(G212="", "", F212 = "", G212, 1, F212*G212)</f>
        <v/>
      </c>
      <c r="U212" s="293" t="str">
        <f t="shared" si="44"/>
        <v/>
      </c>
      <c r="V212" s="105" t="str">
        <f t="shared" si="45"/>
        <v/>
      </c>
      <c r="W212" s="47" t="str">
        <f t="shared" si="46"/>
        <v/>
      </c>
    </row>
    <row r="213" spans="2:23" x14ac:dyDescent="0.25">
      <c r="B213" s="131"/>
      <c r="C213" s="131"/>
      <c r="D213" s="131"/>
      <c r="E213" s="131"/>
      <c r="F213" s="131"/>
      <c r="G213" s="131"/>
      <c r="H213" s="132"/>
      <c r="I213" s="132"/>
      <c r="J213" s="132"/>
      <c r="K213" s="292" t="str">
        <f t="shared" si="47"/>
        <v/>
      </c>
      <c r="L213" s="290" t="str">
        <f t="shared" si="40"/>
        <v/>
      </c>
      <c r="M213" s="290" t="str">
        <f t="shared" si="41"/>
        <v/>
      </c>
      <c r="N213" s="290" t="str">
        <f t="shared" si="42"/>
        <v/>
      </c>
      <c r="O213" s="290" t="str">
        <f t="shared" si="43"/>
        <v/>
      </c>
      <c r="P213" s="290" t="str">
        <f t="shared" si="48"/>
        <v/>
      </c>
      <c r="Q213" s="290" t="str">
        <f t="shared" si="49"/>
        <v/>
      </c>
      <c r="R213" s="290" t="str">
        <f t="shared" si="50"/>
        <v/>
      </c>
      <c r="S213" s="290" t="str">
        <f t="shared" si="51"/>
        <v/>
      </c>
      <c r="T213" s="291" t="str" cm="1">
        <f t="array" ref="T213">_xlfn.IFS(G213="", "", F213 = "", G213, 1, F213*G213)</f>
        <v/>
      </c>
      <c r="U213" s="293" t="str">
        <f t="shared" si="44"/>
        <v/>
      </c>
      <c r="V213" s="105" t="str">
        <f t="shared" si="45"/>
        <v/>
      </c>
      <c r="W213" s="47" t="str">
        <f t="shared" si="46"/>
        <v/>
      </c>
    </row>
    <row r="214" spans="2:23" x14ac:dyDescent="0.25">
      <c r="B214" s="131"/>
      <c r="C214" s="131"/>
      <c r="D214" s="131"/>
      <c r="E214" s="131"/>
      <c r="F214" s="131"/>
      <c r="G214" s="131"/>
      <c r="H214" s="132"/>
      <c r="I214" s="132"/>
      <c r="J214" s="132"/>
      <c r="K214" s="292" t="str">
        <f t="shared" si="47"/>
        <v/>
      </c>
      <c r="L214" s="290" t="str">
        <f t="shared" si="40"/>
        <v/>
      </c>
      <c r="M214" s="290" t="str">
        <f t="shared" si="41"/>
        <v/>
      </c>
      <c r="N214" s="290" t="str">
        <f t="shared" si="42"/>
        <v/>
      </c>
      <c r="O214" s="290" t="str">
        <f t="shared" si="43"/>
        <v/>
      </c>
      <c r="P214" s="290" t="str">
        <f t="shared" si="48"/>
        <v/>
      </c>
      <c r="Q214" s="290" t="str">
        <f t="shared" si="49"/>
        <v/>
      </c>
      <c r="R214" s="290" t="str">
        <f t="shared" si="50"/>
        <v/>
      </c>
      <c r="S214" s="290" t="str">
        <f t="shared" si="51"/>
        <v/>
      </c>
      <c r="T214" s="291" t="str" cm="1">
        <f t="array" ref="T214">_xlfn.IFS(G214="", "", F214 = "", G214, 1, F214*G214)</f>
        <v/>
      </c>
      <c r="U214" s="293" t="str">
        <f t="shared" si="44"/>
        <v/>
      </c>
      <c r="V214" s="105" t="str">
        <f t="shared" si="45"/>
        <v/>
      </c>
      <c r="W214" s="47" t="str">
        <f t="shared" si="46"/>
        <v/>
      </c>
    </row>
    <row r="215" spans="2:23" x14ac:dyDescent="0.25">
      <c r="K215" s="294"/>
      <c r="L215" s="294"/>
      <c r="M215" s="294"/>
      <c r="N215" s="294"/>
      <c r="O215" s="294"/>
      <c r="P215" s="294"/>
      <c r="Q215" s="294"/>
      <c r="R215" s="294"/>
      <c r="S215" s="294"/>
      <c r="T215" s="294"/>
      <c r="U215" s="294"/>
      <c r="V215" s="105" t="str">
        <f t="shared" ref="V215:V278" si="52">IF(U215= "", "", B215)</f>
        <v/>
      </c>
      <c r="W215" s="47" t="str">
        <f t="shared" ref="W215:W278" si="53">IF(AND(B215="", C215="", E215=""), "", IF(OR(B215=0,B215=""),E215,B215 &amp; " Bed / " &amp;C215&amp; " Bath "))</f>
        <v/>
      </c>
    </row>
    <row r="216" spans="2:23" x14ac:dyDescent="0.25">
      <c r="K216" s="294"/>
      <c r="L216" s="294"/>
      <c r="M216" s="294"/>
      <c r="N216" s="294"/>
      <c r="O216" s="294"/>
      <c r="P216" s="294"/>
      <c r="Q216" s="294"/>
      <c r="R216" s="294"/>
      <c r="S216" s="294"/>
      <c r="T216" s="294"/>
      <c r="U216" s="294"/>
      <c r="V216" s="105" t="str">
        <f t="shared" si="52"/>
        <v/>
      </c>
      <c r="W216" s="47" t="str">
        <f t="shared" si="53"/>
        <v/>
      </c>
    </row>
    <row r="217" spans="2:23" x14ac:dyDescent="0.25">
      <c r="K217" s="294"/>
      <c r="L217" s="294"/>
      <c r="M217" s="294"/>
      <c r="N217" s="294"/>
      <c r="O217" s="294"/>
      <c r="P217" s="294"/>
      <c r="Q217" s="294"/>
      <c r="R217" s="294"/>
      <c r="S217" s="294"/>
      <c r="T217" s="294"/>
      <c r="U217" s="294"/>
      <c r="V217" s="105" t="str">
        <f t="shared" si="52"/>
        <v/>
      </c>
      <c r="W217" s="47" t="str">
        <f t="shared" si="53"/>
        <v/>
      </c>
    </row>
    <row r="218" spans="2:23" x14ac:dyDescent="0.25">
      <c r="K218" s="294"/>
      <c r="L218" s="294"/>
      <c r="M218" s="294"/>
      <c r="N218" s="294"/>
      <c r="O218" s="294"/>
      <c r="P218" s="294"/>
      <c r="Q218" s="294"/>
      <c r="R218" s="294"/>
      <c r="S218" s="294"/>
      <c r="T218" s="294"/>
      <c r="U218" s="294"/>
      <c r="V218" s="105" t="str">
        <f t="shared" si="52"/>
        <v/>
      </c>
      <c r="W218" s="47" t="str">
        <f t="shared" si="53"/>
        <v/>
      </c>
    </row>
    <row r="219" spans="2:23" x14ac:dyDescent="0.25">
      <c r="K219" s="294"/>
      <c r="L219" s="294"/>
      <c r="M219" s="294"/>
      <c r="N219" s="294"/>
      <c r="O219" s="294"/>
      <c r="P219" s="294"/>
      <c r="Q219" s="294"/>
      <c r="R219" s="294"/>
      <c r="S219" s="294"/>
      <c r="T219" s="294"/>
      <c r="U219" s="294"/>
      <c r="V219" s="105" t="str">
        <f t="shared" si="52"/>
        <v/>
      </c>
      <c r="W219" s="47" t="str">
        <f t="shared" si="53"/>
        <v/>
      </c>
    </row>
    <row r="220" spans="2:23" x14ac:dyDescent="0.25">
      <c r="K220" s="294"/>
      <c r="L220" s="294"/>
      <c r="M220" s="294"/>
      <c r="N220" s="294"/>
      <c r="O220" s="294"/>
      <c r="P220" s="294"/>
      <c r="Q220" s="294"/>
      <c r="R220" s="294"/>
      <c r="S220" s="294"/>
      <c r="T220" s="294"/>
      <c r="U220" s="294"/>
      <c r="V220" s="105" t="str">
        <f t="shared" si="52"/>
        <v/>
      </c>
      <c r="W220" s="47" t="str">
        <f t="shared" si="53"/>
        <v/>
      </c>
    </row>
    <row r="221" spans="2:23" x14ac:dyDescent="0.25">
      <c r="K221" s="294"/>
      <c r="L221" s="294"/>
      <c r="M221" s="294"/>
      <c r="N221" s="294"/>
      <c r="O221" s="294"/>
      <c r="P221" s="294"/>
      <c r="Q221" s="294"/>
      <c r="R221" s="294"/>
      <c r="S221" s="294"/>
      <c r="T221" s="294"/>
      <c r="U221" s="294"/>
      <c r="V221" s="105" t="str">
        <f t="shared" si="52"/>
        <v/>
      </c>
      <c r="W221" s="47" t="str">
        <f t="shared" si="53"/>
        <v/>
      </c>
    </row>
    <row r="222" spans="2:23" x14ac:dyDescent="0.25">
      <c r="K222" s="294"/>
      <c r="L222" s="294"/>
      <c r="M222" s="294"/>
      <c r="N222" s="294"/>
      <c r="O222" s="294"/>
      <c r="P222" s="294"/>
      <c r="Q222" s="294"/>
      <c r="R222" s="294"/>
      <c r="S222" s="294"/>
      <c r="T222" s="294"/>
      <c r="U222" s="294"/>
      <c r="V222" s="105" t="str">
        <f t="shared" si="52"/>
        <v/>
      </c>
      <c r="W222" s="47" t="str">
        <f t="shared" si="53"/>
        <v/>
      </c>
    </row>
    <row r="223" spans="2:23" x14ac:dyDescent="0.25">
      <c r="V223" s="105" t="str">
        <f t="shared" si="52"/>
        <v/>
      </c>
      <c r="W223" s="47" t="str">
        <f t="shared" si="53"/>
        <v/>
      </c>
    </row>
    <row r="224" spans="2:23" x14ac:dyDescent="0.25">
      <c r="V224" s="105" t="str">
        <f t="shared" si="52"/>
        <v/>
      </c>
      <c r="W224" s="47" t="str">
        <f t="shared" si="53"/>
        <v/>
      </c>
    </row>
    <row r="225" spans="22:23" x14ac:dyDescent="0.25">
      <c r="V225" s="105" t="str">
        <f t="shared" si="52"/>
        <v/>
      </c>
      <c r="W225" s="47" t="str">
        <f t="shared" si="53"/>
        <v/>
      </c>
    </row>
    <row r="226" spans="22:23" x14ac:dyDescent="0.25">
      <c r="V226" s="105" t="str">
        <f t="shared" si="52"/>
        <v/>
      </c>
      <c r="W226" s="47" t="str">
        <f t="shared" si="53"/>
        <v/>
      </c>
    </row>
    <row r="227" spans="22:23" x14ac:dyDescent="0.25">
      <c r="V227" s="105" t="str">
        <f t="shared" si="52"/>
        <v/>
      </c>
      <c r="W227" s="47" t="str">
        <f t="shared" si="53"/>
        <v/>
      </c>
    </row>
    <row r="228" spans="22:23" x14ac:dyDescent="0.25">
      <c r="V228" s="105" t="str">
        <f t="shared" si="52"/>
        <v/>
      </c>
      <c r="W228" s="47" t="str">
        <f t="shared" si="53"/>
        <v/>
      </c>
    </row>
    <row r="229" spans="22:23" x14ac:dyDescent="0.25">
      <c r="V229" s="105" t="str">
        <f t="shared" si="52"/>
        <v/>
      </c>
      <c r="W229" s="47" t="str">
        <f t="shared" si="53"/>
        <v/>
      </c>
    </row>
    <row r="230" spans="22:23" x14ac:dyDescent="0.25">
      <c r="V230" s="105" t="str">
        <f t="shared" si="52"/>
        <v/>
      </c>
      <c r="W230" s="47" t="str">
        <f t="shared" si="53"/>
        <v/>
      </c>
    </row>
    <row r="231" spans="22:23" x14ac:dyDescent="0.25">
      <c r="V231" s="105" t="str">
        <f t="shared" si="52"/>
        <v/>
      </c>
      <c r="W231" s="47" t="str">
        <f t="shared" si="53"/>
        <v/>
      </c>
    </row>
    <row r="232" spans="22:23" x14ac:dyDescent="0.25">
      <c r="V232" s="105" t="str">
        <f t="shared" si="52"/>
        <v/>
      </c>
      <c r="W232" s="47" t="str">
        <f t="shared" si="53"/>
        <v/>
      </c>
    </row>
    <row r="233" spans="22:23" x14ac:dyDescent="0.25">
      <c r="V233" s="105" t="str">
        <f t="shared" si="52"/>
        <v/>
      </c>
      <c r="W233" s="47" t="str">
        <f t="shared" si="53"/>
        <v/>
      </c>
    </row>
    <row r="234" spans="22:23" x14ac:dyDescent="0.25">
      <c r="V234" s="105" t="str">
        <f t="shared" si="52"/>
        <v/>
      </c>
      <c r="W234" s="47" t="str">
        <f t="shared" si="53"/>
        <v/>
      </c>
    </row>
    <row r="235" spans="22:23" x14ac:dyDescent="0.25">
      <c r="V235" s="105" t="str">
        <f t="shared" si="52"/>
        <v/>
      </c>
      <c r="W235" s="47" t="str">
        <f t="shared" si="53"/>
        <v/>
      </c>
    </row>
    <row r="236" spans="22:23" x14ac:dyDescent="0.25">
      <c r="V236" s="105" t="str">
        <f t="shared" si="52"/>
        <v/>
      </c>
      <c r="W236" s="47" t="str">
        <f t="shared" si="53"/>
        <v/>
      </c>
    </row>
    <row r="237" spans="22:23" x14ac:dyDescent="0.25">
      <c r="V237" s="105" t="str">
        <f t="shared" si="52"/>
        <v/>
      </c>
      <c r="W237" s="47" t="str">
        <f t="shared" si="53"/>
        <v/>
      </c>
    </row>
    <row r="238" spans="22:23" x14ac:dyDescent="0.25">
      <c r="V238" s="105" t="str">
        <f t="shared" si="52"/>
        <v/>
      </c>
      <c r="W238" s="47" t="str">
        <f t="shared" si="53"/>
        <v/>
      </c>
    </row>
    <row r="239" spans="22:23" x14ac:dyDescent="0.25">
      <c r="V239" s="105" t="str">
        <f t="shared" si="52"/>
        <v/>
      </c>
      <c r="W239" s="47" t="str">
        <f t="shared" si="53"/>
        <v/>
      </c>
    </row>
    <row r="240" spans="22:23" x14ac:dyDescent="0.25">
      <c r="V240" s="105" t="str">
        <f t="shared" si="52"/>
        <v/>
      </c>
      <c r="W240" s="47" t="str">
        <f t="shared" si="53"/>
        <v/>
      </c>
    </row>
    <row r="241" spans="22:23" x14ac:dyDescent="0.25">
      <c r="V241" s="105" t="str">
        <f t="shared" si="52"/>
        <v/>
      </c>
      <c r="W241" s="47" t="str">
        <f t="shared" si="53"/>
        <v/>
      </c>
    </row>
    <row r="242" spans="22:23" x14ac:dyDescent="0.25">
      <c r="V242" s="105" t="str">
        <f t="shared" si="52"/>
        <v/>
      </c>
      <c r="W242" s="47" t="str">
        <f t="shared" si="53"/>
        <v/>
      </c>
    </row>
    <row r="243" spans="22:23" x14ac:dyDescent="0.25">
      <c r="V243" s="105" t="str">
        <f t="shared" si="52"/>
        <v/>
      </c>
      <c r="W243" s="47" t="str">
        <f t="shared" si="53"/>
        <v/>
      </c>
    </row>
    <row r="244" spans="22:23" x14ac:dyDescent="0.25">
      <c r="V244" s="105" t="str">
        <f t="shared" si="52"/>
        <v/>
      </c>
      <c r="W244" s="47" t="str">
        <f t="shared" si="53"/>
        <v/>
      </c>
    </row>
    <row r="245" spans="22:23" x14ac:dyDescent="0.25">
      <c r="V245" s="105" t="str">
        <f t="shared" si="52"/>
        <v/>
      </c>
      <c r="W245" s="47" t="str">
        <f t="shared" si="53"/>
        <v/>
      </c>
    </row>
    <row r="246" spans="22:23" x14ac:dyDescent="0.25">
      <c r="V246" s="105" t="str">
        <f t="shared" si="52"/>
        <v/>
      </c>
      <c r="W246" s="47" t="str">
        <f t="shared" si="53"/>
        <v/>
      </c>
    </row>
    <row r="247" spans="22:23" x14ac:dyDescent="0.25">
      <c r="V247" s="105" t="str">
        <f t="shared" si="52"/>
        <v/>
      </c>
      <c r="W247" s="47" t="str">
        <f t="shared" si="53"/>
        <v/>
      </c>
    </row>
    <row r="248" spans="22:23" x14ac:dyDescent="0.25">
      <c r="V248" s="105" t="str">
        <f t="shared" si="52"/>
        <v/>
      </c>
      <c r="W248" s="47" t="str">
        <f t="shared" si="53"/>
        <v/>
      </c>
    </row>
    <row r="249" spans="22:23" x14ac:dyDescent="0.25">
      <c r="V249" s="105" t="str">
        <f t="shared" si="52"/>
        <v/>
      </c>
      <c r="W249" s="47" t="str">
        <f t="shared" si="53"/>
        <v/>
      </c>
    </row>
    <row r="250" spans="22:23" x14ac:dyDescent="0.25">
      <c r="V250" s="105" t="str">
        <f t="shared" si="52"/>
        <v/>
      </c>
      <c r="W250" s="47" t="str">
        <f t="shared" si="53"/>
        <v/>
      </c>
    </row>
    <row r="251" spans="22:23" x14ac:dyDescent="0.25">
      <c r="V251" s="105" t="str">
        <f t="shared" si="52"/>
        <v/>
      </c>
      <c r="W251" s="47" t="str">
        <f t="shared" si="53"/>
        <v/>
      </c>
    </row>
    <row r="252" spans="22:23" x14ac:dyDescent="0.25">
      <c r="V252" s="105" t="str">
        <f t="shared" si="52"/>
        <v/>
      </c>
      <c r="W252" s="47" t="str">
        <f t="shared" si="53"/>
        <v/>
      </c>
    </row>
    <row r="253" spans="22:23" x14ac:dyDescent="0.25">
      <c r="V253" s="105" t="str">
        <f t="shared" si="52"/>
        <v/>
      </c>
      <c r="W253" s="47" t="str">
        <f t="shared" si="53"/>
        <v/>
      </c>
    </row>
    <row r="254" spans="22:23" x14ac:dyDescent="0.25">
      <c r="V254" s="105" t="str">
        <f t="shared" si="52"/>
        <v/>
      </c>
      <c r="W254" s="47" t="str">
        <f t="shared" si="53"/>
        <v/>
      </c>
    </row>
    <row r="255" spans="22:23" x14ac:dyDescent="0.25">
      <c r="V255" s="105" t="str">
        <f t="shared" si="52"/>
        <v/>
      </c>
      <c r="W255" s="47" t="str">
        <f t="shared" si="53"/>
        <v/>
      </c>
    </row>
    <row r="256" spans="22:23" x14ac:dyDescent="0.25">
      <c r="V256" s="105" t="str">
        <f t="shared" si="52"/>
        <v/>
      </c>
      <c r="W256" s="47" t="str">
        <f t="shared" si="53"/>
        <v/>
      </c>
    </row>
    <row r="257" spans="22:23" x14ac:dyDescent="0.25">
      <c r="V257" s="105" t="str">
        <f t="shared" si="52"/>
        <v/>
      </c>
      <c r="W257" s="47" t="str">
        <f t="shared" si="53"/>
        <v/>
      </c>
    </row>
    <row r="258" spans="22:23" x14ac:dyDescent="0.25">
      <c r="V258" s="105" t="str">
        <f t="shared" si="52"/>
        <v/>
      </c>
      <c r="W258" s="47" t="str">
        <f t="shared" si="53"/>
        <v/>
      </c>
    </row>
    <row r="259" spans="22:23" x14ac:dyDescent="0.25">
      <c r="V259" s="105" t="str">
        <f t="shared" si="52"/>
        <v/>
      </c>
      <c r="W259" s="47" t="str">
        <f t="shared" si="53"/>
        <v/>
      </c>
    </row>
    <row r="260" spans="22:23" x14ac:dyDescent="0.25">
      <c r="V260" s="105" t="str">
        <f t="shared" si="52"/>
        <v/>
      </c>
      <c r="W260" s="47" t="str">
        <f t="shared" si="53"/>
        <v/>
      </c>
    </row>
    <row r="261" spans="22:23" x14ac:dyDescent="0.25">
      <c r="V261" s="105" t="str">
        <f t="shared" si="52"/>
        <v/>
      </c>
      <c r="W261" s="47" t="str">
        <f t="shared" si="53"/>
        <v/>
      </c>
    </row>
    <row r="262" spans="22:23" x14ac:dyDescent="0.25">
      <c r="V262" s="105" t="str">
        <f t="shared" si="52"/>
        <v/>
      </c>
      <c r="W262" s="47" t="str">
        <f t="shared" si="53"/>
        <v/>
      </c>
    </row>
    <row r="263" spans="22:23" x14ac:dyDescent="0.25">
      <c r="V263" s="105" t="str">
        <f t="shared" si="52"/>
        <v/>
      </c>
      <c r="W263" s="47" t="str">
        <f t="shared" si="53"/>
        <v/>
      </c>
    </row>
    <row r="264" spans="22:23" x14ac:dyDescent="0.25">
      <c r="V264" s="105" t="str">
        <f t="shared" si="52"/>
        <v/>
      </c>
      <c r="W264" s="47" t="str">
        <f t="shared" si="53"/>
        <v/>
      </c>
    </row>
    <row r="265" spans="22:23" x14ac:dyDescent="0.25">
      <c r="V265" s="105" t="str">
        <f t="shared" si="52"/>
        <v/>
      </c>
      <c r="W265" s="47" t="str">
        <f t="shared" si="53"/>
        <v/>
      </c>
    </row>
    <row r="266" spans="22:23" x14ac:dyDescent="0.25">
      <c r="V266" s="105" t="str">
        <f t="shared" si="52"/>
        <v/>
      </c>
      <c r="W266" s="47" t="str">
        <f t="shared" si="53"/>
        <v/>
      </c>
    </row>
    <row r="267" spans="22:23" x14ac:dyDescent="0.25">
      <c r="V267" s="105" t="str">
        <f t="shared" si="52"/>
        <v/>
      </c>
      <c r="W267" s="47" t="str">
        <f t="shared" si="53"/>
        <v/>
      </c>
    </row>
    <row r="268" spans="22:23" x14ac:dyDescent="0.25">
      <c r="V268" s="105" t="str">
        <f t="shared" si="52"/>
        <v/>
      </c>
      <c r="W268" s="47" t="str">
        <f t="shared" si="53"/>
        <v/>
      </c>
    </row>
    <row r="269" spans="22:23" x14ac:dyDescent="0.25">
      <c r="V269" s="105" t="str">
        <f t="shared" si="52"/>
        <v/>
      </c>
      <c r="W269" s="47" t="str">
        <f t="shared" si="53"/>
        <v/>
      </c>
    </row>
    <row r="270" spans="22:23" x14ac:dyDescent="0.25">
      <c r="V270" s="105" t="str">
        <f t="shared" si="52"/>
        <v/>
      </c>
      <c r="W270" s="47" t="str">
        <f t="shared" si="53"/>
        <v/>
      </c>
    </row>
    <row r="271" spans="22:23" x14ac:dyDescent="0.25">
      <c r="V271" s="105" t="str">
        <f t="shared" si="52"/>
        <v/>
      </c>
      <c r="W271" s="47" t="str">
        <f t="shared" si="53"/>
        <v/>
      </c>
    </row>
    <row r="272" spans="22:23" x14ac:dyDescent="0.25">
      <c r="V272" s="105" t="str">
        <f t="shared" si="52"/>
        <v/>
      </c>
      <c r="W272" s="47" t="str">
        <f t="shared" si="53"/>
        <v/>
      </c>
    </row>
    <row r="273" spans="22:23" x14ac:dyDescent="0.25">
      <c r="V273" s="105" t="str">
        <f t="shared" si="52"/>
        <v/>
      </c>
      <c r="W273" s="47" t="str">
        <f t="shared" si="53"/>
        <v/>
      </c>
    </row>
    <row r="274" spans="22:23" x14ac:dyDescent="0.25">
      <c r="V274" s="105" t="str">
        <f t="shared" si="52"/>
        <v/>
      </c>
      <c r="W274" s="47" t="str">
        <f t="shared" si="53"/>
        <v/>
      </c>
    </row>
    <row r="275" spans="22:23" x14ac:dyDescent="0.25">
      <c r="V275" s="105" t="str">
        <f t="shared" si="52"/>
        <v/>
      </c>
      <c r="W275" s="47" t="str">
        <f t="shared" si="53"/>
        <v/>
      </c>
    </row>
    <row r="276" spans="22:23" x14ac:dyDescent="0.25">
      <c r="V276" s="105" t="str">
        <f t="shared" si="52"/>
        <v/>
      </c>
      <c r="W276" s="47" t="str">
        <f t="shared" si="53"/>
        <v/>
      </c>
    </row>
    <row r="277" spans="22:23" x14ac:dyDescent="0.25">
      <c r="V277" s="105" t="str">
        <f t="shared" si="52"/>
        <v/>
      </c>
      <c r="W277" s="47" t="str">
        <f t="shared" si="53"/>
        <v/>
      </c>
    </row>
    <row r="278" spans="22:23" x14ac:dyDescent="0.25">
      <c r="V278" s="105" t="str">
        <f t="shared" si="52"/>
        <v/>
      </c>
      <c r="W278" s="47" t="str">
        <f t="shared" si="53"/>
        <v/>
      </c>
    </row>
    <row r="279" spans="22:23" x14ac:dyDescent="0.25">
      <c r="V279" s="105" t="str">
        <f t="shared" ref="V279:V342" si="54">IF(U279= "", "", B279)</f>
        <v/>
      </c>
      <c r="W279" s="47" t="str">
        <f t="shared" ref="W279:W342" si="55">IF(AND(B279="", C279="", E279=""), "", IF(OR(B279=0,B279=""),E279,B279 &amp; " Bed / " &amp;C279&amp; " Bath "))</f>
        <v/>
      </c>
    </row>
    <row r="280" spans="22:23" x14ac:dyDescent="0.25">
      <c r="V280" s="105" t="str">
        <f t="shared" si="54"/>
        <v/>
      </c>
      <c r="W280" s="47" t="str">
        <f t="shared" si="55"/>
        <v/>
      </c>
    </row>
    <row r="281" spans="22:23" x14ac:dyDescent="0.25">
      <c r="V281" s="105" t="str">
        <f t="shared" si="54"/>
        <v/>
      </c>
      <c r="W281" s="47" t="str">
        <f t="shared" si="55"/>
        <v/>
      </c>
    </row>
    <row r="282" spans="22:23" x14ac:dyDescent="0.25">
      <c r="V282" s="105" t="str">
        <f t="shared" si="54"/>
        <v/>
      </c>
      <c r="W282" s="47" t="str">
        <f t="shared" si="55"/>
        <v/>
      </c>
    </row>
    <row r="283" spans="22:23" x14ac:dyDescent="0.25">
      <c r="V283" s="105" t="str">
        <f t="shared" si="54"/>
        <v/>
      </c>
      <c r="W283" s="47" t="str">
        <f t="shared" si="55"/>
        <v/>
      </c>
    </row>
    <row r="284" spans="22:23" x14ac:dyDescent="0.25">
      <c r="V284" s="105" t="str">
        <f t="shared" si="54"/>
        <v/>
      </c>
      <c r="W284" s="47" t="str">
        <f t="shared" si="55"/>
        <v/>
      </c>
    </row>
    <row r="285" spans="22:23" x14ac:dyDescent="0.25">
      <c r="V285" s="105" t="str">
        <f t="shared" si="54"/>
        <v/>
      </c>
      <c r="W285" s="47" t="str">
        <f t="shared" si="55"/>
        <v/>
      </c>
    </row>
    <row r="286" spans="22:23" x14ac:dyDescent="0.25">
      <c r="V286" s="105" t="str">
        <f t="shared" si="54"/>
        <v/>
      </c>
      <c r="W286" s="47" t="str">
        <f t="shared" si="55"/>
        <v/>
      </c>
    </row>
    <row r="287" spans="22:23" x14ac:dyDescent="0.25">
      <c r="V287" s="105" t="str">
        <f t="shared" si="54"/>
        <v/>
      </c>
      <c r="W287" s="47" t="str">
        <f t="shared" si="55"/>
        <v/>
      </c>
    </row>
    <row r="288" spans="22:23" x14ac:dyDescent="0.25">
      <c r="V288" s="105" t="str">
        <f t="shared" si="54"/>
        <v/>
      </c>
      <c r="W288" s="47" t="str">
        <f t="shared" si="55"/>
        <v/>
      </c>
    </row>
    <row r="289" spans="22:23" x14ac:dyDescent="0.25">
      <c r="V289" s="105" t="str">
        <f t="shared" si="54"/>
        <v/>
      </c>
      <c r="W289" s="47" t="str">
        <f t="shared" si="55"/>
        <v/>
      </c>
    </row>
    <row r="290" spans="22:23" x14ac:dyDescent="0.25">
      <c r="V290" s="105" t="str">
        <f t="shared" si="54"/>
        <v/>
      </c>
      <c r="W290" s="47" t="str">
        <f t="shared" si="55"/>
        <v/>
      </c>
    </row>
    <row r="291" spans="22:23" x14ac:dyDescent="0.25">
      <c r="V291" s="105" t="str">
        <f t="shared" si="54"/>
        <v/>
      </c>
      <c r="W291" s="47" t="str">
        <f t="shared" si="55"/>
        <v/>
      </c>
    </row>
    <row r="292" spans="22:23" x14ac:dyDescent="0.25">
      <c r="V292" s="105" t="str">
        <f t="shared" si="54"/>
        <v/>
      </c>
      <c r="W292" s="47" t="str">
        <f t="shared" si="55"/>
        <v/>
      </c>
    </row>
    <row r="293" spans="22:23" x14ac:dyDescent="0.25">
      <c r="V293" s="105" t="str">
        <f t="shared" si="54"/>
        <v/>
      </c>
      <c r="W293" s="47" t="str">
        <f t="shared" si="55"/>
        <v/>
      </c>
    </row>
    <row r="294" spans="22:23" x14ac:dyDescent="0.25">
      <c r="V294" s="105" t="str">
        <f t="shared" si="54"/>
        <v/>
      </c>
      <c r="W294" s="47" t="str">
        <f t="shared" si="55"/>
        <v/>
      </c>
    </row>
    <row r="295" spans="22:23" x14ac:dyDescent="0.25">
      <c r="V295" s="105" t="str">
        <f t="shared" si="54"/>
        <v/>
      </c>
      <c r="W295" s="47" t="str">
        <f t="shared" si="55"/>
        <v/>
      </c>
    </row>
    <row r="296" spans="22:23" x14ac:dyDescent="0.25">
      <c r="V296" s="105" t="str">
        <f t="shared" si="54"/>
        <v/>
      </c>
      <c r="W296" s="47" t="str">
        <f t="shared" si="55"/>
        <v/>
      </c>
    </row>
    <row r="297" spans="22:23" x14ac:dyDescent="0.25">
      <c r="V297" s="105" t="str">
        <f t="shared" si="54"/>
        <v/>
      </c>
      <c r="W297" s="47" t="str">
        <f t="shared" si="55"/>
        <v/>
      </c>
    </row>
    <row r="298" spans="22:23" x14ac:dyDescent="0.25">
      <c r="V298" s="105" t="str">
        <f t="shared" si="54"/>
        <v/>
      </c>
      <c r="W298" s="47" t="str">
        <f t="shared" si="55"/>
        <v/>
      </c>
    </row>
    <row r="299" spans="22:23" x14ac:dyDescent="0.25">
      <c r="V299" s="105" t="str">
        <f t="shared" si="54"/>
        <v/>
      </c>
      <c r="W299" s="47" t="str">
        <f t="shared" si="55"/>
        <v/>
      </c>
    </row>
    <row r="300" spans="22:23" x14ac:dyDescent="0.25">
      <c r="V300" s="105" t="str">
        <f t="shared" si="54"/>
        <v/>
      </c>
      <c r="W300" s="47" t="str">
        <f t="shared" si="55"/>
        <v/>
      </c>
    </row>
    <row r="301" spans="22:23" x14ac:dyDescent="0.25">
      <c r="V301" s="105" t="str">
        <f t="shared" si="54"/>
        <v/>
      </c>
      <c r="W301" s="47" t="str">
        <f t="shared" si="55"/>
        <v/>
      </c>
    </row>
    <row r="302" spans="22:23" x14ac:dyDescent="0.25">
      <c r="V302" s="105" t="str">
        <f t="shared" si="54"/>
        <v/>
      </c>
      <c r="W302" s="47" t="str">
        <f t="shared" si="55"/>
        <v/>
      </c>
    </row>
    <row r="303" spans="22:23" x14ac:dyDescent="0.25">
      <c r="V303" s="105" t="str">
        <f t="shared" si="54"/>
        <v/>
      </c>
      <c r="W303" s="47" t="str">
        <f t="shared" si="55"/>
        <v/>
      </c>
    </row>
    <row r="304" spans="22:23" x14ac:dyDescent="0.25">
      <c r="V304" s="105" t="str">
        <f t="shared" si="54"/>
        <v/>
      </c>
      <c r="W304" s="47" t="str">
        <f t="shared" si="55"/>
        <v/>
      </c>
    </row>
    <row r="305" spans="22:23" x14ac:dyDescent="0.25">
      <c r="V305" s="105" t="str">
        <f t="shared" si="54"/>
        <v/>
      </c>
      <c r="W305" s="47" t="str">
        <f t="shared" si="55"/>
        <v/>
      </c>
    </row>
    <row r="306" spans="22:23" x14ac:dyDescent="0.25">
      <c r="V306" s="105" t="str">
        <f t="shared" si="54"/>
        <v/>
      </c>
      <c r="W306" s="47" t="str">
        <f t="shared" si="55"/>
        <v/>
      </c>
    </row>
    <row r="307" spans="22:23" x14ac:dyDescent="0.25">
      <c r="V307" s="105" t="str">
        <f t="shared" si="54"/>
        <v/>
      </c>
      <c r="W307" s="47" t="str">
        <f t="shared" si="55"/>
        <v/>
      </c>
    </row>
    <row r="308" spans="22:23" x14ac:dyDescent="0.25">
      <c r="V308" s="105" t="str">
        <f t="shared" si="54"/>
        <v/>
      </c>
      <c r="W308" s="47" t="str">
        <f t="shared" si="55"/>
        <v/>
      </c>
    </row>
    <row r="309" spans="22:23" x14ac:dyDescent="0.25">
      <c r="V309" s="105" t="str">
        <f t="shared" si="54"/>
        <v/>
      </c>
      <c r="W309" s="47" t="str">
        <f t="shared" si="55"/>
        <v/>
      </c>
    </row>
    <row r="310" spans="22:23" x14ac:dyDescent="0.25">
      <c r="V310" s="105" t="str">
        <f t="shared" si="54"/>
        <v/>
      </c>
      <c r="W310" s="47" t="str">
        <f t="shared" si="55"/>
        <v/>
      </c>
    </row>
    <row r="311" spans="22:23" x14ac:dyDescent="0.25">
      <c r="V311" s="105" t="str">
        <f t="shared" si="54"/>
        <v/>
      </c>
      <c r="W311" s="47" t="str">
        <f t="shared" si="55"/>
        <v/>
      </c>
    </row>
    <row r="312" spans="22:23" x14ac:dyDescent="0.25">
      <c r="V312" s="105" t="str">
        <f t="shared" si="54"/>
        <v/>
      </c>
      <c r="W312" s="47" t="str">
        <f t="shared" si="55"/>
        <v/>
      </c>
    </row>
    <row r="313" spans="22:23" x14ac:dyDescent="0.25">
      <c r="V313" s="105" t="str">
        <f t="shared" si="54"/>
        <v/>
      </c>
      <c r="W313" s="47" t="str">
        <f t="shared" si="55"/>
        <v/>
      </c>
    </row>
    <row r="314" spans="22:23" x14ac:dyDescent="0.25">
      <c r="V314" s="105" t="str">
        <f t="shared" si="54"/>
        <v/>
      </c>
      <c r="W314" s="47" t="str">
        <f t="shared" si="55"/>
        <v/>
      </c>
    </row>
    <row r="315" spans="22:23" x14ac:dyDescent="0.25">
      <c r="V315" s="105" t="str">
        <f t="shared" si="54"/>
        <v/>
      </c>
      <c r="W315" s="47" t="str">
        <f t="shared" si="55"/>
        <v/>
      </c>
    </row>
    <row r="316" spans="22:23" x14ac:dyDescent="0.25">
      <c r="V316" s="105" t="str">
        <f t="shared" si="54"/>
        <v/>
      </c>
      <c r="W316" s="47" t="str">
        <f t="shared" si="55"/>
        <v/>
      </c>
    </row>
    <row r="317" spans="22:23" x14ac:dyDescent="0.25">
      <c r="V317" s="105" t="str">
        <f t="shared" si="54"/>
        <v/>
      </c>
      <c r="W317" s="47" t="str">
        <f t="shared" si="55"/>
        <v/>
      </c>
    </row>
    <row r="318" spans="22:23" x14ac:dyDescent="0.25">
      <c r="V318" s="105" t="str">
        <f t="shared" si="54"/>
        <v/>
      </c>
      <c r="W318" s="47" t="str">
        <f t="shared" si="55"/>
        <v/>
      </c>
    </row>
    <row r="319" spans="22:23" x14ac:dyDescent="0.25">
      <c r="V319" s="105" t="str">
        <f t="shared" si="54"/>
        <v/>
      </c>
      <c r="W319" s="47" t="str">
        <f t="shared" si="55"/>
        <v/>
      </c>
    </row>
    <row r="320" spans="22:23" x14ac:dyDescent="0.25">
      <c r="V320" s="105" t="str">
        <f t="shared" si="54"/>
        <v/>
      </c>
      <c r="W320" s="47" t="str">
        <f t="shared" si="55"/>
        <v/>
      </c>
    </row>
    <row r="321" spans="22:23" x14ac:dyDescent="0.25">
      <c r="V321" s="105" t="str">
        <f t="shared" si="54"/>
        <v/>
      </c>
      <c r="W321" s="47" t="str">
        <f t="shared" si="55"/>
        <v/>
      </c>
    </row>
    <row r="322" spans="22:23" x14ac:dyDescent="0.25">
      <c r="V322" s="105" t="str">
        <f t="shared" si="54"/>
        <v/>
      </c>
      <c r="W322" s="47" t="str">
        <f t="shared" si="55"/>
        <v/>
      </c>
    </row>
    <row r="323" spans="22:23" x14ac:dyDescent="0.25">
      <c r="V323" s="105" t="str">
        <f t="shared" si="54"/>
        <v/>
      </c>
      <c r="W323" s="47" t="str">
        <f t="shared" si="55"/>
        <v/>
      </c>
    </row>
    <row r="324" spans="22:23" x14ac:dyDescent="0.25">
      <c r="V324" s="105" t="str">
        <f t="shared" si="54"/>
        <v/>
      </c>
      <c r="W324" s="47" t="str">
        <f t="shared" si="55"/>
        <v/>
      </c>
    </row>
    <row r="325" spans="22:23" x14ac:dyDescent="0.25">
      <c r="V325" s="105" t="str">
        <f t="shared" si="54"/>
        <v/>
      </c>
      <c r="W325" s="47" t="str">
        <f t="shared" si="55"/>
        <v/>
      </c>
    </row>
    <row r="326" spans="22:23" x14ac:dyDescent="0.25">
      <c r="V326" s="105" t="str">
        <f t="shared" si="54"/>
        <v/>
      </c>
      <c r="W326" s="47" t="str">
        <f t="shared" si="55"/>
        <v/>
      </c>
    </row>
    <row r="327" spans="22:23" x14ac:dyDescent="0.25">
      <c r="V327" s="105" t="str">
        <f t="shared" si="54"/>
        <v/>
      </c>
      <c r="W327" s="47" t="str">
        <f t="shared" si="55"/>
        <v/>
      </c>
    </row>
    <row r="328" spans="22:23" x14ac:dyDescent="0.25">
      <c r="V328" s="105" t="str">
        <f t="shared" si="54"/>
        <v/>
      </c>
      <c r="W328" s="47" t="str">
        <f t="shared" si="55"/>
        <v/>
      </c>
    </row>
    <row r="329" spans="22:23" x14ac:dyDescent="0.25">
      <c r="V329" s="105" t="str">
        <f t="shared" si="54"/>
        <v/>
      </c>
      <c r="W329" s="47" t="str">
        <f t="shared" si="55"/>
        <v/>
      </c>
    </row>
    <row r="330" spans="22:23" x14ac:dyDescent="0.25">
      <c r="V330" s="105" t="str">
        <f t="shared" si="54"/>
        <v/>
      </c>
      <c r="W330" s="47" t="str">
        <f t="shared" si="55"/>
        <v/>
      </c>
    </row>
    <row r="331" spans="22:23" x14ac:dyDescent="0.25">
      <c r="V331" s="105" t="str">
        <f t="shared" si="54"/>
        <v/>
      </c>
      <c r="W331" s="47" t="str">
        <f t="shared" si="55"/>
        <v/>
      </c>
    </row>
    <row r="332" spans="22:23" x14ac:dyDescent="0.25">
      <c r="V332" s="105" t="str">
        <f t="shared" si="54"/>
        <v/>
      </c>
      <c r="W332" s="47" t="str">
        <f t="shared" si="55"/>
        <v/>
      </c>
    </row>
    <row r="333" spans="22:23" x14ac:dyDescent="0.25">
      <c r="V333" s="105" t="str">
        <f t="shared" si="54"/>
        <v/>
      </c>
      <c r="W333" s="47" t="str">
        <f t="shared" si="55"/>
        <v/>
      </c>
    </row>
    <row r="334" spans="22:23" x14ac:dyDescent="0.25">
      <c r="V334" s="105" t="str">
        <f t="shared" si="54"/>
        <v/>
      </c>
      <c r="W334" s="47" t="str">
        <f t="shared" si="55"/>
        <v/>
      </c>
    </row>
    <row r="335" spans="22:23" x14ac:dyDescent="0.25">
      <c r="V335" s="105" t="str">
        <f t="shared" si="54"/>
        <v/>
      </c>
      <c r="W335" s="47" t="str">
        <f t="shared" si="55"/>
        <v/>
      </c>
    </row>
    <row r="336" spans="22:23" x14ac:dyDescent="0.25">
      <c r="V336" s="105" t="str">
        <f t="shared" si="54"/>
        <v/>
      </c>
      <c r="W336" s="47" t="str">
        <f t="shared" si="55"/>
        <v/>
      </c>
    </row>
    <row r="337" spans="22:23" x14ac:dyDescent="0.25">
      <c r="V337" s="105" t="str">
        <f t="shared" si="54"/>
        <v/>
      </c>
      <c r="W337" s="47" t="str">
        <f t="shared" si="55"/>
        <v/>
      </c>
    </row>
    <row r="338" spans="22:23" x14ac:dyDescent="0.25">
      <c r="V338" s="105" t="str">
        <f t="shared" si="54"/>
        <v/>
      </c>
      <c r="W338" s="47" t="str">
        <f t="shared" si="55"/>
        <v/>
      </c>
    </row>
    <row r="339" spans="22:23" x14ac:dyDescent="0.25">
      <c r="V339" s="105" t="str">
        <f t="shared" si="54"/>
        <v/>
      </c>
      <c r="W339" s="47" t="str">
        <f t="shared" si="55"/>
        <v/>
      </c>
    </row>
    <row r="340" spans="22:23" x14ac:dyDescent="0.25">
      <c r="V340" s="105" t="str">
        <f t="shared" si="54"/>
        <v/>
      </c>
      <c r="W340" s="47" t="str">
        <f t="shared" si="55"/>
        <v/>
      </c>
    </row>
    <row r="341" spans="22:23" x14ac:dyDescent="0.25">
      <c r="V341" s="105" t="str">
        <f t="shared" si="54"/>
        <v/>
      </c>
      <c r="W341" s="47" t="str">
        <f t="shared" si="55"/>
        <v/>
      </c>
    </row>
    <row r="342" spans="22:23" x14ac:dyDescent="0.25">
      <c r="V342" s="105" t="str">
        <f t="shared" si="54"/>
        <v/>
      </c>
      <c r="W342" s="47" t="str">
        <f t="shared" si="55"/>
        <v/>
      </c>
    </row>
    <row r="343" spans="22:23" x14ac:dyDescent="0.25">
      <c r="V343" s="105" t="str">
        <f t="shared" ref="V343:V406" si="56">IF(U343= "", "", B343)</f>
        <v/>
      </c>
      <c r="W343" s="47" t="str">
        <f t="shared" ref="W343:W406" si="57">IF(AND(B343="", C343="", E343=""), "", IF(OR(B343=0,B343=""),E343,B343 &amp; " Bed / " &amp;C343&amp; " Bath "))</f>
        <v/>
      </c>
    </row>
    <row r="344" spans="22:23" x14ac:dyDescent="0.25">
      <c r="V344" s="105" t="str">
        <f t="shared" si="56"/>
        <v/>
      </c>
      <c r="W344" s="47" t="str">
        <f t="shared" si="57"/>
        <v/>
      </c>
    </row>
    <row r="345" spans="22:23" x14ac:dyDescent="0.25">
      <c r="V345" s="105" t="str">
        <f t="shared" si="56"/>
        <v/>
      </c>
      <c r="W345" s="47" t="str">
        <f t="shared" si="57"/>
        <v/>
      </c>
    </row>
    <row r="346" spans="22:23" x14ac:dyDescent="0.25">
      <c r="V346" s="105" t="str">
        <f t="shared" si="56"/>
        <v/>
      </c>
      <c r="W346" s="47" t="str">
        <f t="shared" si="57"/>
        <v/>
      </c>
    </row>
    <row r="347" spans="22:23" x14ac:dyDescent="0.25">
      <c r="V347" s="105" t="str">
        <f t="shared" si="56"/>
        <v/>
      </c>
      <c r="W347" s="47" t="str">
        <f t="shared" si="57"/>
        <v/>
      </c>
    </row>
    <row r="348" spans="22:23" x14ac:dyDescent="0.25">
      <c r="V348" s="105" t="str">
        <f t="shared" si="56"/>
        <v/>
      </c>
      <c r="W348" s="47" t="str">
        <f t="shared" si="57"/>
        <v/>
      </c>
    </row>
    <row r="349" spans="22:23" x14ac:dyDescent="0.25">
      <c r="V349" s="105" t="str">
        <f t="shared" si="56"/>
        <v/>
      </c>
      <c r="W349" s="47" t="str">
        <f t="shared" si="57"/>
        <v/>
      </c>
    </row>
    <row r="350" spans="22:23" x14ac:dyDescent="0.25">
      <c r="V350" s="105" t="str">
        <f t="shared" si="56"/>
        <v/>
      </c>
      <c r="W350" s="47" t="str">
        <f t="shared" si="57"/>
        <v/>
      </c>
    </row>
    <row r="351" spans="22:23" x14ac:dyDescent="0.25">
      <c r="V351" s="105" t="str">
        <f t="shared" si="56"/>
        <v/>
      </c>
      <c r="W351" s="47" t="str">
        <f t="shared" si="57"/>
        <v/>
      </c>
    </row>
    <row r="352" spans="22:23" x14ac:dyDescent="0.25">
      <c r="V352" s="105" t="str">
        <f t="shared" si="56"/>
        <v/>
      </c>
      <c r="W352" s="47" t="str">
        <f t="shared" si="57"/>
        <v/>
      </c>
    </row>
    <row r="353" spans="22:23" x14ac:dyDescent="0.25">
      <c r="V353" s="105" t="str">
        <f t="shared" si="56"/>
        <v/>
      </c>
      <c r="W353" s="47" t="str">
        <f t="shared" si="57"/>
        <v/>
      </c>
    </row>
    <row r="354" spans="22:23" x14ac:dyDescent="0.25">
      <c r="V354" s="105" t="str">
        <f t="shared" si="56"/>
        <v/>
      </c>
      <c r="W354" s="47" t="str">
        <f t="shared" si="57"/>
        <v/>
      </c>
    </row>
    <row r="355" spans="22:23" x14ac:dyDescent="0.25">
      <c r="V355" s="105" t="str">
        <f t="shared" si="56"/>
        <v/>
      </c>
      <c r="W355" s="47" t="str">
        <f t="shared" si="57"/>
        <v/>
      </c>
    </row>
    <row r="356" spans="22:23" x14ac:dyDescent="0.25">
      <c r="V356" s="105" t="str">
        <f t="shared" si="56"/>
        <v/>
      </c>
      <c r="W356" s="47" t="str">
        <f t="shared" si="57"/>
        <v/>
      </c>
    </row>
    <row r="357" spans="22:23" x14ac:dyDescent="0.25">
      <c r="V357" s="105" t="str">
        <f t="shared" si="56"/>
        <v/>
      </c>
      <c r="W357" s="47" t="str">
        <f t="shared" si="57"/>
        <v/>
      </c>
    </row>
    <row r="358" spans="22:23" x14ac:dyDescent="0.25">
      <c r="V358" s="105" t="str">
        <f t="shared" si="56"/>
        <v/>
      </c>
      <c r="W358" s="47" t="str">
        <f t="shared" si="57"/>
        <v/>
      </c>
    </row>
    <row r="359" spans="22:23" x14ac:dyDescent="0.25">
      <c r="V359" s="105" t="str">
        <f t="shared" si="56"/>
        <v/>
      </c>
      <c r="W359" s="47" t="str">
        <f t="shared" si="57"/>
        <v/>
      </c>
    </row>
    <row r="360" spans="22:23" x14ac:dyDescent="0.25">
      <c r="V360" s="105" t="str">
        <f t="shared" si="56"/>
        <v/>
      </c>
      <c r="W360" s="47" t="str">
        <f t="shared" si="57"/>
        <v/>
      </c>
    </row>
    <row r="361" spans="22:23" x14ac:dyDescent="0.25">
      <c r="V361" s="105" t="str">
        <f t="shared" si="56"/>
        <v/>
      </c>
      <c r="W361" s="47" t="str">
        <f t="shared" si="57"/>
        <v/>
      </c>
    </row>
    <row r="362" spans="22:23" x14ac:dyDescent="0.25">
      <c r="V362" s="105" t="str">
        <f t="shared" si="56"/>
        <v/>
      </c>
      <c r="W362" s="47" t="str">
        <f t="shared" si="57"/>
        <v/>
      </c>
    </row>
    <row r="363" spans="22:23" x14ac:dyDescent="0.25">
      <c r="V363" s="105" t="str">
        <f t="shared" si="56"/>
        <v/>
      </c>
      <c r="W363" s="47" t="str">
        <f t="shared" si="57"/>
        <v/>
      </c>
    </row>
    <row r="364" spans="22:23" x14ac:dyDescent="0.25">
      <c r="V364" s="105" t="str">
        <f t="shared" si="56"/>
        <v/>
      </c>
      <c r="W364" s="47" t="str">
        <f t="shared" si="57"/>
        <v/>
      </c>
    </row>
    <row r="365" spans="22:23" x14ac:dyDescent="0.25">
      <c r="V365" s="105" t="str">
        <f t="shared" si="56"/>
        <v/>
      </c>
      <c r="W365" s="47" t="str">
        <f t="shared" si="57"/>
        <v/>
      </c>
    </row>
    <row r="366" spans="22:23" x14ac:dyDescent="0.25">
      <c r="V366" s="105" t="str">
        <f t="shared" si="56"/>
        <v/>
      </c>
      <c r="W366" s="47" t="str">
        <f t="shared" si="57"/>
        <v/>
      </c>
    </row>
    <row r="367" spans="22:23" x14ac:dyDescent="0.25">
      <c r="V367" s="105" t="str">
        <f t="shared" si="56"/>
        <v/>
      </c>
      <c r="W367" s="47" t="str">
        <f t="shared" si="57"/>
        <v/>
      </c>
    </row>
    <row r="368" spans="22:23" x14ac:dyDescent="0.25">
      <c r="V368" s="105" t="str">
        <f t="shared" si="56"/>
        <v/>
      </c>
      <c r="W368" s="47" t="str">
        <f t="shared" si="57"/>
        <v/>
      </c>
    </row>
    <row r="369" spans="22:23" x14ac:dyDescent="0.25">
      <c r="V369" s="105" t="str">
        <f t="shared" si="56"/>
        <v/>
      </c>
      <c r="W369" s="47" t="str">
        <f t="shared" si="57"/>
        <v/>
      </c>
    </row>
    <row r="370" spans="22:23" x14ac:dyDescent="0.25">
      <c r="V370" s="105" t="str">
        <f t="shared" si="56"/>
        <v/>
      </c>
      <c r="W370" s="47" t="str">
        <f t="shared" si="57"/>
        <v/>
      </c>
    </row>
    <row r="371" spans="22:23" x14ac:dyDescent="0.25">
      <c r="V371" s="105" t="str">
        <f t="shared" si="56"/>
        <v/>
      </c>
      <c r="W371" s="47" t="str">
        <f t="shared" si="57"/>
        <v/>
      </c>
    </row>
    <row r="372" spans="22:23" x14ac:dyDescent="0.25">
      <c r="V372" s="105" t="str">
        <f t="shared" si="56"/>
        <v/>
      </c>
      <c r="W372" s="47" t="str">
        <f t="shared" si="57"/>
        <v/>
      </c>
    </row>
    <row r="373" spans="22:23" x14ac:dyDescent="0.25">
      <c r="V373" s="105" t="str">
        <f t="shared" si="56"/>
        <v/>
      </c>
      <c r="W373" s="47" t="str">
        <f t="shared" si="57"/>
        <v/>
      </c>
    </row>
    <row r="374" spans="22:23" x14ac:dyDescent="0.25">
      <c r="V374" s="105" t="str">
        <f t="shared" si="56"/>
        <v/>
      </c>
      <c r="W374" s="47" t="str">
        <f t="shared" si="57"/>
        <v/>
      </c>
    </row>
    <row r="375" spans="22:23" x14ac:dyDescent="0.25">
      <c r="V375" s="105" t="str">
        <f t="shared" si="56"/>
        <v/>
      </c>
      <c r="W375" s="47" t="str">
        <f t="shared" si="57"/>
        <v/>
      </c>
    </row>
    <row r="376" spans="22:23" x14ac:dyDescent="0.25">
      <c r="V376" s="105" t="str">
        <f t="shared" si="56"/>
        <v/>
      </c>
      <c r="W376" s="47" t="str">
        <f t="shared" si="57"/>
        <v/>
      </c>
    </row>
    <row r="377" spans="22:23" x14ac:dyDescent="0.25">
      <c r="V377" s="105" t="str">
        <f t="shared" si="56"/>
        <v/>
      </c>
      <c r="W377" s="47" t="str">
        <f t="shared" si="57"/>
        <v/>
      </c>
    </row>
    <row r="378" spans="22:23" x14ac:dyDescent="0.25">
      <c r="V378" s="105" t="str">
        <f t="shared" si="56"/>
        <v/>
      </c>
      <c r="W378" s="47" t="str">
        <f t="shared" si="57"/>
        <v/>
      </c>
    </row>
    <row r="379" spans="22:23" x14ac:dyDescent="0.25">
      <c r="V379" s="105" t="str">
        <f t="shared" si="56"/>
        <v/>
      </c>
      <c r="W379" s="47" t="str">
        <f t="shared" si="57"/>
        <v/>
      </c>
    </row>
    <row r="380" spans="22:23" x14ac:dyDescent="0.25">
      <c r="V380" s="105" t="str">
        <f t="shared" si="56"/>
        <v/>
      </c>
      <c r="W380" s="47" t="str">
        <f t="shared" si="57"/>
        <v/>
      </c>
    </row>
    <row r="381" spans="22:23" x14ac:dyDescent="0.25">
      <c r="V381" s="105" t="str">
        <f t="shared" si="56"/>
        <v/>
      </c>
      <c r="W381" s="47" t="str">
        <f t="shared" si="57"/>
        <v/>
      </c>
    </row>
    <row r="382" spans="22:23" x14ac:dyDescent="0.25">
      <c r="V382" s="105" t="str">
        <f t="shared" si="56"/>
        <v/>
      </c>
      <c r="W382" s="47" t="str">
        <f t="shared" si="57"/>
        <v/>
      </c>
    </row>
    <row r="383" spans="22:23" x14ac:dyDescent="0.25">
      <c r="V383" s="105" t="str">
        <f t="shared" si="56"/>
        <v/>
      </c>
      <c r="W383" s="47" t="str">
        <f t="shared" si="57"/>
        <v/>
      </c>
    </row>
    <row r="384" spans="22:23" x14ac:dyDescent="0.25">
      <c r="V384" s="105" t="str">
        <f t="shared" si="56"/>
        <v/>
      </c>
      <c r="W384" s="47" t="str">
        <f t="shared" si="57"/>
        <v/>
      </c>
    </row>
    <row r="385" spans="22:23" x14ac:dyDescent="0.25">
      <c r="V385" s="105" t="str">
        <f t="shared" si="56"/>
        <v/>
      </c>
      <c r="W385" s="47" t="str">
        <f t="shared" si="57"/>
        <v/>
      </c>
    </row>
    <row r="386" spans="22:23" x14ac:dyDescent="0.25">
      <c r="V386" s="105" t="str">
        <f t="shared" si="56"/>
        <v/>
      </c>
      <c r="W386" s="47" t="str">
        <f t="shared" si="57"/>
        <v/>
      </c>
    </row>
    <row r="387" spans="22:23" x14ac:dyDescent="0.25">
      <c r="V387" s="105" t="str">
        <f t="shared" si="56"/>
        <v/>
      </c>
      <c r="W387" s="47" t="str">
        <f t="shared" si="57"/>
        <v/>
      </c>
    </row>
    <row r="388" spans="22:23" x14ac:dyDescent="0.25">
      <c r="V388" s="105" t="str">
        <f t="shared" si="56"/>
        <v/>
      </c>
      <c r="W388" s="47" t="str">
        <f t="shared" si="57"/>
        <v/>
      </c>
    </row>
    <row r="389" spans="22:23" x14ac:dyDescent="0.25">
      <c r="V389" s="105" t="str">
        <f t="shared" si="56"/>
        <v/>
      </c>
      <c r="W389" s="47" t="str">
        <f t="shared" si="57"/>
        <v/>
      </c>
    </row>
    <row r="390" spans="22:23" x14ac:dyDescent="0.25">
      <c r="V390" s="105" t="str">
        <f t="shared" si="56"/>
        <v/>
      </c>
      <c r="W390" s="47" t="str">
        <f t="shared" si="57"/>
        <v/>
      </c>
    </row>
    <row r="391" spans="22:23" x14ac:dyDescent="0.25">
      <c r="V391" s="105" t="str">
        <f t="shared" si="56"/>
        <v/>
      </c>
      <c r="W391" s="47" t="str">
        <f t="shared" si="57"/>
        <v/>
      </c>
    </row>
    <row r="392" spans="22:23" x14ac:dyDescent="0.25">
      <c r="V392" s="105" t="str">
        <f t="shared" si="56"/>
        <v/>
      </c>
      <c r="W392" s="47" t="str">
        <f t="shared" si="57"/>
        <v/>
      </c>
    </row>
    <row r="393" spans="22:23" x14ac:dyDescent="0.25">
      <c r="V393" s="105" t="str">
        <f t="shared" si="56"/>
        <v/>
      </c>
      <c r="W393" s="47" t="str">
        <f t="shared" si="57"/>
        <v/>
      </c>
    </row>
    <row r="394" spans="22:23" x14ac:dyDescent="0.25">
      <c r="V394" s="105" t="str">
        <f t="shared" si="56"/>
        <v/>
      </c>
      <c r="W394" s="47" t="str">
        <f t="shared" si="57"/>
        <v/>
      </c>
    </row>
    <row r="395" spans="22:23" x14ac:dyDescent="0.25">
      <c r="V395" s="105" t="str">
        <f t="shared" si="56"/>
        <v/>
      </c>
      <c r="W395" s="47" t="str">
        <f t="shared" si="57"/>
        <v/>
      </c>
    </row>
    <row r="396" spans="22:23" x14ac:dyDescent="0.25">
      <c r="V396" s="105" t="str">
        <f t="shared" si="56"/>
        <v/>
      </c>
      <c r="W396" s="47" t="str">
        <f t="shared" si="57"/>
        <v/>
      </c>
    </row>
    <row r="397" spans="22:23" x14ac:dyDescent="0.25">
      <c r="V397" s="105" t="str">
        <f t="shared" si="56"/>
        <v/>
      </c>
      <c r="W397" s="47" t="str">
        <f t="shared" si="57"/>
        <v/>
      </c>
    </row>
    <row r="398" spans="22:23" x14ac:dyDescent="0.25">
      <c r="V398" s="105" t="str">
        <f t="shared" si="56"/>
        <v/>
      </c>
      <c r="W398" s="47" t="str">
        <f t="shared" si="57"/>
        <v/>
      </c>
    </row>
    <row r="399" spans="22:23" x14ac:dyDescent="0.25">
      <c r="V399" s="105" t="str">
        <f t="shared" si="56"/>
        <v/>
      </c>
      <c r="W399" s="47" t="str">
        <f t="shared" si="57"/>
        <v/>
      </c>
    </row>
    <row r="400" spans="22:23" x14ac:dyDescent="0.25">
      <c r="V400" s="105" t="str">
        <f t="shared" si="56"/>
        <v/>
      </c>
      <c r="W400" s="47" t="str">
        <f t="shared" si="57"/>
        <v/>
      </c>
    </row>
    <row r="401" spans="22:23" x14ac:dyDescent="0.25">
      <c r="V401" s="105" t="str">
        <f t="shared" si="56"/>
        <v/>
      </c>
      <c r="W401" s="47" t="str">
        <f t="shared" si="57"/>
        <v/>
      </c>
    </row>
    <row r="402" spans="22:23" x14ac:dyDescent="0.25">
      <c r="V402" s="105" t="str">
        <f t="shared" si="56"/>
        <v/>
      </c>
      <c r="W402" s="47" t="str">
        <f t="shared" si="57"/>
        <v/>
      </c>
    </row>
    <row r="403" spans="22:23" x14ac:dyDescent="0.25">
      <c r="V403" s="105" t="str">
        <f t="shared" si="56"/>
        <v/>
      </c>
      <c r="W403" s="47" t="str">
        <f t="shared" si="57"/>
        <v/>
      </c>
    </row>
    <row r="404" spans="22:23" x14ac:dyDescent="0.25">
      <c r="V404" s="105" t="str">
        <f t="shared" si="56"/>
        <v/>
      </c>
      <c r="W404" s="47" t="str">
        <f t="shared" si="57"/>
        <v/>
      </c>
    </row>
    <row r="405" spans="22:23" x14ac:dyDescent="0.25">
      <c r="V405" s="105" t="str">
        <f t="shared" si="56"/>
        <v/>
      </c>
      <c r="W405" s="47" t="str">
        <f t="shared" si="57"/>
        <v/>
      </c>
    </row>
    <row r="406" spans="22:23" x14ac:dyDescent="0.25">
      <c r="V406" s="105" t="str">
        <f t="shared" si="56"/>
        <v/>
      </c>
      <c r="W406" s="47" t="str">
        <f t="shared" si="57"/>
        <v/>
      </c>
    </row>
    <row r="407" spans="22:23" x14ac:dyDescent="0.25">
      <c r="V407" s="105" t="str">
        <f t="shared" ref="V407:V470" si="58">IF(U407= "", "", B407)</f>
        <v/>
      </c>
      <c r="W407" s="47" t="str">
        <f t="shared" ref="W407:W470" si="59">IF(AND(B407="", C407="", E407=""), "", IF(OR(B407=0,B407=""),E407,B407 &amp; " Bed / " &amp;C407&amp; " Bath "))</f>
        <v/>
      </c>
    </row>
    <row r="408" spans="22:23" x14ac:dyDescent="0.25">
      <c r="V408" s="105" t="str">
        <f t="shared" si="58"/>
        <v/>
      </c>
      <c r="W408" s="47" t="str">
        <f t="shared" si="59"/>
        <v/>
      </c>
    </row>
    <row r="409" spans="22:23" x14ac:dyDescent="0.25">
      <c r="V409" s="105" t="str">
        <f t="shared" si="58"/>
        <v/>
      </c>
      <c r="W409" s="47" t="str">
        <f t="shared" si="59"/>
        <v/>
      </c>
    </row>
    <row r="410" spans="22:23" x14ac:dyDescent="0.25">
      <c r="V410" s="105" t="str">
        <f t="shared" si="58"/>
        <v/>
      </c>
      <c r="W410" s="47" t="str">
        <f t="shared" si="59"/>
        <v/>
      </c>
    </row>
    <row r="411" spans="22:23" x14ac:dyDescent="0.25">
      <c r="V411" s="105" t="str">
        <f t="shared" si="58"/>
        <v/>
      </c>
      <c r="W411" s="47" t="str">
        <f t="shared" si="59"/>
        <v/>
      </c>
    </row>
    <row r="412" spans="22:23" x14ac:dyDescent="0.25">
      <c r="V412" s="105" t="str">
        <f t="shared" si="58"/>
        <v/>
      </c>
      <c r="W412" s="47" t="str">
        <f t="shared" si="59"/>
        <v/>
      </c>
    </row>
    <row r="413" spans="22:23" x14ac:dyDescent="0.25">
      <c r="V413" s="105" t="str">
        <f t="shared" si="58"/>
        <v/>
      </c>
      <c r="W413" s="47" t="str">
        <f t="shared" si="59"/>
        <v/>
      </c>
    </row>
    <row r="414" spans="22:23" x14ac:dyDescent="0.25">
      <c r="V414" s="105" t="str">
        <f t="shared" si="58"/>
        <v/>
      </c>
      <c r="W414" s="47" t="str">
        <f t="shared" si="59"/>
        <v/>
      </c>
    </row>
    <row r="415" spans="22:23" x14ac:dyDescent="0.25">
      <c r="V415" s="105" t="str">
        <f t="shared" si="58"/>
        <v/>
      </c>
      <c r="W415" s="47" t="str">
        <f t="shared" si="59"/>
        <v/>
      </c>
    </row>
    <row r="416" spans="22:23" x14ac:dyDescent="0.25">
      <c r="V416" s="105" t="str">
        <f t="shared" si="58"/>
        <v/>
      </c>
      <c r="W416" s="47" t="str">
        <f t="shared" si="59"/>
        <v/>
      </c>
    </row>
    <row r="417" spans="22:23" x14ac:dyDescent="0.25">
      <c r="V417" s="105" t="str">
        <f t="shared" si="58"/>
        <v/>
      </c>
      <c r="W417" s="47" t="str">
        <f t="shared" si="59"/>
        <v/>
      </c>
    </row>
    <row r="418" spans="22:23" x14ac:dyDescent="0.25">
      <c r="V418" s="105" t="str">
        <f t="shared" si="58"/>
        <v/>
      </c>
      <c r="W418" s="47" t="str">
        <f t="shared" si="59"/>
        <v/>
      </c>
    </row>
    <row r="419" spans="22:23" x14ac:dyDescent="0.25">
      <c r="V419" s="105" t="str">
        <f t="shared" si="58"/>
        <v/>
      </c>
      <c r="W419" s="47" t="str">
        <f t="shared" si="59"/>
        <v/>
      </c>
    </row>
    <row r="420" spans="22:23" x14ac:dyDescent="0.25">
      <c r="V420" s="105" t="str">
        <f t="shared" si="58"/>
        <v/>
      </c>
      <c r="W420" s="47" t="str">
        <f t="shared" si="59"/>
        <v/>
      </c>
    </row>
    <row r="421" spans="22:23" x14ac:dyDescent="0.25">
      <c r="V421" s="105" t="str">
        <f t="shared" si="58"/>
        <v/>
      </c>
      <c r="W421" s="47" t="str">
        <f t="shared" si="59"/>
        <v/>
      </c>
    </row>
    <row r="422" spans="22:23" x14ac:dyDescent="0.25">
      <c r="V422" s="105" t="str">
        <f t="shared" si="58"/>
        <v/>
      </c>
      <c r="W422" s="47" t="str">
        <f t="shared" si="59"/>
        <v/>
      </c>
    </row>
    <row r="423" spans="22:23" x14ac:dyDescent="0.25">
      <c r="V423" s="105" t="str">
        <f t="shared" si="58"/>
        <v/>
      </c>
      <c r="W423" s="47" t="str">
        <f t="shared" si="59"/>
        <v/>
      </c>
    </row>
    <row r="424" spans="22:23" x14ac:dyDescent="0.25">
      <c r="V424" s="105" t="str">
        <f t="shared" si="58"/>
        <v/>
      </c>
      <c r="W424" s="47" t="str">
        <f t="shared" si="59"/>
        <v/>
      </c>
    </row>
    <row r="425" spans="22:23" x14ac:dyDescent="0.25">
      <c r="V425" s="105" t="str">
        <f t="shared" si="58"/>
        <v/>
      </c>
      <c r="W425" s="47" t="str">
        <f t="shared" si="59"/>
        <v/>
      </c>
    </row>
    <row r="426" spans="22:23" x14ac:dyDescent="0.25">
      <c r="V426" s="105" t="str">
        <f t="shared" si="58"/>
        <v/>
      </c>
      <c r="W426" s="47" t="str">
        <f t="shared" si="59"/>
        <v/>
      </c>
    </row>
    <row r="427" spans="22:23" x14ac:dyDescent="0.25">
      <c r="V427" s="105" t="str">
        <f t="shared" si="58"/>
        <v/>
      </c>
      <c r="W427" s="47" t="str">
        <f t="shared" si="59"/>
        <v/>
      </c>
    </row>
    <row r="428" spans="22:23" x14ac:dyDescent="0.25">
      <c r="V428" s="105" t="str">
        <f t="shared" si="58"/>
        <v/>
      </c>
      <c r="W428" s="47" t="str">
        <f t="shared" si="59"/>
        <v/>
      </c>
    </row>
    <row r="429" spans="22:23" x14ac:dyDescent="0.25">
      <c r="V429" s="105" t="str">
        <f t="shared" si="58"/>
        <v/>
      </c>
      <c r="W429" s="47" t="str">
        <f t="shared" si="59"/>
        <v/>
      </c>
    </row>
    <row r="430" spans="22:23" x14ac:dyDescent="0.25">
      <c r="V430" s="105" t="str">
        <f t="shared" si="58"/>
        <v/>
      </c>
      <c r="W430" s="47" t="str">
        <f t="shared" si="59"/>
        <v/>
      </c>
    </row>
    <row r="431" spans="22:23" x14ac:dyDescent="0.25">
      <c r="V431" s="105" t="str">
        <f t="shared" si="58"/>
        <v/>
      </c>
      <c r="W431" s="47" t="str">
        <f t="shared" si="59"/>
        <v/>
      </c>
    </row>
    <row r="432" spans="22:23" x14ac:dyDescent="0.25">
      <c r="V432" s="105" t="str">
        <f t="shared" si="58"/>
        <v/>
      </c>
      <c r="W432" s="47" t="str">
        <f t="shared" si="59"/>
        <v/>
      </c>
    </row>
    <row r="433" spans="22:23" x14ac:dyDescent="0.25">
      <c r="V433" s="105" t="str">
        <f t="shared" si="58"/>
        <v/>
      </c>
      <c r="W433" s="47" t="str">
        <f t="shared" si="59"/>
        <v/>
      </c>
    </row>
    <row r="434" spans="22:23" x14ac:dyDescent="0.25">
      <c r="V434" s="105" t="str">
        <f t="shared" si="58"/>
        <v/>
      </c>
      <c r="W434" s="47" t="str">
        <f t="shared" si="59"/>
        <v/>
      </c>
    </row>
    <row r="435" spans="22:23" x14ac:dyDescent="0.25">
      <c r="V435" s="105" t="str">
        <f t="shared" si="58"/>
        <v/>
      </c>
      <c r="W435" s="47" t="str">
        <f t="shared" si="59"/>
        <v/>
      </c>
    </row>
    <row r="436" spans="22:23" x14ac:dyDescent="0.25">
      <c r="V436" s="105" t="str">
        <f t="shared" si="58"/>
        <v/>
      </c>
      <c r="W436" s="47" t="str">
        <f t="shared" si="59"/>
        <v/>
      </c>
    </row>
    <row r="437" spans="22:23" x14ac:dyDescent="0.25">
      <c r="V437" s="105" t="str">
        <f t="shared" si="58"/>
        <v/>
      </c>
      <c r="W437" s="47" t="str">
        <f t="shared" si="59"/>
        <v/>
      </c>
    </row>
    <row r="438" spans="22:23" x14ac:dyDescent="0.25">
      <c r="V438" s="105" t="str">
        <f t="shared" si="58"/>
        <v/>
      </c>
      <c r="W438" s="47" t="str">
        <f t="shared" si="59"/>
        <v/>
      </c>
    </row>
    <row r="439" spans="22:23" x14ac:dyDescent="0.25">
      <c r="V439" s="105" t="str">
        <f t="shared" si="58"/>
        <v/>
      </c>
      <c r="W439" s="47" t="str">
        <f t="shared" si="59"/>
        <v/>
      </c>
    </row>
    <row r="440" spans="22:23" x14ac:dyDescent="0.25">
      <c r="V440" s="105" t="str">
        <f t="shared" si="58"/>
        <v/>
      </c>
      <c r="W440" s="47" t="str">
        <f t="shared" si="59"/>
        <v/>
      </c>
    </row>
    <row r="441" spans="22:23" x14ac:dyDescent="0.25">
      <c r="V441" s="105" t="str">
        <f t="shared" si="58"/>
        <v/>
      </c>
      <c r="W441" s="47" t="str">
        <f t="shared" si="59"/>
        <v/>
      </c>
    </row>
    <row r="442" spans="22:23" x14ac:dyDescent="0.25">
      <c r="V442" s="105" t="str">
        <f t="shared" si="58"/>
        <v/>
      </c>
      <c r="W442" s="47" t="str">
        <f t="shared" si="59"/>
        <v/>
      </c>
    </row>
    <row r="443" spans="22:23" x14ac:dyDescent="0.25">
      <c r="V443" s="105" t="str">
        <f t="shared" si="58"/>
        <v/>
      </c>
      <c r="W443" s="47" t="str">
        <f t="shared" si="59"/>
        <v/>
      </c>
    </row>
    <row r="444" spans="22:23" x14ac:dyDescent="0.25">
      <c r="V444" s="105" t="str">
        <f t="shared" si="58"/>
        <v/>
      </c>
      <c r="W444" s="47" t="str">
        <f t="shared" si="59"/>
        <v/>
      </c>
    </row>
    <row r="445" spans="22:23" x14ac:dyDescent="0.25">
      <c r="V445" s="105" t="str">
        <f t="shared" si="58"/>
        <v/>
      </c>
      <c r="W445" s="47" t="str">
        <f t="shared" si="59"/>
        <v/>
      </c>
    </row>
    <row r="446" spans="22:23" x14ac:dyDescent="0.25">
      <c r="V446" s="105" t="str">
        <f t="shared" si="58"/>
        <v/>
      </c>
      <c r="W446" s="47" t="str">
        <f t="shared" si="59"/>
        <v/>
      </c>
    </row>
    <row r="447" spans="22:23" x14ac:dyDescent="0.25">
      <c r="V447" s="105" t="str">
        <f t="shared" si="58"/>
        <v/>
      </c>
      <c r="W447" s="47" t="str">
        <f t="shared" si="59"/>
        <v/>
      </c>
    </row>
    <row r="448" spans="22:23" x14ac:dyDescent="0.25">
      <c r="V448" s="105" t="str">
        <f t="shared" si="58"/>
        <v/>
      </c>
      <c r="W448" s="47" t="str">
        <f t="shared" si="59"/>
        <v/>
      </c>
    </row>
    <row r="449" spans="22:23" x14ac:dyDescent="0.25">
      <c r="V449" s="105" t="str">
        <f t="shared" si="58"/>
        <v/>
      </c>
      <c r="W449" s="47" t="str">
        <f t="shared" si="59"/>
        <v/>
      </c>
    </row>
    <row r="450" spans="22:23" x14ac:dyDescent="0.25">
      <c r="V450" s="105" t="str">
        <f t="shared" si="58"/>
        <v/>
      </c>
      <c r="W450" s="47" t="str">
        <f t="shared" si="59"/>
        <v/>
      </c>
    </row>
    <row r="451" spans="22:23" x14ac:dyDescent="0.25">
      <c r="V451" s="105" t="str">
        <f t="shared" si="58"/>
        <v/>
      </c>
      <c r="W451" s="47" t="str">
        <f t="shared" si="59"/>
        <v/>
      </c>
    </row>
    <row r="452" spans="22:23" x14ac:dyDescent="0.25">
      <c r="V452" s="105" t="str">
        <f t="shared" si="58"/>
        <v/>
      </c>
      <c r="W452" s="47" t="str">
        <f t="shared" si="59"/>
        <v/>
      </c>
    </row>
    <row r="453" spans="22:23" x14ac:dyDescent="0.25">
      <c r="V453" s="105" t="str">
        <f t="shared" si="58"/>
        <v/>
      </c>
      <c r="W453" s="47" t="str">
        <f t="shared" si="59"/>
        <v/>
      </c>
    </row>
    <row r="454" spans="22:23" x14ac:dyDescent="0.25">
      <c r="V454" s="105" t="str">
        <f t="shared" si="58"/>
        <v/>
      </c>
      <c r="W454" s="47" t="str">
        <f t="shared" si="59"/>
        <v/>
      </c>
    </row>
    <row r="455" spans="22:23" x14ac:dyDescent="0.25">
      <c r="V455" s="105" t="str">
        <f t="shared" si="58"/>
        <v/>
      </c>
      <c r="W455" s="47" t="str">
        <f t="shared" si="59"/>
        <v/>
      </c>
    </row>
    <row r="456" spans="22:23" x14ac:dyDescent="0.25">
      <c r="V456" s="105" t="str">
        <f t="shared" si="58"/>
        <v/>
      </c>
      <c r="W456" s="47" t="str">
        <f t="shared" si="59"/>
        <v/>
      </c>
    </row>
    <row r="457" spans="22:23" x14ac:dyDescent="0.25">
      <c r="V457" s="105" t="str">
        <f t="shared" si="58"/>
        <v/>
      </c>
      <c r="W457" s="47" t="str">
        <f t="shared" si="59"/>
        <v/>
      </c>
    </row>
    <row r="458" spans="22:23" x14ac:dyDescent="0.25">
      <c r="V458" s="105" t="str">
        <f t="shared" si="58"/>
        <v/>
      </c>
      <c r="W458" s="47" t="str">
        <f t="shared" si="59"/>
        <v/>
      </c>
    </row>
    <row r="459" spans="22:23" x14ac:dyDescent="0.25">
      <c r="V459" s="105" t="str">
        <f t="shared" si="58"/>
        <v/>
      </c>
      <c r="W459" s="47" t="str">
        <f t="shared" si="59"/>
        <v/>
      </c>
    </row>
    <row r="460" spans="22:23" x14ac:dyDescent="0.25">
      <c r="V460" s="105" t="str">
        <f t="shared" si="58"/>
        <v/>
      </c>
      <c r="W460" s="47" t="str">
        <f t="shared" si="59"/>
        <v/>
      </c>
    </row>
    <row r="461" spans="22:23" x14ac:dyDescent="0.25">
      <c r="V461" s="105" t="str">
        <f t="shared" si="58"/>
        <v/>
      </c>
      <c r="W461" s="47" t="str">
        <f t="shared" si="59"/>
        <v/>
      </c>
    </row>
    <row r="462" spans="22:23" x14ac:dyDescent="0.25">
      <c r="V462" s="105" t="str">
        <f t="shared" si="58"/>
        <v/>
      </c>
      <c r="W462" s="47" t="str">
        <f t="shared" si="59"/>
        <v/>
      </c>
    </row>
    <row r="463" spans="22:23" x14ac:dyDescent="0.25">
      <c r="V463" s="105" t="str">
        <f t="shared" si="58"/>
        <v/>
      </c>
      <c r="W463" s="47" t="str">
        <f t="shared" si="59"/>
        <v/>
      </c>
    </row>
    <row r="464" spans="22:23" x14ac:dyDescent="0.25">
      <c r="V464" s="105" t="str">
        <f t="shared" si="58"/>
        <v/>
      </c>
      <c r="W464" s="47" t="str">
        <f t="shared" si="59"/>
        <v/>
      </c>
    </row>
    <row r="465" spans="22:23" x14ac:dyDescent="0.25">
      <c r="V465" s="105" t="str">
        <f t="shared" si="58"/>
        <v/>
      </c>
      <c r="W465" s="47" t="str">
        <f t="shared" si="59"/>
        <v/>
      </c>
    </row>
    <row r="466" spans="22:23" x14ac:dyDescent="0.25">
      <c r="V466" s="105" t="str">
        <f t="shared" si="58"/>
        <v/>
      </c>
      <c r="W466" s="47" t="str">
        <f t="shared" si="59"/>
        <v/>
      </c>
    </row>
    <row r="467" spans="22:23" x14ac:dyDescent="0.25">
      <c r="V467" s="105" t="str">
        <f t="shared" si="58"/>
        <v/>
      </c>
      <c r="W467" s="47" t="str">
        <f t="shared" si="59"/>
        <v/>
      </c>
    </row>
    <row r="468" spans="22:23" x14ac:dyDescent="0.25">
      <c r="V468" s="105" t="str">
        <f t="shared" si="58"/>
        <v/>
      </c>
      <c r="W468" s="47" t="str">
        <f t="shared" si="59"/>
        <v/>
      </c>
    </row>
    <row r="469" spans="22:23" x14ac:dyDescent="0.25">
      <c r="V469" s="105" t="str">
        <f t="shared" si="58"/>
        <v/>
      </c>
      <c r="W469" s="47" t="str">
        <f t="shared" si="59"/>
        <v/>
      </c>
    </row>
    <row r="470" spans="22:23" x14ac:dyDescent="0.25">
      <c r="V470" s="105" t="str">
        <f t="shared" si="58"/>
        <v/>
      </c>
      <c r="W470" s="47" t="str">
        <f t="shared" si="59"/>
        <v/>
      </c>
    </row>
    <row r="471" spans="22:23" x14ac:dyDescent="0.25">
      <c r="V471" s="105" t="str">
        <f t="shared" ref="V471:V534" si="60">IF(U471= "", "", B471)</f>
        <v/>
      </c>
      <c r="W471" s="47" t="str">
        <f t="shared" ref="W471:W534" si="61">IF(AND(B471="", C471="", E471=""), "", IF(OR(B471=0,B471=""),E471,B471 &amp; " Bed / " &amp;C471&amp; " Bath "))</f>
        <v/>
      </c>
    </row>
    <row r="472" spans="22:23" x14ac:dyDescent="0.25">
      <c r="V472" s="105" t="str">
        <f t="shared" si="60"/>
        <v/>
      </c>
      <c r="W472" s="47" t="str">
        <f t="shared" si="61"/>
        <v/>
      </c>
    </row>
    <row r="473" spans="22:23" x14ac:dyDescent="0.25">
      <c r="V473" s="105" t="str">
        <f t="shared" si="60"/>
        <v/>
      </c>
      <c r="W473" s="47" t="str">
        <f t="shared" si="61"/>
        <v/>
      </c>
    </row>
    <row r="474" spans="22:23" x14ac:dyDescent="0.25">
      <c r="V474" s="105" t="str">
        <f t="shared" si="60"/>
        <v/>
      </c>
      <c r="W474" s="47" t="str">
        <f t="shared" si="61"/>
        <v/>
      </c>
    </row>
    <row r="475" spans="22:23" x14ac:dyDescent="0.25">
      <c r="V475" s="105" t="str">
        <f t="shared" si="60"/>
        <v/>
      </c>
      <c r="W475" s="47" t="str">
        <f t="shared" si="61"/>
        <v/>
      </c>
    </row>
    <row r="476" spans="22:23" x14ac:dyDescent="0.25">
      <c r="V476" s="105" t="str">
        <f t="shared" si="60"/>
        <v/>
      </c>
      <c r="W476" s="47" t="str">
        <f t="shared" si="61"/>
        <v/>
      </c>
    </row>
    <row r="477" spans="22:23" x14ac:dyDescent="0.25">
      <c r="V477" s="105" t="str">
        <f t="shared" si="60"/>
        <v/>
      </c>
      <c r="W477" s="47" t="str">
        <f t="shared" si="61"/>
        <v/>
      </c>
    </row>
    <row r="478" spans="22:23" x14ac:dyDescent="0.25">
      <c r="V478" s="105" t="str">
        <f t="shared" si="60"/>
        <v/>
      </c>
      <c r="W478" s="47" t="str">
        <f t="shared" si="61"/>
        <v/>
      </c>
    </row>
    <row r="479" spans="22:23" x14ac:dyDescent="0.25">
      <c r="V479" s="105" t="str">
        <f t="shared" si="60"/>
        <v/>
      </c>
      <c r="W479" s="47" t="str">
        <f t="shared" si="61"/>
        <v/>
      </c>
    </row>
    <row r="480" spans="22:23" x14ac:dyDescent="0.25">
      <c r="V480" s="105" t="str">
        <f t="shared" si="60"/>
        <v/>
      </c>
      <c r="W480" s="47" t="str">
        <f t="shared" si="61"/>
        <v/>
      </c>
    </row>
    <row r="481" spans="22:23" x14ac:dyDescent="0.25">
      <c r="V481" s="105" t="str">
        <f t="shared" si="60"/>
        <v/>
      </c>
      <c r="W481" s="47" t="str">
        <f t="shared" si="61"/>
        <v/>
      </c>
    </row>
    <row r="482" spans="22:23" x14ac:dyDescent="0.25">
      <c r="V482" s="105" t="str">
        <f t="shared" si="60"/>
        <v/>
      </c>
      <c r="W482" s="47" t="str">
        <f t="shared" si="61"/>
        <v/>
      </c>
    </row>
    <row r="483" spans="22:23" x14ac:dyDescent="0.25">
      <c r="V483" s="105" t="str">
        <f t="shared" si="60"/>
        <v/>
      </c>
      <c r="W483" s="47" t="str">
        <f t="shared" si="61"/>
        <v/>
      </c>
    </row>
    <row r="484" spans="22:23" x14ac:dyDescent="0.25">
      <c r="V484" s="105" t="str">
        <f t="shared" si="60"/>
        <v/>
      </c>
      <c r="W484" s="47" t="str">
        <f t="shared" si="61"/>
        <v/>
      </c>
    </row>
    <row r="485" spans="22:23" x14ac:dyDescent="0.25">
      <c r="V485" s="105" t="str">
        <f t="shared" si="60"/>
        <v/>
      </c>
      <c r="W485" s="47" t="str">
        <f t="shared" si="61"/>
        <v/>
      </c>
    </row>
    <row r="486" spans="22:23" x14ac:dyDescent="0.25">
      <c r="V486" s="105" t="str">
        <f t="shared" si="60"/>
        <v/>
      </c>
      <c r="W486" s="47" t="str">
        <f t="shared" si="61"/>
        <v/>
      </c>
    </row>
    <row r="487" spans="22:23" x14ac:dyDescent="0.25">
      <c r="V487" s="105" t="str">
        <f t="shared" si="60"/>
        <v/>
      </c>
      <c r="W487" s="47" t="str">
        <f t="shared" si="61"/>
        <v/>
      </c>
    </row>
    <row r="488" spans="22:23" x14ac:dyDescent="0.25">
      <c r="V488" s="105" t="str">
        <f t="shared" si="60"/>
        <v/>
      </c>
      <c r="W488" s="47" t="str">
        <f t="shared" si="61"/>
        <v/>
      </c>
    </row>
    <row r="489" spans="22:23" x14ac:dyDescent="0.25">
      <c r="V489" s="105" t="str">
        <f t="shared" si="60"/>
        <v/>
      </c>
      <c r="W489" s="47" t="str">
        <f t="shared" si="61"/>
        <v/>
      </c>
    </row>
    <row r="490" spans="22:23" x14ac:dyDescent="0.25">
      <c r="V490" s="105" t="str">
        <f t="shared" si="60"/>
        <v/>
      </c>
      <c r="W490" s="47" t="str">
        <f t="shared" si="61"/>
        <v/>
      </c>
    </row>
    <row r="491" spans="22:23" x14ac:dyDescent="0.25">
      <c r="V491" s="105" t="str">
        <f t="shared" si="60"/>
        <v/>
      </c>
      <c r="W491" s="47" t="str">
        <f t="shared" si="61"/>
        <v/>
      </c>
    </row>
    <row r="492" spans="22:23" x14ac:dyDescent="0.25">
      <c r="V492" s="105" t="str">
        <f t="shared" si="60"/>
        <v/>
      </c>
      <c r="W492" s="47" t="str">
        <f t="shared" si="61"/>
        <v/>
      </c>
    </row>
    <row r="493" spans="22:23" x14ac:dyDescent="0.25">
      <c r="V493" s="105" t="str">
        <f t="shared" si="60"/>
        <v/>
      </c>
      <c r="W493" s="47" t="str">
        <f t="shared" si="61"/>
        <v/>
      </c>
    </row>
    <row r="494" spans="22:23" x14ac:dyDescent="0.25">
      <c r="V494" s="105" t="str">
        <f t="shared" si="60"/>
        <v/>
      </c>
      <c r="W494" s="47" t="str">
        <f t="shared" si="61"/>
        <v/>
      </c>
    </row>
    <row r="495" spans="22:23" x14ac:dyDescent="0.25">
      <c r="V495" s="105" t="str">
        <f t="shared" si="60"/>
        <v/>
      </c>
      <c r="W495" s="47" t="str">
        <f t="shared" si="61"/>
        <v/>
      </c>
    </row>
    <row r="496" spans="22:23" x14ac:dyDescent="0.25">
      <c r="V496" s="105" t="str">
        <f t="shared" si="60"/>
        <v/>
      </c>
      <c r="W496" s="47" t="str">
        <f t="shared" si="61"/>
        <v/>
      </c>
    </row>
    <row r="497" spans="22:23" x14ac:dyDescent="0.25">
      <c r="V497" s="105" t="str">
        <f t="shared" si="60"/>
        <v/>
      </c>
      <c r="W497" s="47" t="str">
        <f t="shared" si="61"/>
        <v/>
      </c>
    </row>
    <row r="498" spans="22:23" x14ac:dyDescent="0.25">
      <c r="V498" s="105" t="str">
        <f t="shared" si="60"/>
        <v/>
      </c>
      <c r="W498" s="47" t="str">
        <f t="shared" si="61"/>
        <v/>
      </c>
    </row>
    <row r="499" spans="22:23" x14ac:dyDescent="0.25">
      <c r="V499" s="105" t="str">
        <f t="shared" si="60"/>
        <v/>
      </c>
      <c r="W499" s="47" t="str">
        <f t="shared" si="61"/>
        <v/>
      </c>
    </row>
    <row r="500" spans="22:23" x14ac:dyDescent="0.25">
      <c r="V500" s="105" t="str">
        <f t="shared" si="60"/>
        <v/>
      </c>
      <c r="W500" s="47" t="str">
        <f t="shared" si="61"/>
        <v/>
      </c>
    </row>
    <row r="501" spans="22:23" x14ac:dyDescent="0.25">
      <c r="V501" s="105" t="str">
        <f t="shared" si="60"/>
        <v/>
      </c>
      <c r="W501" s="47" t="str">
        <f t="shared" si="61"/>
        <v/>
      </c>
    </row>
    <row r="502" spans="22:23" x14ac:dyDescent="0.25">
      <c r="V502" s="105" t="str">
        <f t="shared" si="60"/>
        <v/>
      </c>
      <c r="W502" s="47" t="str">
        <f t="shared" si="61"/>
        <v/>
      </c>
    </row>
    <row r="503" spans="22:23" x14ac:dyDescent="0.25">
      <c r="V503" s="105" t="str">
        <f t="shared" si="60"/>
        <v/>
      </c>
      <c r="W503" s="47" t="str">
        <f t="shared" si="61"/>
        <v/>
      </c>
    </row>
    <row r="504" spans="22:23" x14ac:dyDescent="0.25">
      <c r="V504" s="105" t="str">
        <f t="shared" si="60"/>
        <v/>
      </c>
      <c r="W504" s="47" t="str">
        <f t="shared" si="61"/>
        <v/>
      </c>
    </row>
    <row r="505" spans="22:23" x14ac:dyDescent="0.25">
      <c r="V505" s="105" t="str">
        <f t="shared" si="60"/>
        <v/>
      </c>
      <c r="W505" s="47" t="str">
        <f t="shared" si="61"/>
        <v/>
      </c>
    </row>
    <row r="506" spans="22:23" x14ac:dyDescent="0.25">
      <c r="V506" s="105" t="str">
        <f t="shared" si="60"/>
        <v/>
      </c>
      <c r="W506" s="47" t="str">
        <f t="shared" si="61"/>
        <v/>
      </c>
    </row>
    <row r="507" spans="22:23" x14ac:dyDescent="0.25">
      <c r="V507" s="105" t="str">
        <f t="shared" si="60"/>
        <v/>
      </c>
      <c r="W507" s="47" t="str">
        <f t="shared" si="61"/>
        <v/>
      </c>
    </row>
    <row r="508" spans="22:23" x14ac:dyDescent="0.25">
      <c r="V508" s="105" t="str">
        <f t="shared" si="60"/>
        <v/>
      </c>
      <c r="W508" s="47" t="str">
        <f t="shared" si="61"/>
        <v/>
      </c>
    </row>
    <row r="509" spans="22:23" x14ac:dyDescent="0.25">
      <c r="V509" s="105" t="str">
        <f t="shared" si="60"/>
        <v/>
      </c>
      <c r="W509" s="47" t="str">
        <f t="shared" si="61"/>
        <v/>
      </c>
    </row>
    <row r="510" spans="22:23" x14ac:dyDescent="0.25">
      <c r="V510" s="105" t="str">
        <f t="shared" si="60"/>
        <v/>
      </c>
      <c r="W510" s="47" t="str">
        <f t="shared" si="61"/>
        <v/>
      </c>
    </row>
    <row r="511" spans="22:23" x14ac:dyDescent="0.25">
      <c r="V511" s="105" t="str">
        <f t="shared" si="60"/>
        <v/>
      </c>
      <c r="W511" s="47" t="str">
        <f t="shared" si="61"/>
        <v/>
      </c>
    </row>
    <row r="512" spans="22:23" x14ac:dyDescent="0.25">
      <c r="V512" s="105" t="str">
        <f t="shared" si="60"/>
        <v/>
      </c>
      <c r="W512" s="47" t="str">
        <f t="shared" si="61"/>
        <v/>
      </c>
    </row>
    <row r="513" spans="22:23" x14ac:dyDescent="0.25">
      <c r="V513" s="105" t="str">
        <f t="shared" si="60"/>
        <v/>
      </c>
      <c r="W513" s="47" t="str">
        <f t="shared" si="61"/>
        <v/>
      </c>
    </row>
    <row r="514" spans="22:23" x14ac:dyDescent="0.25">
      <c r="V514" s="105" t="str">
        <f t="shared" si="60"/>
        <v/>
      </c>
      <c r="W514" s="47" t="str">
        <f t="shared" si="61"/>
        <v/>
      </c>
    </row>
    <row r="515" spans="22:23" x14ac:dyDescent="0.25">
      <c r="V515" s="105" t="str">
        <f t="shared" si="60"/>
        <v/>
      </c>
      <c r="W515" s="47" t="str">
        <f t="shared" si="61"/>
        <v/>
      </c>
    </row>
    <row r="516" spans="22:23" x14ac:dyDescent="0.25">
      <c r="V516" s="105" t="str">
        <f t="shared" si="60"/>
        <v/>
      </c>
      <c r="W516" s="47" t="str">
        <f t="shared" si="61"/>
        <v/>
      </c>
    </row>
    <row r="517" spans="22:23" x14ac:dyDescent="0.25">
      <c r="V517" s="105" t="str">
        <f t="shared" si="60"/>
        <v/>
      </c>
      <c r="W517" s="47" t="str">
        <f t="shared" si="61"/>
        <v/>
      </c>
    </row>
    <row r="518" spans="22:23" x14ac:dyDescent="0.25">
      <c r="V518" s="105" t="str">
        <f t="shared" si="60"/>
        <v/>
      </c>
      <c r="W518" s="47" t="str">
        <f t="shared" si="61"/>
        <v/>
      </c>
    </row>
    <row r="519" spans="22:23" x14ac:dyDescent="0.25">
      <c r="V519" s="105" t="str">
        <f t="shared" si="60"/>
        <v/>
      </c>
      <c r="W519" s="47" t="str">
        <f t="shared" si="61"/>
        <v/>
      </c>
    </row>
    <row r="520" spans="22:23" x14ac:dyDescent="0.25">
      <c r="V520" s="105" t="str">
        <f t="shared" si="60"/>
        <v/>
      </c>
      <c r="W520" s="47" t="str">
        <f t="shared" si="61"/>
        <v/>
      </c>
    </row>
    <row r="521" spans="22:23" x14ac:dyDescent="0.25">
      <c r="V521" s="105" t="str">
        <f t="shared" si="60"/>
        <v/>
      </c>
      <c r="W521" s="47" t="str">
        <f t="shared" si="61"/>
        <v/>
      </c>
    </row>
    <row r="522" spans="22:23" x14ac:dyDescent="0.25">
      <c r="V522" s="105" t="str">
        <f t="shared" si="60"/>
        <v/>
      </c>
      <c r="W522" s="47" t="str">
        <f t="shared" si="61"/>
        <v/>
      </c>
    </row>
    <row r="523" spans="22:23" x14ac:dyDescent="0.25">
      <c r="V523" s="105" t="str">
        <f t="shared" si="60"/>
        <v/>
      </c>
      <c r="W523" s="47" t="str">
        <f t="shared" si="61"/>
        <v/>
      </c>
    </row>
    <row r="524" spans="22:23" x14ac:dyDescent="0.25">
      <c r="V524" s="105" t="str">
        <f t="shared" si="60"/>
        <v/>
      </c>
      <c r="W524" s="47" t="str">
        <f t="shared" si="61"/>
        <v/>
      </c>
    </row>
    <row r="525" spans="22:23" x14ac:dyDescent="0.25">
      <c r="V525" s="105" t="str">
        <f t="shared" si="60"/>
        <v/>
      </c>
      <c r="W525" s="47" t="str">
        <f t="shared" si="61"/>
        <v/>
      </c>
    </row>
    <row r="526" spans="22:23" x14ac:dyDescent="0.25">
      <c r="V526" s="105" t="str">
        <f t="shared" si="60"/>
        <v/>
      </c>
      <c r="W526" s="47" t="str">
        <f t="shared" si="61"/>
        <v/>
      </c>
    </row>
    <row r="527" spans="22:23" x14ac:dyDescent="0.25">
      <c r="V527" s="105" t="str">
        <f t="shared" si="60"/>
        <v/>
      </c>
      <c r="W527" s="47" t="str">
        <f t="shared" si="61"/>
        <v/>
      </c>
    </row>
    <row r="528" spans="22:23" x14ac:dyDescent="0.25">
      <c r="V528" s="105" t="str">
        <f t="shared" si="60"/>
        <v/>
      </c>
      <c r="W528" s="47" t="str">
        <f t="shared" si="61"/>
        <v/>
      </c>
    </row>
    <row r="529" spans="22:23" x14ac:dyDescent="0.25">
      <c r="V529" s="105" t="str">
        <f t="shared" si="60"/>
        <v/>
      </c>
      <c r="W529" s="47" t="str">
        <f t="shared" si="61"/>
        <v/>
      </c>
    </row>
    <row r="530" spans="22:23" x14ac:dyDescent="0.25">
      <c r="V530" s="105" t="str">
        <f t="shared" si="60"/>
        <v/>
      </c>
      <c r="W530" s="47" t="str">
        <f t="shared" si="61"/>
        <v/>
      </c>
    </row>
    <row r="531" spans="22:23" x14ac:dyDescent="0.25">
      <c r="V531" s="105" t="str">
        <f t="shared" si="60"/>
        <v/>
      </c>
      <c r="W531" s="47" t="str">
        <f t="shared" si="61"/>
        <v/>
      </c>
    </row>
    <row r="532" spans="22:23" x14ac:dyDescent="0.25">
      <c r="V532" s="105" t="str">
        <f t="shared" si="60"/>
        <v/>
      </c>
      <c r="W532" s="47" t="str">
        <f t="shared" si="61"/>
        <v/>
      </c>
    </row>
    <row r="533" spans="22:23" x14ac:dyDescent="0.25">
      <c r="V533" s="105" t="str">
        <f t="shared" si="60"/>
        <v/>
      </c>
      <c r="W533" s="47" t="str">
        <f t="shared" si="61"/>
        <v/>
      </c>
    </row>
    <row r="534" spans="22:23" x14ac:dyDescent="0.25">
      <c r="V534" s="105" t="str">
        <f t="shared" si="60"/>
        <v/>
      </c>
      <c r="W534" s="47" t="str">
        <f t="shared" si="61"/>
        <v/>
      </c>
    </row>
    <row r="535" spans="22:23" x14ac:dyDescent="0.25">
      <c r="V535" s="105" t="str">
        <f t="shared" ref="V535:V598" si="62">IF(U535= "", "", B535)</f>
        <v/>
      </c>
      <c r="W535" s="47" t="str">
        <f t="shared" ref="W535:W598" si="63">IF(AND(B535="", C535="", E535=""), "", IF(OR(B535=0,B535=""),E535,B535 &amp; " Bed / " &amp;C535&amp; " Bath "))</f>
        <v/>
      </c>
    </row>
    <row r="536" spans="22:23" x14ac:dyDescent="0.25">
      <c r="V536" s="105" t="str">
        <f t="shared" si="62"/>
        <v/>
      </c>
      <c r="W536" s="47" t="str">
        <f t="shared" si="63"/>
        <v/>
      </c>
    </row>
    <row r="537" spans="22:23" x14ac:dyDescent="0.25">
      <c r="V537" s="105" t="str">
        <f t="shared" si="62"/>
        <v/>
      </c>
      <c r="W537" s="47" t="str">
        <f t="shared" si="63"/>
        <v/>
      </c>
    </row>
    <row r="538" spans="22:23" x14ac:dyDescent="0.25">
      <c r="V538" s="105" t="str">
        <f t="shared" si="62"/>
        <v/>
      </c>
      <c r="W538" s="47" t="str">
        <f t="shared" si="63"/>
        <v/>
      </c>
    </row>
    <row r="539" spans="22:23" x14ac:dyDescent="0.25">
      <c r="V539" s="105" t="str">
        <f t="shared" si="62"/>
        <v/>
      </c>
      <c r="W539" s="47" t="str">
        <f t="shared" si="63"/>
        <v/>
      </c>
    </row>
    <row r="540" spans="22:23" x14ac:dyDescent="0.25">
      <c r="V540" s="105" t="str">
        <f t="shared" si="62"/>
        <v/>
      </c>
      <c r="W540" s="47" t="str">
        <f t="shared" si="63"/>
        <v/>
      </c>
    </row>
    <row r="541" spans="22:23" x14ac:dyDescent="0.25">
      <c r="V541" s="105" t="str">
        <f t="shared" si="62"/>
        <v/>
      </c>
      <c r="W541" s="47" t="str">
        <f t="shared" si="63"/>
        <v/>
      </c>
    </row>
    <row r="542" spans="22:23" x14ac:dyDescent="0.25">
      <c r="V542" s="105" t="str">
        <f t="shared" si="62"/>
        <v/>
      </c>
      <c r="W542" s="47" t="str">
        <f t="shared" si="63"/>
        <v/>
      </c>
    </row>
    <row r="543" spans="22:23" x14ac:dyDescent="0.25">
      <c r="V543" s="105" t="str">
        <f t="shared" si="62"/>
        <v/>
      </c>
      <c r="W543" s="47" t="str">
        <f t="shared" si="63"/>
        <v/>
      </c>
    </row>
    <row r="544" spans="22:23" x14ac:dyDescent="0.25">
      <c r="V544" s="105" t="str">
        <f t="shared" si="62"/>
        <v/>
      </c>
      <c r="W544" s="47" t="str">
        <f t="shared" si="63"/>
        <v/>
      </c>
    </row>
    <row r="545" spans="22:23" x14ac:dyDescent="0.25">
      <c r="V545" s="105" t="str">
        <f t="shared" si="62"/>
        <v/>
      </c>
      <c r="W545" s="47" t="str">
        <f t="shared" si="63"/>
        <v/>
      </c>
    </row>
    <row r="546" spans="22:23" x14ac:dyDescent="0.25">
      <c r="V546" s="105" t="str">
        <f t="shared" si="62"/>
        <v/>
      </c>
      <c r="W546" s="47" t="str">
        <f t="shared" si="63"/>
        <v/>
      </c>
    </row>
    <row r="547" spans="22:23" x14ac:dyDescent="0.25">
      <c r="V547" s="105" t="str">
        <f t="shared" si="62"/>
        <v/>
      </c>
      <c r="W547" s="47" t="str">
        <f t="shared" si="63"/>
        <v/>
      </c>
    </row>
    <row r="548" spans="22:23" x14ac:dyDescent="0.25">
      <c r="V548" s="105" t="str">
        <f t="shared" si="62"/>
        <v/>
      </c>
      <c r="W548" s="47" t="str">
        <f t="shared" si="63"/>
        <v/>
      </c>
    </row>
    <row r="549" spans="22:23" x14ac:dyDescent="0.25">
      <c r="V549" s="105" t="str">
        <f t="shared" si="62"/>
        <v/>
      </c>
      <c r="W549" s="47" t="str">
        <f t="shared" si="63"/>
        <v/>
      </c>
    </row>
    <row r="550" spans="22:23" x14ac:dyDescent="0.25">
      <c r="V550" s="105" t="str">
        <f t="shared" si="62"/>
        <v/>
      </c>
      <c r="W550" s="47" t="str">
        <f t="shared" si="63"/>
        <v/>
      </c>
    </row>
    <row r="551" spans="22:23" x14ac:dyDescent="0.25">
      <c r="V551" s="105" t="str">
        <f t="shared" si="62"/>
        <v/>
      </c>
      <c r="W551" s="47" t="str">
        <f t="shared" si="63"/>
        <v/>
      </c>
    </row>
    <row r="552" spans="22:23" x14ac:dyDescent="0.25">
      <c r="V552" s="105" t="str">
        <f t="shared" si="62"/>
        <v/>
      </c>
      <c r="W552" s="47" t="str">
        <f t="shared" si="63"/>
        <v/>
      </c>
    </row>
    <row r="553" spans="22:23" x14ac:dyDescent="0.25">
      <c r="V553" s="105" t="str">
        <f t="shared" si="62"/>
        <v/>
      </c>
      <c r="W553" s="47" t="str">
        <f t="shared" si="63"/>
        <v/>
      </c>
    </row>
    <row r="554" spans="22:23" x14ac:dyDescent="0.25">
      <c r="V554" s="105" t="str">
        <f t="shared" si="62"/>
        <v/>
      </c>
      <c r="W554" s="47" t="str">
        <f t="shared" si="63"/>
        <v/>
      </c>
    </row>
    <row r="555" spans="22:23" x14ac:dyDescent="0.25">
      <c r="V555" s="105" t="str">
        <f t="shared" si="62"/>
        <v/>
      </c>
      <c r="W555" s="47" t="str">
        <f t="shared" si="63"/>
        <v/>
      </c>
    </row>
    <row r="556" spans="22:23" x14ac:dyDescent="0.25">
      <c r="V556" s="105" t="str">
        <f t="shared" si="62"/>
        <v/>
      </c>
      <c r="W556" s="47" t="str">
        <f t="shared" si="63"/>
        <v/>
      </c>
    </row>
    <row r="557" spans="22:23" x14ac:dyDescent="0.25">
      <c r="V557" s="105" t="str">
        <f t="shared" si="62"/>
        <v/>
      </c>
      <c r="W557" s="47" t="str">
        <f t="shared" si="63"/>
        <v/>
      </c>
    </row>
    <row r="558" spans="22:23" x14ac:dyDescent="0.25">
      <c r="V558" s="105" t="str">
        <f t="shared" si="62"/>
        <v/>
      </c>
      <c r="W558" s="47" t="str">
        <f t="shared" si="63"/>
        <v/>
      </c>
    </row>
    <row r="559" spans="22:23" x14ac:dyDescent="0.25">
      <c r="V559" s="105" t="str">
        <f t="shared" si="62"/>
        <v/>
      </c>
      <c r="W559" s="47" t="str">
        <f t="shared" si="63"/>
        <v/>
      </c>
    </row>
    <row r="560" spans="22:23" x14ac:dyDescent="0.25">
      <c r="V560" s="105" t="str">
        <f t="shared" si="62"/>
        <v/>
      </c>
      <c r="W560" s="47" t="str">
        <f t="shared" si="63"/>
        <v/>
      </c>
    </row>
    <row r="561" spans="22:23" x14ac:dyDescent="0.25">
      <c r="V561" s="105" t="str">
        <f t="shared" si="62"/>
        <v/>
      </c>
      <c r="W561" s="47" t="str">
        <f t="shared" si="63"/>
        <v/>
      </c>
    </row>
    <row r="562" spans="22:23" x14ac:dyDescent="0.25">
      <c r="V562" s="105" t="str">
        <f t="shared" si="62"/>
        <v/>
      </c>
      <c r="W562" s="47" t="str">
        <f t="shared" si="63"/>
        <v/>
      </c>
    </row>
    <row r="563" spans="22:23" x14ac:dyDescent="0.25">
      <c r="V563" s="105" t="str">
        <f t="shared" si="62"/>
        <v/>
      </c>
      <c r="W563" s="47" t="str">
        <f t="shared" si="63"/>
        <v/>
      </c>
    </row>
    <row r="564" spans="22:23" x14ac:dyDescent="0.25">
      <c r="V564" s="105" t="str">
        <f t="shared" si="62"/>
        <v/>
      </c>
      <c r="W564" s="47" t="str">
        <f t="shared" si="63"/>
        <v/>
      </c>
    </row>
    <row r="565" spans="22:23" x14ac:dyDescent="0.25">
      <c r="V565" s="105" t="str">
        <f t="shared" si="62"/>
        <v/>
      </c>
      <c r="W565" s="47" t="str">
        <f t="shared" si="63"/>
        <v/>
      </c>
    </row>
    <row r="566" spans="22:23" x14ac:dyDescent="0.25">
      <c r="V566" s="105" t="str">
        <f t="shared" si="62"/>
        <v/>
      </c>
      <c r="W566" s="47" t="str">
        <f t="shared" si="63"/>
        <v/>
      </c>
    </row>
    <row r="567" spans="22:23" x14ac:dyDescent="0.25">
      <c r="V567" s="105" t="str">
        <f t="shared" si="62"/>
        <v/>
      </c>
      <c r="W567" s="47" t="str">
        <f t="shared" si="63"/>
        <v/>
      </c>
    </row>
    <row r="568" spans="22:23" x14ac:dyDescent="0.25">
      <c r="V568" s="105" t="str">
        <f t="shared" si="62"/>
        <v/>
      </c>
      <c r="W568" s="47" t="str">
        <f t="shared" si="63"/>
        <v/>
      </c>
    </row>
    <row r="569" spans="22:23" x14ac:dyDescent="0.25">
      <c r="V569" s="105" t="str">
        <f t="shared" si="62"/>
        <v/>
      </c>
      <c r="W569" s="47" t="str">
        <f t="shared" si="63"/>
        <v/>
      </c>
    </row>
    <row r="570" spans="22:23" x14ac:dyDescent="0.25">
      <c r="V570" s="105" t="str">
        <f t="shared" si="62"/>
        <v/>
      </c>
      <c r="W570" s="47" t="str">
        <f t="shared" si="63"/>
        <v/>
      </c>
    </row>
    <row r="571" spans="22:23" x14ac:dyDescent="0.25">
      <c r="V571" s="105" t="str">
        <f t="shared" si="62"/>
        <v/>
      </c>
      <c r="W571" s="47" t="str">
        <f t="shared" si="63"/>
        <v/>
      </c>
    </row>
    <row r="572" spans="22:23" x14ac:dyDescent="0.25">
      <c r="V572" s="105" t="str">
        <f t="shared" si="62"/>
        <v/>
      </c>
      <c r="W572" s="47" t="str">
        <f t="shared" si="63"/>
        <v/>
      </c>
    </row>
    <row r="573" spans="22:23" x14ac:dyDescent="0.25">
      <c r="V573" s="105" t="str">
        <f t="shared" si="62"/>
        <v/>
      </c>
      <c r="W573" s="47" t="str">
        <f t="shared" si="63"/>
        <v/>
      </c>
    </row>
    <row r="574" spans="22:23" x14ac:dyDescent="0.25">
      <c r="V574" s="105" t="str">
        <f t="shared" si="62"/>
        <v/>
      </c>
      <c r="W574" s="47" t="str">
        <f t="shared" si="63"/>
        <v/>
      </c>
    </row>
    <row r="575" spans="22:23" x14ac:dyDescent="0.25">
      <c r="V575" s="105" t="str">
        <f t="shared" si="62"/>
        <v/>
      </c>
      <c r="W575" s="47" t="str">
        <f t="shared" si="63"/>
        <v/>
      </c>
    </row>
    <row r="576" spans="22:23" x14ac:dyDescent="0.25">
      <c r="V576" s="105" t="str">
        <f t="shared" si="62"/>
        <v/>
      </c>
      <c r="W576" s="47" t="str">
        <f t="shared" si="63"/>
        <v/>
      </c>
    </row>
    <row r="577" spans="22:23" x14ac:dyDescent="0.25">
      <c r="V577" s="105" t="str">
        <f t="shared" si="62"/>
        <v/>
      </c>
      <c r="W577" s="47" t="str">
        <f t="shared" si="63"/>
        <v/>
      </c>
    </row>
    <row r="578" spans="22:23" x14ac:dyDescent="0.25">
      <c r="V578" s="105" t="str">
        <f t="shared" si="62"/>
        <v/>
      </c>
      <c r="W578" s="47" t="str">
        <f t="shared" si="63"/>
        <v/>
      </c>
    </row>
    <row r="579" spans="22:23" x14ac:dyDescent="0.25">
      <c r="V579" s="105" t="str">
        <f t="shared" si="62"/>
        <v/>
      </c>
      <c r="W579" s="47" t="str">
        <f t="shared" si="63"/>
        <v/>
      </c>
    </row>
    <row r="580" spans="22:23" x14ac:dyDescent="0.25">
      <c r="V580" s="105" t="str">
        <f t="shared" si="62"/>
        <v/>
      </c>
      <c r="W580" s="47" t="str">
        <f t="shared" si="63"/>
        <v/>
      </c>
    </row>
    <row r="581" spans="22:23" x14ac:dyDescent="0.25">
      <c r="V581" s="105" t="str">
        <f t="shared" si="62"/>
        <v/>
      </c>
      <c r="W581" s="47" t="str">
        <f t="shared" si="63"/>
        <v/>
      </c>
    </row>
    <row r="582" spans="22:23" x14ac:dyDescent="0.25">
      <c r="V582" s="105" t="str">
        <f t="shared" si="62"/>
        <v/>
      </c>
      <c r="W582" s="47" t="str">
        <f t="shared" si="63"/>
        <v/>
      </c>
    </row>
    <row r="583" spans="22:23" x14ac:dyDescent="0.25">
      <c r="V583" s="105" t="str">
        <f t="shared" si="62"/>
        <v/>
      </c>
      <c r="W583" s="47" t="str">
        <f t="shared" si="63"/>
        <v/>
      </c>
    </row>
    <row r="584" spans="22:23" x14ac:dyDescent="0.25">
      <c r="V584" s="105" t="str">
        <f t="shared" si="62"/>
        <v/>
      </c>
      <c r="W584" s="47" t="str">
        <f t="shared" si="63"/>
        <v/>
      </c>
    </row>
    <row r="585" spans="22:23" x14ac:dyDescent="0.25">
      <c r="V585" s="105" t="str">
        <f t="shared" si="62"/>
        <v/>
      </c>
      <c r="W585" s="47" t="str">
        <f t="shared" si="63"/>
        <v/>
      </c>
    </row>
    <row r="586" spans="22:23" x14ac:dyDescent="0.25">
      <c r="V586" s="105" t="str">
        <f t="shared" si="62"/>
        <v/>
      </c>
      <c r="W586" s="47" t="str">
        <f t="shared" si="63"/>
        <v/>
      </c>
    </row>
    <row r="587" spans="22:23" x14ac:dyDescent="0.25">
      <c r="V587" s="105" t="str">
        <f t="shared" si="62"/>
        <v/>
      </c>
      <c r="W587" s="47" t="str">
        <f t="shared" si="63"/>
        <v/>
      </c>
    </row>
    <row r="588" spans="22:23" x14ac:dyDescent="0.25">
      <c r="V588" s="105" t="str">
        <f t="shared" si="62"/>
        <v/>
      </c>
      <c r="W588" s="47" t="str">
        <f t="shared" si="63"/>
        <v/>
      </c>
    </row>
    <row r="589" spans="22:23" x14ac:dyDescent="0.25">
      <c r="V589" s="105" t="str">
        <f t="shared" si="62"/>
        <v/>
      </c>
      <c r="W589" s="47" t="str">
        <f t="shared" si="63"/>
        <v/>
      </c>
    </row>
    <row r="590" spans="22:23" x14ac:dyDescent="0.25">
      <c r="V590" s="105" t="str">
        <f t="shared" si="62"/>
        <v/>
      </c>
      <c r="W590" s="47" t="str">
        <f t="shared" si="63"/>
        <v/>
      </c>
    </row>
    <row r="591" spans="22:23" x14ac:dyDescent="0.25">
      <c r="V591" s="105" t="str">
        <f t="shared" si="62"/>
        <v/>
      </c>
      <c r="W591" s="47" t="str">
        <f t="shared" si="63"/>
        <v/>
      </c>
    </row>
    <row r="592" spans="22:23" x14ac:dyDescent="0.25">
      <c r="V592" s="105" t="str">
        <f t="shared" si="62"/>
        <v/>
      </c>
      <c r="W592" s="47" t="str">
        <f t="shared" si="63"/>
        <v/>
      </c>
    </row>
    <row r="593" spans="22:23" x14ac:dyDescent="0.25">
      <c r="V593" s="105" t="str">
        <f t="shared" si="62"/>
        <v/>
      </c>
      <c r="W593" s="47" t="str">
        <f t="shared" si="63"/>
        <v/>
      </c>
    </row>
    <row r="594" spans="22:23" x14ac:dyDescent="0.25">
      <c r="V594" s="105" t="str">
        <f t="shared" si="62"/>
        <v/>
      </c>
      <c r="W594" s="47" t="str">
        <f t="shared" si="63"/>
        <v/>
      </c>
    </row>
    <row r="595" spans="22:23" x14ac:dyDescent="0.25">
      <c r="V595" s="105" t="str">
        <f t="shared" si="62"/>
        <v/>
      </c>
      <c r="W595" s="47" t="str">
        <f t="shared" si="63"/>
        <v/>
      </c>
    </row>
    <row r="596" spans="22:23" x14ac:dyDescent="0.25">
      <c r="V596" s="105" t="str">
        <f t="shared" si="62"/>
        <v/>
      </c>
      <c r="W596" s="47" t="str">
        <f t="shared" si="63"/>
        <v/>
      </c>
    </row>
    <row r="597" spans="22:23" x14ac:dyDescent="0.25">
      <c r="V597" s="105" t="str">
        <f t="shared" si="62"/>
        <v/>
      </c>
      <c r="W597" s="47" t="str">
        <f t="shared" si="63"/>
        <v/>
      </c>
    </row>
    <row r="598" spans="22:23" x14ac:dyDescent="0.25">
      <c r="V598" s="105" t="str">
        <f t="shared" si="62"/>
        <v/>
      </c>
      <c r="W598" s="47" t="str">
        <f t="shared" si="63"/>
        <v/>
      </c>
    </row>
    <row r="599" spans="22:23" x14ac:dyDescent="0.25">
      <c r="V599" s="105" t="str">
        <f t="shared" ref="V599:V642" si="64">IF(U599= "", "", B599)</f>
        <v/>
      </c>
      <c r="W599" s="47" t="str">
        <f t="shared" ref="W599:W642" si="65">IF(AND(B599="", C599="", E599=""), "", IF(OR(B599=0,B599=""),E599,B599 &amp; " Bed / " &amp;C599&amp; " Bath "))</f>
        <v/>
      </c>
    </row>
    <row r="600" spans="22:23" x14ac:dyDescent="0.25">
      <c r="V600" s="105" t="str">
        <f t="shared" si="64"/>
        <v/>
      </c>
      <c r="W600" s="47" t="str">
        <f t="shared" si="65"/>
        <v/>
      </c>
    </row>
    <row r="601" spans="22:23" x14ac:dyDescent="0.25">
      <c r="V601" s="105" t="str">
        <f t="shared" si="64"/>
        <v/>
      </c>
      <c r="W601" s="47" t="str">
        <f t="shared" si="65"/>
        <v/>
      </c>
    </row>
    <row r="602" spans="22:23" x14ac:dyDescent="0.25">
      <c r="V602" s="105" t="str">
        <f t="shared" si="64"/>
        <v/>
      </c>
      <c r="W602" s="47" t="str">
        <f t="shared" si="65"/>
        <v/>
      </c>
    </row>
    <row r="603" spans="22:23" x14ac:dyDescent="0.25">
      <c r="V603" s="105" t="str">
        <f t="shared" si="64"/>
        <v/>
      </c>
      <c r="W603" s="47" t="str">
        <f t="shared" si="65"/>
        <v/>
      </c>
    </row>
    <row r="604" spans="22:23" x14ac:dyDescent="0.25">
      <c r="V604" s="105" t="str">
        <f t="shared" si="64"/>
        <v/>
      </c>
      <c r="W604" s="47" t="str">
        <f t="shared" si="65"/>
        <v/>
      </c>
    </row>
    <row r="605" spans="22:23" x14ac:dyDescent="0.25">
      <c r="V605" s="105" t="str">
        <f t="shared" si="64"/>
        <v/>
      </c>
      <c r="W605" s="47" t="str">
        <f t="shared" si="65"/>
        <v/>
      </c>
    </row>
    <row r="606" spans="22:23" x14ac:dyDescent="0.25">
      <c r="V606" s="105" t="str">
        <f t="shared" si="64"/>
        <v/>
      </c>
      <c r="W606" s="47" t="str">
        <f t="shared" si="65"/>
        <v/>
      </c>
    </row>
    <row r="607" spans="22:23" x14ac:dyDescent="0.25">
      <c r="V607" s="105" t="str">
        <f t="shared" si="64"/>
        <v/>
      </c>
      <c r="W607" s="47" t="str">
        <f t="shared" si="65"/>
        <v/>
      </c>
    </row>
    <row r="608" spans="22:23" x14ac:dyDescent="0.25">
      <c r="V608" s="105" t="str">
        <f t="shared" si="64"/>
        <v/>
      </c>
      <c r="W608" s="47" t="str">
        <f t="shared" si="65"/>
        <v/>
      </c>
    </row>
    <row r="609" spans="22:23" x14ac:dyDescent="0.25">
      <c r="V609" s="105" t="str">
        <f t="shared" si="64"/>
        <v/>
      </c>
      <c r="W609" s="47" t="str">
        <f t="shared" si="65"/>
        <v/>
      </c>
    </row>
    <row r="610" spans="22:23" x14ac:dyDescent="0.25">
      <c r="V610" s="105" t="str">
        <f t="shared" si="64"/>
        <v/>
      </c>
      <c r="W610" s="47" t="str">
        <f t="shared" si="65"/>
        <v/>
      </c>
    </row>
    <row r="611" spans="22:23" x14ac:dyDescent="0.25">
      <c r="V611" s="105" t="str">
        <f t="shared" si="64"/>
        <v/>
      </c>
      <c r="W611" s="47" t="str">
        <f t="shared" si="65"/>
        <v/>
      </c>
    </row>
    <row r="612" spans="22:23" x14ac:dyDescent="0.25">
      <c r="V612" s="105" t="str">
        <f t="shared" si="64"/>
        <v/>
      </c>
      <c r="W612" s="47" t="str">
        <f t="shared" si="65"/>
        <v/>
      </c>
    </row>
    <row r="613" spans="22:23" x14ac:dyDescent="0.25">
      <c r="V613" s="105" t="str">
        <f t="shared" si="64"/>
        <v/>
      </c>
      <c r="W613" s="47" t="str">
        <f t="shared" si="65"/>
        <v/>
      </c>
    </row>
    <row r="614" spans="22:23" x14ac:dyDescent="0.25">
      <c r="V614" s="105" t="str">
        <f t="shared" si="64"/>
        <v/>
      </c>
      <c r="W614" s="47" t="str">
        <f t="shared" si="65"/>
        <v/>
      </c>
    </row>
    <row r="615" spans="22:23" x14ac:dyDescent="0.25">
      <c r="V615" s="105" t="str">
        <f t="shared" si="64"/>
        <v/>
      </c>
      <c r="W615" s="47" t="str">
        <f t="shared" si="65"/>
        <v/>
      </c>
    </row>
    <row r="616" spans="22:23" x14ac:dyDescent="0.25">
      <c r="V616" s="105" t="str">
        <f t="shared" si="64"/>
        <v/>
      </c>
      <c r="W616" s="47" t="str">
        <f t="shared" si="65"/>
        <v/>
      </c>
    </row>
    <row r="617" spans="22:23" x14ac:dyDescent="0.25">
      <c r="V617" s="105" t="str">
        <f t="shared" si="64"/>
        <v/>
      </c>
      <c r="W617" s="47" t="str">
        <f t="shared" si="65"/>
        <v/>
      </c>
    </row>
    <row r="618" spans="22:23" x14ac:dyDescent="0.25">
      <c r="V618" s="105" t="str">
        <f t="shared" si="64"/>
        <v/>
      </c>
      <c r="W618" s="47" t="str">
        <f t="shared" si="65"/>
        <v/>
      </c>
    </row>
    <row r="619" spans="22:23" x14ac:dyDescent="0.25">
      <c r="V619" s="105" t="str">
        <f t="shared" si="64"/>
        <v/>
      </c>
      <c r="W619" s="47" t="str">
        <f t="shared" si="65"/>
        <v/>
      </c>
    </row>
    <row r="620" spans="22:23" x14ac:dyDescent="0.25">
      <c r="V620" s="105" t="str">
        <f t="shared" si="64"/>
        <v/>
      </c>
      <c r="W620" s="47" t="str">
        <f t="shared" si="65"/>
        <v/>
      </c>
    </row>
    <row r="621" spans="22:23" x14ac:dyDescent="0.25">
      <c r="V621" s="105" t="str">
        <f t="shared" si="64"/>
        <v/>
      </c>
      <c r="W621" s="47" t="str">
        <f t="shared" si="65"/>
        <v/>
      </c>
    </row>
    <row r="622" spans="22:23" x14ac:dyDescent="0.25">
      <c r="V622" s="105" t="str">
        <f t="shared" si="64"/>
        <v/>
      </c>
      <c r="W622" s="47" t="str">
        <f t="shared" si="65"/>
        <v/>
      </c>
    </row>
    <row r="623" spans="22:23" x14ac:dyDescent="0.25">
      <c r="V623" s="105" t="str">
        <f t="shared" si="64"/>
        <v/>
      </c>
      <c r="W623" s="47" t="str">
        <f t="shared" si="65"/>
        <v/>
      </c>
    </row>
    <row r="624" spans="22:23" x14ac:dyDescent="0.25">
      <c r="V624" s="105" t="str">
        <f t="shared" si="64"/>
        <v/>
      </c>
      <c r="W624" s="47" t="str">
        <f t="shared" si="65"/>
        <v/>
      </c>
    </row>
    <row r="625" spans="22:23" x14ac:dyDescent="0.25">
      <c r="V625" s="105" t="str">
        <f t="shared" si="64"/>
        <v/>
      </c>
      <c r="W625" s="47" t="str">
        <f t="shared" si="65"/>
        <v/>
      </c>
    </row>
    <row r="626" spans="22:23" x14ac:dyDescent="0.25">
      <c r="V626" s="105" t="str">
        <f t="shared" si="64"/>
        <v/>
      </c>
      <c r="W626" s="47" t="str">
        <f t="shared" si="65"/>
        <v/>
      </c>
    </row>
    <row r="627" spans="22:23" x14ac:dyDescent="0.25">
      <c r="V627" s="105" t="str">
        <f t="shared" si="64"/>
        <v/>
      </c>
      <c r="W627" s="47" t="str">
        <f t="shared" si="65"/>
        <v/>
      </c>
    </row>
    <row r="628" spans="22:23" x14ac:dyDescent="0.25">
      <c r="V628" s="105" t="str">
        <f t="shared" si="64"/>
        <v/>
      </c>
      <c r="W628" s="47" t="str">
        <f t="shared" si="65"/>
        <v/>
      </c>
    </row>
    <row r="629" spans="22:23" x14ac:dyDescent="0.25">
      <c r="V629" s="105" t="str">
        <f t="shared" si="64"/>
        <v/>
      </c>
      <c r="W629" s="47" t="str">
        <f t="shared" si="65"/>
        <v/>
      </c>
    </row>
    <row r="630" spans="22:23" x14ac:dyDescent="0.25">
      <c r="V630" s="105" t="str">
        <f t="shared" si="64"/>
        <v/>
      </c>
      <c r="W630" s="47" t="str">
        <f t="shared" si="65"/>
        <v/>
      </c>
    </row>
    <row r="631" spans="22:23" x14ac:dyDescent="0.25">
      <c r="V631" s="105" t="str">
        <f t="shared" si="64"/>
        <v/>
      </c>
      <c r="W631" s="47" t="str">
        <f t="shared" si="65"/>
        <v/>
      </c>
    </row>
    <row r="632" spans="22:23" x14ac:dyDescent="0.25">
      <c r="V632" s="105" t="str">
        <f t="shared" si="64"/>
        <v/>
      </c>
      <c r="W632" s="47" t="str">
        <f t="shared" si="65"/>
        <v/>
      </c>
    </row>
    <row r="633" spans="22:23" x14ac:dyDescent="0.25">
      <c r="V633" s="105" t="str">
        <f t="shared" si="64"/>
        <v/>
      </c>
      <c r="W633" s="47" t="str">
        <f t="shared" si="65"/>
        <v/>
      </c>
    </row>
    <row r="634" spans="22:23" x14ac:dyDescent="0.25">
      <c r="V634" s="105" t="str">
        <f t="shared" si="64"/>
        <v/>
      </c>
      <c r="W634" s="47" t="str">
        <f t="shared" si="65"/>
        <v/>
      </c>
    </row>
    <row r="635" spans="22:23" x14ac:dyDescent="0.25">
      <c r="V635" s="105" t="str">
        <f t="shared" si="64"/>
        <v/>
      </c>
      <c r="W635" s="47" t="str">
        <f t="shared" si="65"/>
        <v/>
      </c>
    </row>
    <row r="636" spans="22:23" x14ac:dyDescent="0.25">
      <c r="V636" s="105" t="str">
        <f t="shared" si="64"/>
        <v/>
      </c>
      <c r="W636" s="47" t="str">
        <f t="shared" si="65"/>
        <v/>
      </c>
    </row>
    <row r="637" spans="22:23" x14ac:dyDescent="0.25">
      <c r="V637" s="105" t="str">
        <f t="shared" si="64"/>
        <v/>
      </c>
      <c r="W637" s="47" t="str">
        <f t="shared" si="65"/>
        <v/>
      </c>
    </row>
    <row r="638" spans="22:23" x14ac:dyDescent="0.25">
      <c r="V638" s="105" t="str">
        <f t="shared" si="64"/>
        <v/>
      </c>
      <c r="W638" s="47" t="str">
        <f t="shared" si="65"/>
        <v/>
      </c>
    </row>
    <row r="639" spans="22:23" x14ac:dyDescent="0.25">
      <c r="V639" s="105" t="str">
        <f t="shared" si="64"/>
        <v/>
      </c>
      <c r="W639" s="47" t="str">
        <f t="shared" si="65"/>
        <v/>
      </c>
    </row>
    <row r="640" spans="22:23" x14ac:dyDescent="0.25">
      <c r="V640" s="105" t="str">
        <f t="shared" si="64"/>
        <v/>
      </c>
      <c r="W640" s="47" t="str">
        <f t="shared" si="65"/>
        <v/>
      </c>
    </row>
    <row r="641" spans="22:23" x14ac:dyDescent="0.25">
      <c r="V641" s="105" t="str">
        <f t="shared" si="64"/>
        <v/>
      </c>
      <c r="W641" s="47" t="str">
        <f t="shared" si="65"/>
        <v/>
      </c>
    </row>
    <row r="642" spans="22:23" x14ac:dyDescent="0.25">
      <c r="V642" s="105" t="str">
        <f t="shared" si="64"/>
        <v/>
      </c>
      <c r="W642" s="47" t="str">
        <f t="shared" si="65"/>
        <v/>
      </c>
    </row>
  </sheetData>
  <conditionalFormatting sqref="F5:G214">
    <cfRule type="expression" dxfId="60" priority="1">
      <formula>AND(OR($B5 &lt;&gt;"", $C5 &lt;&gt; "", $E5 &lt;&gt;""),F5 = "")</formula>
    </cfRule>
  </conditionalFormatting>
  <dataValidations count="5">
    <dataValidation type="decimal" allowBlank="1" showInputMessage="1" showErrorMessage="1" sqref="B5:C214" xr:uid="{0C51FAA4-4AEE-4C58-9CB5-DDA92934F6AB}">
      <formula1>0</formula1>
      <formula2>20</formula2>
    </dataValidation>
    <dataValidation type="decimal" allowBlank="1" showInputMessage="1" showErrorMessage="1" sqref="D5:D214" xr:uid="{74F83D8B-43D3-44B4-B6C4-6FA28509F1FD}">
      <formula1>-99999</formula1>
      <formula2>99999</formula2>
    </dataValidation>
    <dataValidation type="whole" allowBlank="1" showInputMessage="1" showErrorMessage="1" sqref="F5:F214" xr:uid="{1A51D9E8-B89A-47CE-9323-235A22602DB0}">
      <formula1>0</formula1>
      <formula2>9999</formula2>
    </dataValidation>
    <dataValidation type="decimal" allowBlank="1" showInputMessage="1" showErrorMessage="1" sqref="G5:G214" xr:uid="{65D44489-981E-4E5A-BF57-0115251001C4}">
      <formula1>0</formula1>
      <formula2>9999999</formula2>
    </dataValidation>
    <dataValidation type="decimal" allowBlank="1" showInputMessage="1" showErrorMessage="1" sqref="H5:J214" xr:uid="{670C77AE-A0F3-4E73-BC54-1988B85CE2E3}">
      <formula1>0</formula1>
      <formula2>999999999</formula2>
    </dataValidation>
  </dataValidations>
  <pageMargins left="0.7" right="0.7" top="0.75" bottom="0.75" header="0.3" footer="0.3"/>
  <pageSetup orientation="portrait" horizontalDpi="1200" verticalDpi="1200" r:id="rId1"/>
  <customProperties>
    <customPr name="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531E-27B2-4A5D-A3E7-5260125CB596}">
  <sheetPr codeName="Sheet21"/>
  <dimension ref="A1:E10"/>
  <sheetViews>
    <sheetView workbookViewId="0">
      <selection activeCell="D1" sqref="D1"/>
    </sheetView>
  </sheetViews>
  <sheetFormatPr defaultColWidth="8.85546875" defaultRowHeight="15" x14ac:dyDescent="0.25"/>
  <cols>
    <col min="1" max="1" width="9.28515625" customWidth="1"/>
    <col min="2" max="2" width="16.85546875" customWidth="1"/>
    <col min="7" max="7" width="22.42578125" customWidth="1"/>
  </cols>
  <sheetData>
    <row r="1" spans="1:5" x14ac:dyDescent="0.25">
      <c r="A1" cm="1">
        <f t="array" aca="1" ref="A1" ca="1">Unit_Amt_Summary</f>
        <v>0</v>
      </c>
      <c r="B1" t="str" cm="1">
        <f t="array" ref="B1">Unit_Type_Summary</f>
        <v/>
      </c>
      <c r="C1" cm="1">
        <f t="array" aca="1" ref="C1" ca="1">Summary_SQFT_UNIT</f>
        <v>0</v>
      </c>
      <c r="D1" s="47" cm="1">
        <f t="array" aca="1" ref="D1" ca="1">Summary_SCHEDULED_RENTS</f>
        <v>0</v>
      </c>
      <c r="E1" s="47" cm="1">
        <f t="array" aca="1" ref="E1" ca="1">Summary_MARKET_RENTS</f>
        <v>0</v>
      </c>
    </row>
    <row r="2" spans="1:5" x14ac:dyDescent="0.25">
      <c r="D2" s="47"/>
      <c r="E2" s="47"/>
    </row>
    <row r="3" spans="1:5" x14ac:dyDescent="0.25">
      <c r="D3" s="47"/>
      <c r="E3" s="47"/>
    </row>
    <row r="4" spans="1:5" x14ac:dyDescent="0.25">
      <c r="D4" s="47"/>
      <c r="E4" s="47"/>
    </row>
    <row r="5" spans="1:5" x14ac:dyDescent="0.25">
      <c r="D5" s="47"/>
      <c r="E5" s="47"/>
    </row>
    <row r="6" spans="1:5" x14ac:dyDescent="0.25">
      <c r="D6" s="47"/>
      <c r="E6" s="47"/>
    </row>
    <row r="7" spans="1:5" x14ac:dyDescent="0.25">
      <c r="D7" s="47"/>
      <c r="E7" s="47"/>
    </row>
    <row r="8" spans="1:5" x14ac:dyDescent="0.25">
      <c r="D8" s="47"/>
      <c r="E8" s="47"/>
    </row>
    <row r="9" spans="1:5" x14ac:dyDescent="0.25">
      <c r="D9" s="47"/>
      <c r="E9" s="47"/>
    </row>
    <row r="10" spans="1:5" x14ac:dyDescent="0.25">
      <c r="D10" s="47"/>
      <c r="E10" s="47"/>
    </row>
  </sheetData>
  <pageMargins left="0.7" right="0.7" top="0.75" bottom="0.75" header="0.3" footer="0.3"/>
  <pageSetup orientation="portrait" r:id="rId1"/>
  <customProperties>
    <customPr name="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1FBA-9A68-4ADB-BB92-3E93033C1610}">
  <sheetPr codeName="Sheet9">
    <tabColor rgb="FF4D4D4D"/>
  </sheetPr>
  <dimension ref="A1:Y33"/>
  <sheetViews>
    <sheetView workbookViewId="0">
      <selection activeCell="C33" sqref="C33"/>
    </sheetView>
  </sheetViews>
  <sheetFormatPr defaultColWidth="8.85546875" defaultRowHeight="15" x14ac:dyDescent="0.25"/>
  <cols>
    <col min="1" max="1" width="31.85546875" customWidth="1"/>
    <col min="2" max="6" width="21.42578125" customWidth="1"/>
    <col min="7" max="7" width="9.140625" customWidth="1"/>
    <col min="8" max="8" width="24.7109375" customWidth="1"/>
    <col min="9" max="9" width="42.140625" customWidth="1"/>
    <col min="10" max="10" width="14.42578125" customWidth="1"/>
    <col min="11" max="12" width="9.140625" customWidth="1"/>
    <col min="13" max="13" width="15" customWidth="1"/>
    <col min="23" max="23" width="17.140625" customWidth="1"/>
  </cols>
  <sheetData>
    <row r="1" spans="1:25" ht="15" customHeight="1" x14ac:dyDescent="0.25">
      <c r="A1" s="37"/>
      <c r="B1" s="38" t="s">
        <v>259</v>
      </c>
      <c r="C1" s="38" t="s">
        <v>260</v>
      </c>
      <c r="D1" s="38" t="s">
        <v>261</v>
      </c>
      <c r="E1" s="38" t="s">
        <v>262</v>
      </c>
      <c r="F1" s="38"/>
      <c r="X1" t="s">
        <v>263</v>
      </c>
    </row>
    <row r="2" spans="1:25" ht="15" customHeight="1" x14ac:dyDescent="0.25">
      <c r="A2" s="39" t="s">
        <v>264</v>
      </c>
      <c r="B2" s="39" t="s">
        <v>165</v>
      </c>
      <c r="C2" s="39" t="s">
        <v>166</v>
      </c>
      <c r="D2" s="39" t="s">
        <v>167</v>
      </c>
      <c r="E2" s="39" t="s">
        <v>199</v>
      </c>
      <c r="F2" s="39" t="s">
        <v>265</v>
      </c>
      <c r="H2" s="39" t="s">
        <v>264</v>
      </c>
      <c r="I2" s="39" t="s">
        <v>266</v>
      </c>
      <c r="J2" s="39" t="s">
        <v>267</v>
      </c>
      <c r="X2" t="s">
        <v>268</v>
      </c>
      <c r="Y2">
        <v>2</v>
      </c>
    </row>
    <row r="3" spans="1:25" ht="15" customHeight="1" x14ac:dyDescent="0.3">
      <c r="A3" s="40" t="s">
        <v>269</v>
      </c>
      <c r="B3" s="41" t="e" cm="1">
        <f t="array" ref="B3">_xlfn.SWITCH(SED_Compounding_Switch, "Monthly", 12, "Semi-Annually", 2)</f>
        <v>#N/A</v>
      </c>
      <c r="C3" s="42" cm="1">
        <f t="array" ref="C3">IFERROR(_xlfn.SWITCH(NEW_Compounding_Switch, "Monthly", 12, "Semi-Annually", 2),0)</f>
        <v>0</v>
      </c>
      <c r="D3" t="e" cm="1">
        <f t="array" aca="1" ref="D3" ca="1">_xlfn.SWITCH(INDIRECT(D1&amp; "Compounding_Switch"), "Monthly", 12, "Semi-Annually", 2)</f>
        <v>#N/A</v>
      </c>
      <c r="E3" t="e" cm="1">
        <f t="array" aca="1" ref="E3" ca="1">_xlfn.SWITCH(INDIRECT(E1&amp; "Compounding_Switch"), "Monthly", 12, "Semi-Annually", 2)</f>
        <v>#N/A</v>
      </c>
      <c r="H3" t="s">
        <v>270</v>
      </c>
      <c r="M3" s="691"/>
      <c r="N3" s="691"/>
      <c r="O3" s="691"/>
      <c r="P3" s="691" t="s">
        <v>145</v>
      </c>
      <c r="Q3" s="691" t="s">
        <v>271</v>
      </c>
      <c r="R3" s="691" t="s">
        <v>271</v>
      </c>
      <c r="S3" s="691"/>
      <c r="T3" s="691"/>
      <c r="U3" s="691"/>
      <c r="X3" t="s">
        <v>272</v>
      </c>
      <c r="Y3" t="s">
        <v>273</v>
      </c>
    </row>
    <row r="4" spans="1:25" ht="15" customHeight="1" x14ac:dyDescent="0.25">
      <c r="A4" s="40" t="s">
        <v>274</v>
      </c>
      <c r="B4" s="66" t="e">
        <f>ROUNDDOWN(YEARFRAC(SED_Origination_Date,Date_of_Analysis)*SED_Rate_Compounding_Switch,0)</f>
        <v>#N/A</v>
      </c>
      <c r="C4" s="44">
        <f>ROUNDDOWN(YEARFRAC(NEW_Origination_Date,Date_of_Analysis)*NEW_Rate_Compounding_Switch,0)</f>
        <v>0</v>
      </c>
      <c r="D4" t="e">
        <f ca="1">ROUNDDOWN(YEARFRAC(Mezz_Origination_Date,Date_of_Analysis)*Mezz_Rate_Compounding_Switch,0)</f>
        <v>#N/A</v>
      </c>
      <c r="E4" t="e">
        <f ca="1">ROUNDDOWN(YEARFRAC(Mezz_Origination_Date,Date_of_Analysis)*Mezz_Rate_Compounding_Switch,0)</f>
        <v>#N/A</v>
      </c>
      <c r="H4" t="s">
        <v>275</v>
      </c>
      <c r="I4" t="b">
        <v>0</v>
      </c>
      <c r="J4" t="e">
        <f>hide_sale_price</f>
        <v>#NAME?</v>
      </c>
      <c r="M4" s="692" t="s">
        <v>276</v>
      </c>
      <c r="N4" s="692" t="str">
        <f>'Operating Statement'!O4</f>
        <v>CURRENT</v>
      </c>
      <c r="O4" s="692" t="str">
        <f>'Operating Statement'!Q4</f>
        <v>YEAR 1</v>
      </c>
      <c r="P4" s="692" t="s">
        <v>148</v>
      </c>
      <c r="Q4" s="692" t="s">
        <v>277</v>
      </c>
      <c r="R4" s="692" t="s">
        <v>278</v>
      </c>
      <c r="S4" s="692" t="s">
        <v>127</v>
      </c>
      <c r="T4" s="692" t="s">
        <v>127</v>
      </c>
      <c r="U4" s="692" t="str">
        <f>'Operating Statement'!Q4</f>
        <v>YEAR 1</v>
      </c>
      <c r="X4" t="s">
        <v>279</v>
      </c>
      <c r="Y4" t="s">
        <v>280</v>
      </c>
    </row>
    <row r="5" spans="1:25" ht="15" customHeight="1" x14ac:dyDescent="0.25">
      <c r="A5" s="40" t="s">
        <v>281</v>
      </c>
      <c r="B5" s="43" t="e">
        <f>(SED_Interest_Rate/SED_Rate_Compounding_Switch + 1) ^ (SED_Rate_Compounding_Switch/12)-1</f>
        <v>#N/A</v>
      </c>
      <c r="C5" s="76" t="e">
        <f>(NEW_Interest_Rate/NEW_Rate_Compounding_Switch + 1) ^ (NEW_Rate_Compounding_Switch/12)-1</f>
        <v>#DIV/0!</v>
      </c>
      <c r="D5" s="83" t="e">
        <f ca="1">(Mezz_Interest_Rate/Mezz_Rate_Compounding_Switch + 1) ^ (Mezz_Rate_Compounding_Switch/12)-1</f>
        <v>#N/A</v>
      </c>
      <c r="E5" s="83" t="e">
        <f ca="1">(Refi_Interest_Rate/Refi_Rate_Compounding_Switch + 1) ^ (Refi_Rate_Compounding_Switch/12)-1</f>
        <v>#N/A</v>
      </c>
      <c r="F5" s="83"/>
      <c r="H5" t="s">
        <v>282</v>
      </c>
      <c r="I5" t="e">
        <f>IF(Switch_Pricing_Variable = "CAP Rate", Cap_Increment, Price_Increments)</f>
        <v>#NAME?</v>
      </c>
      <c r="M5" s="693" t="s">
        <v>127</v>
      </c>
      <c r="N5" s="693" t="s">
        <v>5</v>
      </c>
      <c r="O5" s="693" t="s">
        <v>5</v>
      </c>
      <c r="P5" s="693" t="s">
        <v>152</v>
      </c>
      <c r="Q5" s="693" t="s">
        <v>154</v>
      </c>
      <c r="R5" s="693" t="s">
        <v>154</v>
      </c>
      <c r="S5" s="693" t="s">
        <v>155</v>
      </c>
      <c r="T5" s="693" t="s">
        <v>156</v>
      </c>
      <c r="U5" s="693" t="s">
        <v>157</v>
      </c>
      <c r="X5" t="s">
        <v>283</v>
      </c>
      <c r="Y5" t="s">
        <v>265</v>
      </c>
    </row>
    <row r="6" spans="1:25" ht="15" customHeight="1" x14ac:dyDescent="0.25">
      <c r="A6" s="40" t="s">
        <v>284</v>
      </c>
      <c r="B6" s="41">
        <f>SED_Amort*12</f>
        <v>0</v>
      </c>
      <c r="C6" s="42">
        <f>NEW_Amort*12</f>
        <v>0</v>
      </c>
      <c r="D6">
        <f>Mezz_Amort*12</f>
        <v>0</v>
      </c>
      <c r="E6">
        <f>Refi_Amort*12</f>
        <v>0</v>
      </c>
      <c r="H6" t="s">
        <v>12</v>
      </c>
      <c r="I6" s="46" t="e" cm="1">
        <f t="array" ref="I6">_xlfn.IFS(AF_Type = "All Cash", 0, AF_Type = "Financed - New Loan", AF_Loan_Payment * 12, "Financed - Assumed Loan", SED_Loan_Payment * 12)</f>
        <v>#NAME?</v>
      </c>
      <c r="J6" s="45" cm="1">
        <f t="array" ref="J6">debt_service</f>
        <v>0</v>
      </c>
      <c r="X6" t="s">
        <v>285</v>
      </c>
      <c r="Y6" t="s">
        <v>286</v>
      </c>
    </row>
    <row r="7" spans="1:25" ht="15" customHeight="1" x14ac:dyDescent="0.25">
      <c r="A7" s="40" t="s">
        <v>287</v>
      </c>
      <c r="B7" s="41">
        <f>SED_Amort_Periods</f>
        <v>0</v>
      </c>
      <c r="C7" s="42">
        <f>NEW_Amort_Periods</f>
        <v>0</v>
      </c>
      <c r="D7">
        <f>Mezz_Amort_Periods</f>
        <v>0</v>
      </c>
      <c r="E7">
        <f>Refi_Amort_Periods</f>
        <v>0</v>
      </c>
      <c r="H7" t="s">
        <v>123</v>
      </c>
      <c r="X7" t="s">
        <v>288</v>
      </c>
      <c r="Y7" t="s">
        <v>289</v>
      </c>
    </row>
    <row r="8" spans="1:25" ht="15" customHeight="1" x14ac:dyDescent="0.25">
      <c r="A8" s="40" t="s">
        <v>290</v>
      </c>
      <c r="B8" s="41" t="e" cm="1">
        <f t="array" ref="B8">SED_Rate_Period_Switch-(SED_Interest_Only/12 )*SED_Rate_Compounding_Switch</f>
        <v>#N/A</v>
      </c>
      <c r="C8" s="42">
        <f>NEW_Rate_Period_Switch-(NEW_Interest_Only/12 )*NEW_Rate_Compounding_Switch</f>
        <v>0</v>
      </c>
      <c r="D8" t="e">
        <f ca="1">Mezz_Rate_Period_Switch-(Mezz_Interest_Only/12 )*Mezz_Rate_Compounding_Switch</f>
        <v>#N/A</v>
      </c>
      <c r="E8" t="e">
        <f ca="1">IF(Refi_Rate_Period_Switch-(Refi_Interest_Only/12 )*Refi_Rate_Compounding_Switch &lt;0,0,Refi_Rate_Period_Switch-(Refi_Interest_Only/12 )*Refi_Rate_Compounding_Switch)</f>
        <v>#N/A</v>
      </c>
      <c r="H8" t="s">
        <v>4</v>
      </c>
      <c r="I8" t="str">
        <f ca="1">IFERROR(_xlfn.SINGLE(net_operating_income)/sale_price,"")</f>
        <v/>
      </c>
      <c r="J8" cm="1">
        <f t="array" aca="1" ref="J8" ca="1">cap_rate</f>
        <v>0</v>
      </c>
    </row>
    <row r="9" spans="1:25" ht="15" customHeight="1" x14ac:dyDescent="0.3">
      <c r="A9" s="40" t="s">
        <v>291</v>
      </c>
      <c r="B9" s="77">
        <f>SED_Orig_Loan_Amount</f>
        <v>0</v>
      </c>
      <c r="C9" s="67">
        <f>NEW_LTV * sale_price</f>
        <v>0</v>
      </c>
      <c r="D9" s="78">
        <f>Mezz_LTV*sale_price</f>
        <v>0</v>
      </c>
      <c r="E9" s="78" t="str">
        <f>IFERROR(VLOOKUP(DATE(YEAR(Refi_Origination_Date),MONTH(Refi_Origination_Date),1)-1,'Loan Amort Table'!C6:H500,6)+VLOOKUP(DATE(YEAR(Refi_Origination_Date),MONTH(Refi_Origination_Date),1)-1,'Loan Amort Table'!U6:Z500,6),"")</f>
        <v/>
      </c>
      <c r="F9" s="78"/>
      <c r="H9" t="s">
        <v>16</v>
      </c>
      <c r="I9" s="47" t="e">
        <f>IF(AF_Type = "Financed - New Loan", IF(AF_Down_Payment_Switch = "Down Payment (%)", AF_Down_Payment * sale_price, AF_Down_Payment),0)</f>
        <v>#NAME?</v>
      </c>
      <c r="J9" cm="1">
        <f t="array" aca="1" ref="J9" ca="1">down_payment</f>
        <v>0</v>
      </c>
      <c r="M9" s="1"/>
      <c r="N9" s="2"/>
      <c r="O9" s="7" t="s">
        <v>145</v>
      </c>
      <c r="P9" s="3"/>
      <c r="Q9" s="3"/>
      <c r="R9" s="3"/>
      <c r="S9" s="3"/>
      <c r="T9" s="3"/>
    </row>
    <row r="10" spans="1:25" ht="15" customHeight="1" x14ac:dyDescent="0.3">
      <c r="A10" s="40" t="s">
        <v>292</v>
      </c>
      <c r="B10" s="77">
        <f>IFERROR(CUMPRINC(SED_I_Adj,SED_Amort_P_Adj, SED_Orig_Loan_Amount,1, SED_Int_Only_Period,0),0)</f>
        <v>0</v>
      </c>
      <c r="C10" s="67">
        <f>IFERROR(CUMPRINC(NEW_I_Adj,NEW_Amort_P_Adj, NEW_Orig_Loan_Amount,1, NEW_Int_Only_Period,0),0)</f>
        <v>0</v>
      </c>
      <c r="D10" s="78" cm="1">
        <f t="array" aca="1" ref="D10" ca="1">IFERROR(CUMPRINC(Mezz_I_Adj,Mezz_Amort_P_Adj, Mezz_Orig_Loan_Amount,1, Mezz_Int_Only_Period,0),0)</f>
        <v>0</v>
      </c>
      <c r="E10" s="78">
        <f ca="1">IFERROR(CUMPRINC(Refi_I_Adj,Refi_Amort_P_Adj, Refi_Orig_Loan_Amount,1, Refi_Int_Only_Period,0),0)</f>
        <v>0</v>
      </c>
      <c r="F10" s="78"/>
      <c r="H10" t="s">
        <v>60</v>
      </c>
      <c r="I10">
        <f>_xlfn.SINGLE(exp_reimbursement)</f>
        <v>0</v>
      </c>
      <c r="J10">
        <f>_xlfn.SINGLE(exp_reimbursement)</f>
        <v>0</v>
      </c>
      <c r="M10" s="7"/>
      <c r="N10" s="2" t="s">
        <v>147</v>
      </c>
      <c r="O10" s="7" t="s">
        <v>148</v>
      </c>
      <c r="P10" s="3" t="s">
        <v>149</v>
      </c>
      <c r="Q10" s="3" t="s">
        <v>150</v>
      </c>
      <c r="R10" s="3" t="s">
        <v>127</v>
      </c>
      <c r="S10" s="3" t="s">
        <v>127</v>
      </c>
      <c r="T10" s="3" t="s">
        <v>147</v>
      </c>
    </row>
    <row r="11" spans="1:25" ht="15" customHeight="1" x14ac:dyDescent="0.3">
      <c r="A11" s="40" t="s">
        <v>293</v>
      </c>
      <c r="B11" s="77">
        <f>SED_Orig_Loan_Amount + SED_CUMPRINC</f>
        <v>0</v>
      </c>
      <c r="C11" s="67">
        <f>NEW_Orig_Loan_Amount + NEW_CUMPRINC</f>
        <v>0</v>
      </c>
      <c r="D11" s="78">
        <f ca="1">SUM(D9:D10)</f>
        <v>0</v>
      </c>
      <c r="E11" s="78">
        <f ca="1">SUM(E9:E10)</f>
        <v>0</v>
      </c>
      <c r="F11" s="78">
        <f>IF(Acq_Financing_Type_Switch="Financed - Assumed Loan",SED_Loan_Balance,NEW_Loan_Balance)</f>
        <v>0</v>
      </c>
      <c r="H11" t="s">
        <v>42</v>
      </c>
      <c r="I11" t="e">
        <f>Annual_Rent</f>
        <v>#NAME?</v>
      </c>
      <c r="J11" cm="1">
        <f t="array" aca="1" ref="J11" ca="1">gross_scheduled_income</f>
        <v>0</v>
      </c>
      <c r="M11" s="7" t="s">
        <v>127</v>
      </c>
      <c r="N11" s="2" t="s">
        <v>5</v>
      </c>
      <c r="O11" s="7" t="s">
        <v>152</v>
      </c>
      <c r="P11" s="3" t="s">
        <v>153</v>
      </c>
      <c r="Q11" s="3" t="s">
        <v>154</v>
      </c>
      <c r="R11" s="3" t="s">
        <v>155</v>
      </c>
      <c r="S11" s="3" t="s">
        <v>156</v>
      </c>
      <c r="T11" s="3" t="s">
        <v>157</v>
      </c>
    </row>
    <row r="12" spans="1:25" ht="15" customHeight="1" x14ac:dyDescent="0.3">
      <c r="A12" s="40" t="s">
        <v>294</v>
      </c>
      <c r="B12" s="77" t="e" cm="1">
        <f t="array" ref="B12">IF(SED_Int_Only_Period&lt;0, SED_IPMT,SED_PMT)</f>
        <v>#N/A</v>
      </c>
      <c r="C12" s="67">
        <f>IFERROR(IF(NEW_Int_Only_Period&lt;0, NEW_IPMT,NEW_PMT),0)</f>
        <v>0</v>
      </c>
      <c r="D12" s="78" t="e" cm="1">
        <f t="array" aca="1" ref="D12" ca="1">IF(Mezz_Int_Only_Period&lt;0, Mezz_IPMT,Mezz_PMT)</f>
        <v>#N/A</v>
      </c>
      <c r="E12" s="78" t="e">
        <f ca="1">IF(Refi_Int_Only_Period&lt;0, Refi_IPMT,Refi_PMT)</f>
        <v>#N/A</v>
      </c>
      <c r="F12" s="78"/>
      <c r="H12" t="s">
        <v>95</v>
      </c>
      <c r="I12">
        <f>_xlfn.SINGLE(guarantor)</f>
        <v>0</v>
      </c>
      <c r="J12">
        <f>_xlfn.SINGLE(guarantor)</f>
        <v>0</v>
      </c>
      <c r="M12" s="760" cm="1">
        <f t="array" ref="M12">Price</f>
        <v>0</v>
      </c>
      <c r="N12" s="761">
        <f ca="1">'Pricing Detail'!$H$13</f>
        <v>0</v>
      </c>
      <c r="O12" s="762">
        <f ca="1">'Pricing Detail'!$G$15</f>
        <v>0</v>
      </c>
      <c r="P12" s="758">
        <f ca="1">'Cash Flow'!$P$45</f>
        <v>0</v>
      </c>
      <c r="Q12" s="758">
        <f ca="1">'Cash Flow'!$P$46</f>
        <v>0</v>
      </c>
      <c r="R12" s="3">
        <f ca="1">'Pricing Detail'!$G$8</f>
        <v>0</v>
      </c>
      <c r="S12" s="3">
        <f ca="1">'Pricing Detail'!$G$7</f>
        <v>0</v>
      </c>
      <c r="T12" s="759">
        <f>'Pricing Detail'!C2</f>
        <v>0</v>
      </c>
    </row>
    <row r="13" spans="1:25" ht="15" customHeight="1" x14ac:dyDescent="0.3">
      <c r="A13" s="40" t="s">
        <v>295</v>
      </c>
      <c r="B13" s="68" t="e" cm="1">
        <f t="array" ref="B13">EDATE(SED_Origination_Date, SED_Term*12-1)</f>
        <v>#NUM!</v>
      </c>
      <c r="C13" s="69" t="e" cm="1">
        <f t="array" ref="C13">EDATE(NEW_Origination_Date, NEW_Term*12-1)</f>
        <v>#NUM!</v>
      </c>
      <c r="D13" s="49" t="e">
        <f>IF(Acq_Financing_Type_Switch=  "Financed - Assumed Loan", SED_Loan_Due_Date,NEW_Loan_Due_Date)</f>
        <v>#NUM!</v>
      </c>
      <c r="E13" s="49" t="str">
        <f>IFERROR(DATE(YEAR(Refi_Origination_Date)+Refi_Term, MONTH(Refi_Origination_Date)-1, DAY(Refi_Origination_Date)),"")</f>
        <v/>
      </c>
      <c r="F13" s="49"/>
      <c r="H13" t="s">
        <v>99</v>
      </c>
      <c r="I13" s="48" t="str">
        <f>_xlfn.SINGLE(IF(_xlfn.SINGLE(sale_leaseback)= TRUE, AF_Orig_Term,""))</f>
        <v/>
      </c>
      <c r="J13" cm="1">
        <f t="array" ref="J13">lease_term</f>
        <v>0</v>
      </c>
      <c r="M13" s="760">
        <f>M14+Price_Increments</f>
        <v>0</v>
      </c>
      <c r="N13" s="761"/>
      <c r="O13" s="7"/>
      <c r="P13" s="3"/>
      <c r="Q13" s="3"/>
      <c r="R13" s="3"/>
      <c r="S13" s="3"/>
      <c r="T13" s="3"/>
    </row>
    <row r="14" spans="1:25" ht="15" customHeight="1" x14ac:dyDescent="0.3">
      <c r="A14" s="40" t="s">
        <v>173</v>
      </c>
      <c r="B14" s="77">
        <f>'Debt Input'!F29</f>
        <v>0</v>
      </c>
      <c r="C14" s="67">
        <f>IFERROR(PMT(NEW_I_Adj,NEW_Amort_Periods,NEW_Orig_Loan_Amount),0)</f>
        <v>0</v>
      </c>
      <c r="D14" s="78">
        <f>'Debt Input'!J29</f>
        <v>0</v>
      </c>
      <c r="E14" s="78">
        <f>'Debt Input'!L29</f>
        <v>0</v>
      </c>
      <c r="F14" s="78">
        <f>IF(Acq_Financing_Type_Switch="Financed - Assumed Loan",SED_PMT,NEW_PMT)</f>
        <v>0</v>
      </c>
      <c r="H14" t="s">
        <v>97</v>
      </c>
      <c r="I14" s="50" t="e">
        <f>_xlfn.SINGLE(IF(_xlfn.SINGLE(sale_leaseback)=FALSE, Lease_Commencement,""))</f>
        <v>#NAME?</v>
      </c>
      <c r="J14" s="49" cm="1">
        <f t="array" ref="J14">lease_end</f>
        <v>0</v>
      </c>
      <c r="M14" s="760">
        <f>M15+Price_Increments</f>
        <v>0</v>
      </c>
      <c r="N14" s="761"/>
      <c r="O14" s="7"/>
      <c r="P14" s="3"/>
      <c r="Q14" s="3"/>
      <c r="R14" s="3"/>
      <c r="S14" s="3"/>
      <c r="T14" s="3"/>
    </row>
    <row r="15" spans="1:25" ht="15" customHeight="1" x14ac:dyDescent="0.3">
      <c r="A15" s="40" t="s">
        <v>296</v>
      </c>
      <c r="B15" s="77" t="e">
        <f>IPMT(SED_I_Adj,1,SED_Amort_P_Adj, SED_Orig_Loan_Amount,0)</f>
        <v>#N/A</v>
      </c>
      <c r="C15" s="67">
        <f>IFERROR(IPMT(NEW_I_Adj,1,NEW_Amort_Periods, NEW_Orig_Loan_Amount,0),0)</f>
        <v>0</v>
      </c>
      <c r="D15" s="78" t="e">
        <f ca="1">IPMT(Mezz_I_Adj,1,Mezz_Amort_P_Adj, Mezz_Orig_Loan_Amount,0)</f>
        <v>#N/A</v>
      </c>
      <c r="E15" s="78" t="e">
        <f ca="1">IPMT(Refi_I_Adj,1,Refi_Amort_P_Adj, Refi_Orig_Loan_Amount,0)</f>
        <v>#N/A</v>
      </c>
      <c r="F15" s="78"/>
      <c r="H15" t="s">
        <v>100</v>
      </c>
      <c r="I15">
        <f>_xlfn.SINGLE(lease_type)</f>
        <v>0</v>
      </c>
      <c r="M15" s="760">
        <f>M16+Price_Increments</f>
        <v>0</v>
      </c>
      <c r="N15" s="761"/>
      <c r="O15" s="7"/>
      <c r="P15" s="3"/>
      <c r="Q15" s="3"/>
      <c r="R15" s="3"/>
      <c r="S15" s="3"/>
      <c r="T15" s="3"/>
    </row>
    <row r="16" spans="1:25" ht="15" customHeight="1" x14ac:dyDescent="0.3">
      <c r="A16" s="37" t="s">
        <v>297</v>
      </c>
      <c r="B16" s="79" t="e">
        <f>PPMT(SED_I_Adj,1, SED_Amort_P_Adj, SED_Orig_Loan_Amount,0)</f>
        <v>#N/A</v>
      </c>
      <c r="C16" s="80">
        <f>IFERROR(PPMT(NEW_I_Adj,1, NEW_Amort_P_Adj, NEW_Orig_Loan_Amount,0),0)</f>
        <v>0</v>
      </c>
      <c r="D16" s="78" t="e">
        <f ca="1">PPMT(Mezz_I_Adj,1, Mezz_Amort_P_Adj, Mezz_Orig_Loan_Amount,0)</f>
        <v>#N/A</v>
      </c>
      <c r="E16" s="78" t="e">
        <f ca="1">PPMT(Refi_I_Adj,1, Refi_Amort_P_Adj, Refi_Orig_Loan_Amount,0)</f>
        <v>#N/A</v>
      </c>
      <c r="F16" s="78"/>
      <c r="H16" t="s">
        <v>40</v>
      </c>
      <c r="I16" t="e">
        <f>AF_Type</f>
        <v>#NAME?</v>
      </c>
      <c r="J16" t="str" cm="1">
        <f t="array" ref="J16">loan_type</f>
        <v>New Loan</v>
      </c>
      <c r="M16" s="760">
        <f>M17+Price_Increments</f>
        <v>0</v>
      </c>
      <c r="N16" s="761"/>
      <c r="O16" s="7"/>
      <c r="P16" s="3"/>
      <c r="Q16" s="3"/>
      <c r="R16" s="3"/>
      <c r="S16" s="3"/>
      <c r="T16" s="3"/>
    </row>
    <row r="17" spans="1:20" ht="15" customHeight="1" x14ac:dyDescent="0.3">
      <c r="A17" s="40" t="s">
        <v>221</v>
      </c>
      <c r="B17" s="70" t="e">
        <f>-SED_Loan_Payment/SED_Orig_Loan_Amount*12</f>
        <v>#N/A</v>
      </c>
      <c r="C17" s="42">
        <f>IFERROR(-NEW_Loan_Payment/NEW_Orig_Loan_Amount*12,0)</f>
        <v>0</v>
      </c>
      <c r="D17" t="e">
        <f ca="1">-Mezz_Loan_Payment/Mezz_Orig_Loan_Amount*12</f>
        <v>#N/A</v>
      </c>
      <c r="E17" t="e">
        <f ca="1">-Refi_Loan_Payment/Refi_Orig_Loan_Amount*12</f>
        <v>#N/A</v>
      </c>
      <c r="H17" t="s">
        <v>18</v>
      </c>
      <c r="I17">
        <f ca="1">_xlfn.SINGLE(net_operating_income)</f>
        <v>0</v>
      </c>
      <c r="M17" s="760">
        <f>M18+Price_Increments</f>
        <v>0</v>
      </c>
      <c r="N17" s="761"/>
      <c r="O17" s="7"/>
      <c r="P17" s="3"/>
      <c r="Q17" s="3"/>
      <c r="R17" s="3"/>
      <c r="S17" s="3"/>
      <c r="T17" s="3"/>
    </row>
    <row r="18" spans="1:20" ht="15" customHeight="1" x14ac:dyDescent="0.3">
      <c r="A18" s="71" t="s">
        <v>298</v>
      </c>
      <c r="B18" s="72" t="e">
        <f>FV(SED_I_Adj, SED_Term*12, SED_PMT, SED_Orig_Loan_Amount)</f>
        <v>#N/A</v>
      </c>
      <c r="C18" s="79" t="e">
        <f>FV(NEW_I_Adj, NEW_Term*12, NEW_PMT, NEW_Orig_Loan_Amount)</f>
        <v>#DIV/0!</v>
      </c>
      <c r="D18" s="78" t="e">
        <f ca="1">FV(Mezz_I_Adj, Mezz_Term*12, Mezz_PMT, Mezz_Orig_Loan_Amount)</f>
        <v>#N/A</v>
      </c>
      <c r="E18" s="78" t="e">
        <f ca="1">FV(Refi_I_Adj, Refi_Term*12, Refi_PMT, Refi_Orig_Loan_Amount)</f>
        <v>#N/A</v>
      </c>
      <c r="F18" s="78"/>
      <c r="H18" t="s">
        <v>22</v>
      </c>
      <c r="I18">
        <f ca="1">_xlfn.SINGLE(operating_expenses)</f>
        <v>0</v>
      </c>
      <c r="M18" s="760" cm="1">
        <f t="array" ref="M18">Price</f>
        <v>0</v>
      </c>
      <c r="N18" s="761"/>
      <c r="O18" s="7"/>
      <c r="P18" s="3"/>
      <c r="Q18" s="3"/>
      <c r="R18" s="3"/>
      <c r="S18" s="3"/>
      <c r="T18" s="3"/>
    </row>
    <row r="19" spans="1:20" ht="15" customHeight="1" x14ac:dyDescent="0.3">
      <c r="A19" s="73" t="s">
        <v>299</v>
      </c>
      <c r="B19" s="74" t="e">
        <f>ROUNDUP(YEARFRAC(SED_Origination_Date, SED_Loan_Due_Date)*12,0)+1</f>
        <v>#NUM!</v>
      </c>
      <c r="C19" s="38" t="e">
        <f>ROUNDUP(YEARFRAC(NEW_Origination_Date, NEW_Loan_Due_Date)*12,0)+1</f>
        <v>#NUM!</v>
      </c>
      <c r="D19" t="e">
        <f>ROUNDUP(YEARFRAC(Mezz_Origination_Date, Mezz_Loan_Due_Date)*12,0)+1</f>
        <v>#NUM!</v>
      </c>
      <c r="E19" t="e">
        <f>ROUNDUP(YEARFRAC(Refi_Origination_Date, Refi_Loan_Due_Date)*12,0)+1</f>
        <v>#VALUE!</v>
      </c>
      <c r="H19" t="s">
        <v>26</v>
      </c>
      <c r="I19" cm="1">
        <f t="array" ref="I19">principal_reduction_yr_1</f>
        <v>0</v>
      </c>
      <c r="M19" s="760">
        <f>M18-Price_Increments</f>
        <v>0</v>
      </c>
      <c r="N19" s="761"/>
      <c r="O19" s="7"/>
      <c r="P19" s="3"/>
      <c r="Q19" s="3"/>
      <c r="R19" s="3"/>
      <c r="S19" s="3"/>
      <c r="T19" s="3"/>
    </row>
    <row r="20" spans="1:20" ht="15" customHeight="1" x14ac:dyDescent="0.3">
      <c r="A20" s="38" t="s">
        <v>300</v>
      </c>
      <c r="B20" s="79"/>
      <c r="C20" s="75"/>
      <c r="D20" s="78"/>
      <c r="E20" s="78"/>
      <c r="F20" s="78"/>
      <c r="H20" t="s">
        <v>102</v>
      </c>
      <c r="I20" t="b">
        <v>0</v>
      </c>
      <c r="M20" s="760">
        <f>M19-Price_Increments</f>
        <v>0</v>
      </c>
      <c r="N20" s="761"/>
      <c r="O20" s="7"/>
      <c r="P20" s="3"/>
      <c r="Q20" s="3"/>
      <c r="R20" s="3"/>
      <c r="S20" s="3"/>
      <c r="T20" s="3"/>
    </row>
    <row r="21" spans="1:20" ht="15" customHeight="1" x14ac:dyDescent="0.3">
      <c r="A21" s="38" t="s">
        <v>301</v>
      </c>
      <c r="B21" s="38">
        <f>IFERROR(ROUNDUP(YEARFRAC(SED_Origination_Date, Refi_Origination_Date)*12-SED_Interest_Only,0),"")</f>
        <v>0</v>
      </c>
      <c r="C21" s="38"/>
      <c r="D21">
        <f>IFERROR(ROUNDUP(YEARFRAC(Mezz_Origination_Date, Refi_Origination_Date)*12-Mezz_Interest_Only,0),"")</f>
        <v>0</v>
      </c>
      <c r="E21">
        <f>IFERROR(ROUNDUP(YEARFRAC(Refi_Origination_Date, Refi_Origination_Date)*12-Refi_Interest_Only,0),"")</f>
        <v>0</v>
      </c>
      <c r="H21" t="s">
        <v>30</v>
      </c>
      <c r="I21">
        <f>sale_price</f>
        <v>0</v>
      </c>
      <c r="M21" s="760">
        <f>M20-Price_Increments</f>
        <v>0</v>
      </c>
      <c r="N21" s="761"/>
      <c r="O21" s="7"/>
      <c r="P21" s="3"/>
      <c r="Q21" s="3"/>
      <c r="R21" s="3"/>
      <c r="S21" s="3"/>
      <c r="T21" s="3"/>
    </row>
    <row r="22" spans="1:20" ht="15" customHeight="1" x14ac:dyDescent="0.3">
      <c r="A22" s="38" t="s">
        <v>302</v>
      </c>
      <c r="B22" s="75" t="e">
        <f>FV(SED_I_Adj,SED_Refi_Term,SED_PMT,SED_Orig_Loan_Amount)</f>
        <v>#N/A</v>
      </c>
      <c r="C22" s="75"/>
      <c r="D22" s="78" t="e" cm="1">
        <f t="array" aca="1" ref="D22" ca="1">FV(Mezz_I_Adj,Mezz_Refi_Term,Mezz_PMT,Mezz_Orig_Loan_Amount)</f>
        <v>#N/A</v>
      </c>
      <c r="E22" s="78" t="e" cm="1">
        <f t="array" aca="1" ref="E22" ca="1">FV(Refi_I_Adj,Refi_Refi_Term,Refi_PMT,Refi_Orig_Loan_Amount)</f>
        <v>#N/A</v>
      </c>
      <c r="F22" s="78"/>
      <c r="H22" t="s">
        <v>104</v>
      </c>
      <c r="I22">
        <f>_xlfn.SINGLE(tenant)</f>
        <v>0</v>
      </c>
      <c r="M22" s="760">
        <f>M21-Price_Increments</f>
        <v>0</v>
      </c>
      <c r="N22" s="761"/>
      <c r="O22" s="7"/>
      <c r="P22" s="3"/>
      <c r="Q22" s="3"/>
      <c r="R22" s="3"/>
      <c r="S22" s="3"/>
      <c r="T22" s="3"/>
    </row>
    <row r="23" spans="1:20" ht="15.75" x14ac:dyDescent="0.3">
      <c r="A23" s="38" t="s">
        <v>303</v>
      </c>
      <c r="B23" s="78" t="str" cm="1">
        <f t="array" ref="B23">IFERROR(
IF(SED_Interest_Only&gt;=12,0,
IF(SED_Interest_Only =0,-
CUMPRINC(
SED_I_Adj,SED_Amort_Periods,SED_Orig_Loan_Amount,1,12,0),IF(AND(SED_Interest_Only &gt; 0, SED_Interest_Only &lt; 12),-CUMPRINC(
SED_I_Adj,SED_Amort_Periods,SED_Orig_Loan_Amount,SED_Int_Only_Period,12,0),""))
),"")</f>
        <v/>
      </c>
      <c r="C23" s="78"/>
      <c r="D23" s="78"/>
      <c r="E23" s="78"/>
      <c r="F23" s="78"/>
      <c r="H23" t="s">
        <v>304</v>
      </c>
      <c r="M23" s="760">
        <f>M22-Price_Increments</f>
        <v>0</v>
      </c>
      <c r="N23" s="761"/>
      <c r="O23" s="7"/>
      <c r="P23" s="3"/>
      <c r="Q23" s="3"/>
      <c r="R23" s="3"/>
      <c r="S23" s="3"/>
      <c r="T23" s="3"/>
    </row>
    <row r="24" spans="1:20" x14ac:dyDescent="0.25">
      <c r="A24" s="38" t="s">
        <v>305</v>
      </c>
      <c r="B24">
        <f>SED_Term</f>
        <v>0</v>
      </c>
      <c r="C24">
        <f>NEW_Term</f>
        <v>0</v>
      </c>
      <c r="D24" t="e">
        <f>ROUND(((YEAR(Mezz_Loan_Due_Date)-YEAR(Mezz_Origination_Date))*12+MONTH(Mezz_Loan_Due_Date)-MONTH(Mezz_Origination_Date)+1)/12,0)</f>
        <v>#NUM!</v>
      </c>
      <c r="E24">
        <f>Refi_Term</f>
        <v>0</v>
      </c>
      <c r="H24" t="s">
        <v>241</v>
      </c>
      <c r="I24">
        <f ca="1">_xlfn.XLOOKUP(Label_Total, 'Rent Roll Calculations'!A3:A31,'Rent Roll Calculations'!B3:B31)</f>
        <v>0</v>
      </c>
    </row>
    <row r="25" spans="1:20" x14ac:dyDescent="0.25">
      <c r="A25" s="38" t="s">
        <v>306</v>
      </c>
      <c r="B25" s="49">
        <f>EDATE(SED_Origination_Date,SED_Interest_Only)</f>
        <v>0</v>
      </c>
      <c r="C25" s="49">
        <f>EDATE(NEW_Origination_Date,NEW_Interest_Only)</f>
        <v>0</v>
      </c>
      <c r="D25" s="49">
        <f>EDATE(Mezz_Origination_Date,Mezz_Interest_Only)</f>
        <v>0</v>
      </c>
      <c r="E25" s="49">
        <f>EDATE(Refi_Origination_Date,Refi_Interest_Only)</f>
        <v>0</v>
      </c>
      <c r="F25" s="49"/>
      <c r="H25" t="s">
        <v>307</v>
      </c>
      <c r="I25">
        <f ca="1">_xlfn.XLOOKUP(Label_Total, 'Rent Roll Calculations'!A3:A31,'Rent Roll Calculations'!C3:C31)</f>
        <v>0</v>
      </c>
    </row>
    <row r="26" spans="1:20" x14ac:dyDescent="0.25">
      <c r="A26" s="38" t="s">
        <v>308</v>
      </c>
      <c r="F26" s="45">
        <f>IF(Acq_Financing_Type_Switch = "Financed - Assumed Loan", SED_Origination_Fee*SED_Loan_Balance,NEW_Origination_Fee*NEW_Orig_Loan_Amount)</f>
        <v>0</v>
      </c>
      <c r="H26" t="s">
        <v>309</v>
      </c>
      <c r="I26">
        <f>DATEDIF(SED_Origination_Date,Refi_Origination_Date,"m")</f>
        <v>0</v>
      </c>
    </row>
    <row r="27" spans="1:20" x14ac:dyDescent="0.25">
      <c r="A27" s="38" t="s">
        <v>310</v>
      </c>
      <c r="B27" s="47" t="e">
        <f>SED_Loan_Balance * SED_I_Adj</f>
        <v>#N/A</v>
      </c>
      <c r="C27" s="47" t="e">
        <f>NEW_Loan_Balance * NEW_I_Adj</f>
        <v>#DIV/0!</v>
      </c>
      <c r="D27" s="47" t="e">
        <f ca="1">Mezz_Loan_Balance * SED_I_Adj</f>
        <v>#N/A</v>
      </c>
      <c r="E27" s="47" t="e">
        <f ca="1">Refi_Loan_Balance * SED_I_Adj</f>
        <v>#N/A</v>
      </c>
      <c r="M27" s="751"/>
      <c r="N27" s="751"/>
      <c r="O27" s="751"/>
      <c r="P27" s="751"/>
    </row>
    <row r="28" spans="1:20" x14ac:dyDescent="0.25">
      <c r="M28" s="751" t="str">
        <f>'Equity Returns Options'!C3</f>
        <v>REFINANCE</v>
      </c>
      <c r="N28" s="751" t="str">
        <f>'Equity Returns Options'!F3</f>
        <v>SELL &amp; EXCHANGE</v>
      </c>
      <c r="O28" s="751" t="str">
        <f>'Equity Returns Options'!I3</f>
        <v>HOLD</v>
      </c>
      <c r="P28" s="751"/>
    </row>
    <row r="29" spans="1:20" x14ac:dyDescent="0.25">
      <c r="M29" s="920" cm="1">
        <f t="array" ref="M29">IF(M28="Sell",NA(),INDEX(Equity_Returns_Input,15,MATCH(M28,Equity_Returns_Input_Headers,0)+1))</f>
        <v>0</v>
      </c>
      <c r="N29" s="920" cm="1">
        <f t="array" ref="N29">IF(N28="Sell",NA(),INDEX(Equity_Returns_Input,15,MATCH(N28,Equity_Returns_Input_Headers,0)+1))</f>
        <v>0</v>
      </c>
      <c r="O29" s="920" cm="1">
        <f t="array" aca="1" ref="O29" ca="1">IF(O28="Sell",NA(),INDEX(Equity_Returns_Input,15,MATCH(O28,Equity_Returns_Input_Headers,0)+1))</f>
        <v>0</v>
      </c>
      <c r="P29" s="920"/>
    </row>
    <row r="30" spans="1:20" x14ac:dyDescent="0.25">
      <c r="M30" s="751"/>
      <c r="N30" s="751"/>
      <c r="O30" s="751"/>
      <c r="P30" s="751"/>
    </row>
    <row r="31" spans="1:20" x14ac:dyDescent="0.25">
      <c r="M31" s="751" t="str">
        <f>M28</f>
        <v>REFINANCE</v>
      </c>
      <c r="N31" s="751" t="str">
        <f>N28</f>
        <v>SELL &amp; EXCHANGE</v>
      </c>
      <c r="O31" s="751" t="str">
        <f>O28</f>
        <v>HOLD</v>
      </c>
      <c r="P31" s="751"/>
    </row>
    <row r="32" spans="1:20" x14ac:dyDescent="0.25">
      <c r="M32" s="756" cm="1">
        <f t="array" aca="1" ref="M32" ca="1">IF(M28="Sell",NA(),INDEX(Equity_Returns_Input,16,MATCH(M28,Equity_Returns_Input_Headers,0)+1))</f>
        <v>0</v>
      </c>
      <c r="N32" s="756" t="str" cm="1">
        <f t="array" aca="1" ref="N32" ca="1">IF(N28="Sell",NA(),INDEX(Equity_Returns_Input,16,MATCH(N28,Equity_Returns_Input_Headers,0)+1))</f>
        <v/>
      </c>
      <c r="O32" s="756" t="str" cm="1">
        <f t="array" aca="1" ref="O32" ca="1">IF(O28="Sell",NA(),INDEX(Equity_Returns_Input,16,MATCH(O28,Equity_Returns_Input_Headers,0)+1))</f>
        <v/>
      </c>
      <c r="P32" s="751"/>
    </row>
    <row r="33" spans="13:16" x14ac:dyDescent="0.25">
      <c r="M33" s="751"/>
      <c r="N33" s="921"/>
      <c r="O33" s="751"/>
      <c r="P33" s="751"/>
    </row>
  </sheetData>
  <pageMargins left="0.7" right="0.7" top="0.75" bottom="0.75" header="0.3" footer="0.3"/>
  <pageSetup orientation="portrait" verticalDpi="1200" r:id="rId1"/>
  <customProperties>
    <customPr name="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F689-57AE-4929-B7B8-DE18683FD18F}">
  <sheetPr codeName="Sheet15">
    <tabColor rgb="FF4D4D4D"/>
  </sheetPr>
  <dimension ref="A1:C4"/>
  <sheetViews>
    <sheetView workbookViewId="0">
      <selection activeCell="B12" sqref="B12"/>
    </sheetView>
  </sheetViews>
  <sheetFormatPr defaultColWidth="8.85546875" defaultRowHeight="15" x14ac:dyDescent="0.25"/>
  <cols>
    <col min="1" max="1" width="26.7109375" customWidth="1"/>
    <col min="2" max="2" width="15.42578125" customWidth="1"/>
    <col min="3" max="3" width="22.28515625" customWidth="1"/>
    <col min="4" max="5" width="9.28515625" customWidth="1"/>
    <col min="6" max="6" width="11.42578125" bestFit="1" customWidth="1"/>
    <col min="7" max="7" width="26.42578125" bestFit="1" customWidth="1"/>
    <col min="8" max="8" width="27.28515625" bestFit="1" customWidth="1"/>
    <col min="9" max="9" width="23.42578125" bestFit="1" customWidth="1"/>
    <col min="10" max="10" width="28.42578125" bestFit="1" customWidth="1"/>
    <col min="11" max="11" width="24" bestFit="1" customWidth="1"/>
    <col min="12" max="12" width="25.42578125" bestFit="1" customWidth="1"/>
    <col min="13" max="13" width="21.85546875" bestFit="1" customWidth="1"/>
    <col min="14" max="14" width="26.7109375" bestFit="1" customWidth="1"/>
    <col min="15" max="15" width="22" bestFit="1" customWidth="1"/>
    <col min="16" max="16" width="23.42578125" bestFit="1" customWidth="1"/>
    <col min="17" max="17" width="19.7109375" bestFit="1" customWidth="1"/>
    <col min="18" max="18" width="24.42578125" bestFit="1" customWidth="1"/>
    <col min="19" max="19" width="10.140625" bestFit="1" customWidth="1"/>
    <col min="20" max="20" width="9.42578125" bestFit="1" customWidth="1"/>
  </cols>
  <sheetData>
    <row r="1" spans="1:3" x14ac:dyDescent="0.25">
      <c r="A1" t="s">
        <v>311</v>
      </c>
      <c r="B1" s="107" cm="1">
        <f t="array" aca="1" ref="B1" ca="1">IFERROR(SUMPRODUCT(_xlfn._xlws.FILTER(INDEX(Rent_Roll_Input_Total, 0,5),INDEX(Rent_Roll_Input_Total, 0,20) ='Rent Roll Input'!$U$4), _xlfn._xlws.FILTER(INDEX(Rent_Roll_Input_Total, 0,7),INDEX(Rent_Roll_Input_Total, 0,20) ='Rent Roll Input'!$U$4))*12,0)</f>
        <v>0</v>
      </c>
      <c r="C1" t="s">
        <v>312</v>
      </c>
    </row>
    <row r="2" spans="1:3" x14ac:dyDescent="0.25">
      <c r="A2" t="s">
        <v>313</v>
      </c>
      <c r="B2" s="107" cm="1">
        <f t="array" aca="1" ref="B2" ca="1">IFERROR(SUMPRODUCT(_xlfn._xlws.FILTER(INDEX(Rent_Roll_Input_Total, 0,5),INDEX(Rent_Roll_Input_Total, 0,20) ='Rent Roll Input'!$U$4), _xlfn._xlws.FILTER(INDEX(Rent_Roll_Input_Total, 0,10),INDEX(Rent_Roll_Input_Total, 0,20) ='Rent Roll Input'!$U$4))*12,0)</f>
        <v>0</v>
      </c>
      <c r="C2" t="s">
        <v>314</v>
      </c>
    </row>
    <row r="3" spans="1:3" x14ac:dyDescent="0.25">
      <c r="A3" t="s">
        <v>315</v>
      </c>
      <c r="B3" s="107" cm="1">
        <f t="array" aca="1" ref="B3" ca="1">IFERROR(SUMPRODUCT(_xlfn._xlws.FILTER(INDEX(Rent_Roll_Input_Total, 0,5),INDEX(Rent_Roll_Input_Total, 0,20) ='Rent Roll Input'!$U$4), _xlfn._xlws.FILTER(INDEX(Rent_Roll_Input_Total, 0,8),INDEX(Rent_Roll_Input_Total, 0,20) ='Rent Roll Input'!$U$4))*12,0)</f>
        <v>0</v>
      </c>
      <c r="C3" t="s">
        <v>316</v>
      </c>
    </row>
    <row r="4" spans="1:3" x14ac:dyDescent="0.25">
      <c r="A4" t="s">
        <v>317</v>
      </c>
      <c r="B4" s="107" cm="1">
        <f t="array" aca="1" ref="B4" ca="1">IFERROR(SUMPRODUCT(_xlfn._xlws.FILTER(INDEX(Rent_Roll_Input_Total, 0,5),INDEX(Rent_Roll_Input_Total, 0,20) ='Rent Roll Input'!$U$4), _xlfn._xlws.FILTER(INDEX(Rent_Roll_Input_Total, 0,9),INDEX(Rent_Roll_Input_Total, 0,20) ='Rent Roll Input'!$U$4))*12,0)</f>
        <v>0</v>
      </c>
      <c r="C4" t="s">
        <v>318</v>
      </c>
    </row>
  </sheetData>
  <pageMargins left="0.7" right="0.7" top="0.75" bottom="0.75" header="0.3" footer="0.3"/>
  <pageSetup orientation="portrait" r:id="rId1"/>
  <customProperties>
    <customPr name="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57C1-344B-4263-B4D2-E2FB78E0FF39}">
  <sheetPr codeName="Sheet4">
    <tabColor rgb="FF4D4D4D"/>
  </sheetPr>
  <dimension ref="A1:AH33"/>
  <sheetViews>
    <sheetView workbookViewId="0">
      <selection activeCell="C3" sqref="C3:D7"/>
    </sheetView>
  </sheetViews>
  <sheetFormatPr defaultColWidth="8.85546875" defaultRowHeight="15" x14ac:dyDescent="0.25"/>
  <cols>
    <col min="1" max="1" width="22.7109375" customWidth="1"/>
    <col min="2" max="2" width="10.42578125" style="103" bestFit="1" customWidth="1"/>
    <col min="3" max="3" width="15.85546875" style="103" customWidth="1"/>
    <col min="4" max="4" width="12.140625" style="103" customWidth="1"/>
    <col min="5" max="5" width="21.140625" style="103" customWidth="1"/>
    <col min="6" max="6" width="20.42578125" style="103" bestFit="1" customWidth="1"/>
    <col min="7" max="7" width="23.85546875" style="103" bestFit="1" customWidth="1"/>
    <col min="8" max="9" width="20" style="103" customWidth="1"/>
    <col min="10" max="10" width="21.140625" style="103" bestFit="1" customWidth="1"/>
    <col min="11" max="14" width="21.140625" style="103" customWidth="1"/>
    <col min="15" max="15" width="24.42578125" style="103" bestFit="1" customWidth="1"/>
    <col min="16" max="16" width="23.42578125" style="103" bestFit="1" customWidth="1"/>
    <col min="17" max="17" width="22.28515625" style="103" bestFit="1" customWidth="1"/>
    <col min="18" max="18" width="26.85546875" style="103" bestFit="1" customWidth="1"/>
    <col min="19" max="19" width="23.42578125" style="103" bestFit="1" customWidth="1"/>
    <col min="20" max="20" width="22.28515625" style="103" bestFit="1" customWidth="1"/>
    <col min="21" max="21" width="21" style="103" bestFit="1" customWidth="1"/>
    <col min="22" max="22" width="25.7109375" style="103" bestFit="1" customWidth="1"/>
    <col min="23" max="23" width="19.7109375" style="103" bestFit="1" customWidth="1"/>
    <col min="24" max="24" width="12.140625" style="103" bestFit="1" customWidth="1"/>
    <col min="25" max="25" width="11" style="103" bestFit="1" customWidth="1"/>
    <col min="26" max="26" width="21" style="103" customWidth="1"/>
    <col min="27" max="27" width="26" bestFit="1" customWidth="1"/>
    <col min="28" max="28" width="28.42578125" bestFit="1" customWidth="1"/>
    <col min="29" max="29" width="27.42578125" bestFit="1" customWidth="1"/>
    <col min="30" max="30" width="23.7109375" bestFit="1" customWidth="1"/>
    <col min="31" max="31" width="24.7109375" bestFit="1" customWidth="1"/>
    <col min="32" max="32" width="27.42578125" bestFit="1" customWidth="1"/>
    <col min="33" max="33" width="26.28515625" bestFit="1" customWidth="1"/>
    <col min="34" max="34" width="22.42578125" bestFit="1" customWidth="1"/>
  </cols>
  <sheetData>
    <row r="1" spans="1:34" x14ac:dyDescent="0.25">
      <c r="E1" s="103" t="s">
        <v>319</v>
      </c>
      <c r="F1" s="103" t="s">
        <v>319</v>
      </c>
      <c r="G1" s="103" t="s">
        <v>319</v>
      </c>
      <c r="H1" s="103" t="s">
        <v>265</v>
      </c>
      <c r="I1" s="103" t="s">
        <v>265</v>
      </c>
      <c r="J1" s="103" t="s">
        <v>265</v>
      </c>
      <c r="K1" s="103" t="s">
        <v>265</v>
      </c>
      <c r="L1" s="103" t="s">
        <v>265</v>
      </c>
      <c r="M1" s="103" t="s">
        <v>265</v>
      </c>
      <c r="N1" s="103" t="s">
        <v>265</v>
      </c>
      <c r="O1" s="103" t="s">
        <v>319</v>
      </c>
      <c r="P1" s="103" t="s">
        <v>319</v>
      </c>
      <c r="Q1" s="103" t="s">
        <v>319</v>
      </c>
      <c r="R1" s="103" t="s">
        <v>319</v>
      </c>
      <c r="S1" s="103" t="s">
        <v>320</v>
      </c>
      <c r="T1" s="103" t="s">
        <v>320</v>
      </c>
      <c r="U1" s="103" t="s">
        <v>320</v>
      </c>
      <c r="V1" s="103" t="s">
        <v>320</v>
      </c>
      <c r="W1" s="103" t="s">
        <v>321</v>
      </c>
      <c r="X1" s="103" t="s">
        <v>321</v>
      </c>
      <c r="Y1" s="103" t="s">
        <v>321</v>
      </c>
      <c r="Z1" s="103" t="s">
        <v>321</v>
      </c>
    </row>
    <row r="2" spans="1:34" x14ac:dyDescent="0.25">
      <c r="A2" s="288" t="s">
        <v>256</v>
      </c>
      <c r="B2" s="104" t="s">
        <v>144</v>
      </c>
      <c r="C2" s="104" t="s">
        <v>255</v>
      </c>
      <c r="D2" s="104" t="s">
        <v>322</v>
      </c>
      <c r="E2" s="104" t="s">
        <v>323</v>
      </c>
      <c r="F2" s="104" t="s">
        <v>324</v>
      </c>
      <c r="G2" s="104" t="s">
        <v>325</v>
      </c>
      <c r="H2" s="104" t="s">
        <v>326</v>
      </c>
      <c r="I2" s="104" t="s">
        <v>327</v>
      </c>
      <c r="J2" s="104" t="s">
        <v>328</v>
      </c>
      <c r="K2" s="104" t="s">
        <v>311</v>
      </c>
      <c r="L2" s="104" t="s">
        <v>329</v>
      </c>
      <c r="M2" s="104" t="s">
        <v>330</v>
      </c>
      <c r="N2" s="104" t="s">
        <v>331</v>
      </c>
      <c r="O2" s="104" t="s">
        <v>313</v>
      </c>
      <c r="P2" s="104" t="s">
        <v>332</v>
      </c>
      <c r="Q2" s="104" t="s">
        <v>333</v>
      </c>
      <c r="R2" s="104" t="s">
        <v>334</v>
      </c>
      <c r="S2" s="104" t="s">
        <v>315</v>
      </c>
      <c r="T2" s="104" t="s">
        <v>335</v>
      </c>
      <c r="U2" s="104" t="s">
        <v>336</v>
      </c>
      <c r="V2" s="104" t="s">
        <v>337</v>
      </c>
      <c r="W2" s="104" t="s">
        <v>338</v>
      </c>
      <c r="X2" s="104" t="s">
        <v>339</v>
      </c>
      <c r="Y2" s="104" t="s">
        <v>340</v>
      </c>
      <c r="Z2" s="104" t="s">
        <v>317</v>
      </c>
      <c r="AA2" s="104" t="s">
        <v>341</v>
      </c>
      <c r="AB2" s="104" t="s">
        <v>342</v>
      </c>
      <c r="AC2" s="104" t="s">
        <v>343</v>
      </c>
      <c r="AD2" s="104" t="s">
        <v>344</v>
      </c>
      <c r="AE2" s="104" t="s">
        <v>345</v>
      </c>
      <c r="AF2" s="104" t="s">
        <v>346</v>
      </c>
      <c r="AG2" s="104" t="s">
        <v>347</v>
      </c>
      <c r="AH2" s="104" t="s">
        <v>348</v>
      </c>
    </row>
    <row r="3" spans="1:34" x14ac:dyDescent="0.25">
      <c r="A3" s="288" t="str" cm="1">
        <f t="array" ref="A3">INDEX(_xlfn._xlws.SORT(_xlfn.UNIQUE(_xlfn._xlws.FILTER('Rent Roll Input'!U4:V214,('Rent Roll Input'!U4:U214&lt;&gt;"")*ROW('Rent Roll Input'!U4:U214)&gt;3)),2),0,1)</f>
        <v>Totals/Weighted Averages</v>
      </c>
      <c r="B3" s="104" cm="1">
        <f t="array" aca="1" ref="B3" ca="1">_xlfn.IFS(A3="","",1,SUMIFS('Rent Roll Input'!$F$4:$F$214,'Rent Roll Input'!$U$4:$U$214,$A3))</f>
        <v>0</v>
      </c>
      <c r="C3" s="104" cm="1">
        <f t="array" aca="1" ref="C3" ca="1">_xlfn.IFS(B3="","",A3 = Label_Total, 'Rent Roll Input'!$G$4,1,SUMIFS('Rent Roll Input'!$T$5:$T$214,'Rent Roll Input'!$U$5:$U$214,$A3))</f>
        <v>0</v>
      </c>
      <c r="D3" s="106" t="e">
        <f ca="1">IF(C3="", "", C3/B3)</f>
        <v>#DIV/0!</v>
      </c>
      <c r="E3" s="107" t="str" cm="1">
        <f t="array" aca="1" ref="E3" ca="1">_xlfn.IFS($A3 = "", "", $A3 = Label_Total, "", 1, MIN(_xlfn._xlws.FILTER(INDEX(Rent_Roll_Input_Total,0, 10),INDEX(Rent_Roll_Input_Total,0, 20)=$A3)))</f>
        <v/>
      </c>
      <c r="F3" s="107" t="str" cm="1">
        <f t="array" aca="1" ref="F3" ca="1">_xlfn.IFS($A3 = "", "", $A3 = Label_Total, "", 1, MAX(_xlfn._xlws.FILTER(INDEX(Rent_Roll_Input_Total,0, 10),INDEX(Rent_Roll_Input_Total,0, 20)=$A3)))</f>
        <v/>
      </c>
      <c r="G3" s="104" t="str" cm="1">
        <f t="array" aca="1" ref="G3" ca="1">_xlfn.IFS(A3="", "", A3 = Label_Total, "", 1, TEXT(E3, "$#,##0") &amp; " - " &amp; TEXT(F3, "$#,##0"))</f>
        <v/>
      </c>
      <c r="H3" s="107" t="str" cm="1">
        <f t="array" aca="1" ref="H3" ca="1">_xlfn.IFS($A3 = "", "", $A3 = Label_Total, "", 1, MIN(_xlfn._xlws.FILTER(INDEX(Rent_Roll_Input_Total,0, 7),INDEX(Rent_Roll_Input_Total,0, 20)=$A3)))</f>
        <v/>
      </c>
      <c r="I3" s="107" t="str" cm="1">
        <f t="array" aca="1" ref="I3" ca="1">_xlfn.IFS($A3 = "", "", $A3 = Label_Total, "", 1, MAX(_xlfn._xlws.FILTER(INDEX(Rent_Roll_Input_Total,0, 7),INDEX(Rent_Roll_Input_Total,0, 20)=$A3)))</f>
        <v/>
      </c>
      <c r="J3" s="104" t="str" cm="1">
        <f t="array" aca="1" ref="J3" ca="1">_xlfn.IFS($A3="", "", A3 = Label_Total, "", 1, TEXT(H3, "$#,##0") &amp; " - " &amp; TEXT(I3, "$#,##0"))</f>
        <v/>
      </c>
      <c r="K3" s="107" cm="1">
        <f t="array" aca="1" ref="K3" ca="1">IFERROR(_xlfn.IFS($A3="", "",1, SUMPRODUCT(_xlfn._xlws.FILTER(INDEX(Rent_Roll_Input_Total, 0,5),INDEX(Rent_Roll_Input_Total, 0,20) = $A3), _xlfn._xlws.FILTER(INDEX(Rent_Roll_Input_Total, 0,7),INDEX(Rent_Roll_Input_Total, 0,20) = $A3))),0)</f>
        <v>0</v>
      </c>
      <c r="L3" s="107" t="e">
        <f ca="1">IF($A3="", "",K3/$B3)</f>
        <v>#DIV/0!</v>
      </c>
      <c r="M3" s="107" t="e">
        <f ca="1">IF($A3 = "", "", L3*12)</f>
        <v>#DIV/0!</v>
      </c>
      <c r="N3" s="107">
        <f ca="1">IF($A3 = "", "",$K3*12)</f>
        <v>0</v>
      </c>
      <c r="O3" s="107" cm="1">
        <f t="array" aca="1" ref="O3" ca="1">IFERROR(_xlfn.IFS($A3="", "",1, SUMPRODUCT(_xlfn._xlws.FILTER(INDEX(Rent_Roll_Input_Total, 0,5),INDEX(Rent_Roll_Input_Total, 0,20) = $A3), _xlfn._xlws.FILTER(INDEX(Rent_Roll_Input_Total, 0,10),INDEX(Rent_Roll_Input_Total, 0,20) = $A3))),0)</f>
        <v>0</v>
      </c>
      <c r="P3" s="107" t="e">
        <f ca="1">IF($A3="", "",O3/$B3)</f>
        <v>#DIV/0!</v>
      </c>
      <c r="Q3" s="107" t="e">
        <f ca="1">IF($A3 = "", "", P3*12)</f>
        <v>#DIV/0!</v>
      </c>
      <c r="R3" s="107">
        <f ca="1">IF($A3 = "", "", O3*12)</f>
        <v>0</v>
      </c>
      <c r="S3" s="107" cm="1">
        <f t="array" aca="1" ref="S3" ca="1">IFERROR(_xlfn.IFS(A3="", "",1, SUMPRODUCT(_xlfn._xlws.FILTER(INDEX(Rent_Roll_Input_Total, 0,5),INDEX(Rent_Roll_Input_Total, 0,20) = A3), _xlfn._xlws.FILTER(INDEX(Rent_Roll_Input_Total, 0,8),INDEX(Rent_Roll_Input_Total, 0,20) = A3))),0)</f>
        <v>0</v>
      </c>
      <c r="T3" s="107" t="e">
        <f ca="1">IF($A3="", "",S3/$B3)</f>
        <v>#DIV/0!</v>
      </c>
      <c r="U3" s="107" t="e">
        <f ca="1">IF($A3 = "", "", T3*12)</f>
        <v>#DIV/0!</v>
      </c>
      <c r="V3" s="107">
        <f ca="1">IF($A3 = "", "", S3*12)</f>
        <v>0</v>
      </c>
      <c r="W3" s="107" cm="1">
        <f t="array" aca="1" ref="W3" ca="1">IFERROR(_xlfn.IFS($A3="", "",1, SUMPRODUCT(_xlfn._xlws.FILTER(INDEX(Rent_Roll_Input_Total, 0,5),INDEX(Rent_Roll_Input_Total, 0,20) = $A3), _xlfn._xlws.FILTER(INDEX(Rent_Roll_Input_Total, 0,9),INDEX(Rent_Roll_Input_Total, 0,20) = $A3))),0)</f>
        <v>0</v>
      </c>
      <c r="X3" s="107" t="e">
        <f ca="1">IF($A3="", "",W3/$B3)</f>
        <v>#DIV/0!</v>
      </c>
      <c r="Y3" s="107" t="e">
        <f ca="1">IF($A3 = "", "", X3*12)</f>
        <v>#DIV/0!</v>
      </c>
      <c r="Z3" s="107" t="e">
        <f ca="1">IF($A3 = "", "", $B3*X3)</f>
        <v>#DIV/0!</v>
      </c>
      <c r="AA3" s="287" t="e">
        <f ca="1">IF($C3="", "", K3/$C3)</f>
        <v>#DIV/0!</v>
      </c>
      <c r="AB3" s="287" t="e">
        <f ca="1">IF($C3="", "", O3/$C3)</f>
        <v>#DIV/0!</v>
      </c>
      <c r="AC3" s="287" t="e">
        <f ca="1">IF($C3="", "", S3/$C3)</f>
        <v>#DIV/0!</v>
      </c>
      <c r="AD3" s="287" t="e">
        <f ca="1">IF($C3="", "", W3/$C3)</f>
        <v>#DIV/0!</v>
      </c>
      <c r="AE3" s="287" t="e">
        <f ca="1">IF($C3="", "", AA3*12)</f>
        <v>#DIV/0!</v>
      </c>
      <c r="AF3" s="287" t="e">
        <f t="shared" ref="AF3:AH8" ca="1" si="0">IF($C3="", "", AB3*12)</f>
        <v>#DIV/0!</v>
      </c>
      <c r="AG3" s="287" t="e">
        <f t="shared" ca="1" si="0"/>
        <v>#DIV/0!</v>
      </c>
      <c r="AH3" s="287" t="e">
        <f t="shared" ca="1" si="0"/>
        <v>#DIV/0!</v>
      </c>
    </row>
    <row r="4" spans="1:34" x14ac:dyDescent="0.25">
      <c r="A4" s="288"/>
      <c r="B4" s="104" t="str" cm="1">
        <f t="array" ref="B4">_xlfn.IFS(A4="","",1,SUMIFS('Rent Roll Input'!$F$4:$F$214,'Rent Roll Input'!$U$4:$U$214,$A4))</f>
        <v/>
      </c>
      <c r="C4" s="104" t="str" cm="1">
        <f t="array" ref="C4">_xlfn.IFS(B4="","",A4 = Label_Total, 'Rent Roll Input'!$G$4,1,SUMIFS('Rent Roll Input'!$T$5:$T$214,'Rent Roll Input'!$U$5:$U$214,$A4))</f>
        <v/>
      </c>
      <c r="D4" s="106" t="str">
        <f t="shared" ref="D4:D8" si="1">IF(C4="", "", C4/B4)</f>
        <v/>
      </c>
      <c r="E4" s="107" t="str" cm="1">
        <f t="array" aca="1" ref="E4" ca="1">_xlfn.IFS($A4 = "", "", $A4 = Label_Total, "", 1, MIN(_xlfn._xlws.FILTER(INDEX(Rent_Roll_Input_Total,0, 10),INDEX(Rent_Roll_Input_Total,0, 20)=$A4)))</f>
        <v/>
      </c>
      <c r="F4" s="107" t="str" cm="1">
        <f t="array" aca="1" ref="F4" ca="1">_xlfn.IFS($A4 = "", "", $A4 = Label_Total, "", 1, MAX(_xlfn._xlws.FILTER(INDEX(Rent_Roll_Input_Total,0, 10),INDEX(Rent_Roll_Input_Total,0, 20)=$A4)))</f>
        <v/>
      </c>
      <c r="G4" s="104" t="str" cm="1">
        <f t="array" aca="1" ref="G4" ca="1">_xlfn.IFS(A4="", "", A4 = Label_Total, "", 1, TEXT(E4, "$#,##0") &amp; " - " &amp; TEXT(F4, "$#,##0"))</f>
        <v/>
      </c>
      <c r="H4" s="107" t="str" cm="1">
        <f t="array" aca="1" ref="H4" ca="1">_xlfn.IFS($A4 = "", "", $A4 = Label_Total, "", 1, MIN(_xlfn._xlws.FILTER(INDEX(Rent_Roll_Input_Total,0, 7),INDEX(Rent_Roll_Input_Total,0, 20)=$A4)))</f>
        <v/>
      </c>
      <c r="I4" s="107" t="str" cm="1">
        <f t="array" aca="1" ref="I4" ca="1">_xlfn.IFS($A4 = "", "", $A4 = Label_Total, "", 1, MAX(_xlfn._xlws.FILTER(INDEX(Rent_Roll_Input_Total,0, 7),INDEX(Rent_Roll_Input_Total,0, 20)=$A4)))</f>
        <v/>
      </c>
      <c r="J4" s="104" t="str" cm="1">
        <f t="array" aca="1" ref="J4" ca="1">_xlfn.IFS($A4="", "", A4 = Label_Total, "", 1, TEXT(H4, "$#,##0") &amp; " - " &amp; TEXT(I4, "$#,##0"))</f>
        <v/>
      </c>
      <c r="K4" s="107" t="str" cm="1">
        <f t="array" aca="1" ref="K4" ca="1">_xlfn.IFS($A4="", "",1, SUMPRODUCT(_xlfn._xlws.FILTER(INDEX(Rent_Roll_Input_Total, 0,5),INDEX(Rent_Roll_Input_Total, 0,20) = $A4), _xlfn._xlws.FILTER(INDEX(Rent_Roll_Input_Total, 0,7),INDEX(Rent_Roll_Input_Total, 0,20) = $A4)))</f>
        <v/>
      </c>
      <c r="L4" s="107" t="str">
        <f t="shared" ref="L4:L8" si="2">IF($A4="", "",K4/$B4)</f>
        <v/>
      </c>
      <c r="M4" s="107" t="str">
        <f t="shared" ref="M4:M8" si="3">IF($A4 = "", "", L4*12)</f>
        <v/>
      </c>
      <c r="N4" s="107" t="str">
        <f t="shared" ref="N4:N31" si="4">IF($A4 = "", "",$K4*12)</f>
        <v/>
      </c>
      <c r="O4" s="107" t="str" cm="1">
        <f t="array" aca="1" ref="O4" ca="1">_xlfn.IFS(A4="", "",1, SUMPRODUCT(_xlfn._xlws.FILTER(INDEX(Rent_Roll_Input_Total, 0,5),INDEX(Rent_Roll_Input_Total, 0,20) = A4), _xlfn._xlws.FILTER(INDEX(Rent_Roll_Input_Total, 0,10),INDEX(Rent_Roll_Input_Total, 0,20) = A4)))</f>
        <v/>
      </c>
      <c r="P4" s="107" t="str">
        <f t="shared" ref="P4:P7" si="5">IF($A4="", "",O4/$B4)</f>
        <v/>
      </c>
      <c r="Q4" s="107" t="str">
        <f t="shared" ref="Q4:Q7" si="6">IF($A4 = "", "", P4*12)</f>
        <v/>
      </c>
      <c r="R4" s="107" t="str">
        <f t="shared" ref="R4:R21" si="7">IF($A4 = "", "", O4*12)</f>
        <v/>
      </c>
      <c r="S4" s="107" t="str" cm="1">
        <f t="array" aca="1" ref="S4" ca="1">_xlfn.IFS(A4="", "",1, SUMPRODUCT(_xlfn._xlws.FILTER(INDEX(Rent_Roll_Input_Total, 0,5),INDEX(Rent_Roll_Input_Total, 0,20) = A4), _xlfn._xlws.FILTER(INDEX(Rent_Roll_Input_Total, 0,8),INDEX(Rent_Roll_Input_Total, 0,20) = A4)))</f>
        <v/>
      </c>
      <c r="T4" s="107" t="str">
        <f t="shared" ref="T4:T7" si="8">IF($A4="", "",S4/$B4)</f>
        <v/>
      </c>
      <c r="U4" s="107" t="str">
        <f t="shared" ref="U4:U7" si="9">IF($A4 = "", "", T4*12)</f>
        <v/>
      </c>
      <c r="V4" s="107" t="str">
        <f t="shared" ref="V4:V21" si="10">IF($A4 = "", "", S4*12)</f>
        <v/>
      </c>
      <c r="W4" s="107" t="str" cm="1">
        <f t="array" aca="1" ref="W4" ca="1">_xlfn.IFS($A4="", "",1, SUMPRODUCT(_xlfn._xlws.FILTER(INDEX(Rent_Roll_Input_Total, 0,5),INDEX(Rent_Roll_Input_Total, 0,20) = $A4), _xlfn._xlws.FILTER(INDEX(Rent_Roll_Input_Total, 0,9),INDEX(Rent_Roll_Input_Total, 0,20) = $A4)))</f>
        <v/>
      </c>
      <c r="X4" s="107" t="str">
        <f t="shared" ref="X4:X8" si="11">IF($A4="", "",W4/$B4)</f>
        <v/>
      </c>
      <c r="Y4" s="107" t="str">
        <f t="shared" ref="Y4:Y8" si="12">IF($A4 = "", "", X4*12)</f>
        <v/>
      </c>
      <c r="Z4" s="107" t="str">
        <f t="shared" ref="Z4:Z8" si="13">IF($A4 = "", "", $B4*X4)</f>
        <v/>
      </c>
      <c r="AA4" s="287" t="str">
        <f t="shared" ref="AA4:AA8" si="14">IF($C4="", "", K4/$C4)</f>
        <v/>
      </c>
      <c r="AB4" s="287" t="str">
        <f t="shared" ref="AB4:AB8" si="15">IF($C4="", "", O4/$C4)</f>
        <v/>
      </c>
      <c r="AC4" s="287" t="str">
        <f t="shared" ref="AC4:AC8" si="16">IF($C4="", "", S4/$C4)</f>
        <v/>
      </c>
      <c r="AD4" s="287" t="str">
        <f t="shared" ref="AD4:AD8" si="17">IF($C4="", "", W4/$C4)</f>
        <v/>
      </c>
      <c r="AE4" s="287" t="str">
        <f t="shared" ref="AE4:AE8" si="18">IF($C4="", "", AA4*12)</f>
        <v/>
      </c>
      <c r="AF4" s="287" t="str">
        <f t="shared" si="0"/>
        <v/>
      </c>
      <c r="AG4" s="287" t="str">
        <f t="shared" si="0"/>
        <v/>
      </c>
      <c r="AH4" s="287" t="str">
        <f t="shared" si="0"/>
        <v/>
      </c>
    </row>
    <row r="5" spans="1:34" x14ac:dyDescent="0.25">
      <c r="A5" s="288"/>
      <c r="B5" s="104" t="str" cm="1">
        <f t="array" ref="B5">_xlfn.IFS(A5="","",1,SUMIFS('Rent Roll Input'!$F$4:$F$214,'Rent Roll Input'!$U$4:$U$214,$A5))</f>
        <v/>
      </c>
      <c r="C5" s="104" t="str" cm="1">
        <f t="array" ref="C5">_xlfn.IFS(B5="","",A5 = Label_Total, 'Rent Roll Input'!$G$4,1,SUMIFS('Rent Roll Input'!$T$5:$T$214,'Rent Roll Input'!$U$5:$U$214,$A5))</f>
        <v/>
      </c>
      <c r="D5" s="106" t="str">
        <f t="shared" si="1"/>
        <v/>
      </c>
      <c r="E5" s="107" t="str" cm="1">
        <f t="array" aca="1" ref="E5" ca="1">_xlfn.IFS($A5 = "", "", $A5 = Label_Total, "", 1, MIN(_xlfn._xlws.FILTER(INDEX(Rent_Roll_Input_Total,0, 10),INDEX(Rent_Roll_Input_Total,0, 20)=$A5)))</f>
        <v/>
      </c>
      <c r="F5" s="107" t="str" cm="1">
        <f t="array" aca="1" ref="F5" ca="1">_xlfn.IFS($A5 = "", "", $A5 = Label_Total, "", 1, MAX(_xlfn._xlws.FILTER(INDEX(Rent_Roll_Input_Total,0, 10),INDEX(Rent_Roll_Input_Total,0, 20)=$A5)))</f>
        <v/>
      </c>
      <c r="G5" s="104" t="str" cm="1">
        <f t="array" aca="1" ref="G5" ca="1">_xlfn.IFS(A5="", "", A5 = Label_Total, "", 1, TEXT(E5, "$#,##0") &amp; " - " &amp; TEXT(F5, "$#,##0"))</f>
        <v/>
      </c>
      <c r="H5" s="107" t="str" cm="1">
        <f t="array" aca="1" ref="H5" ca="1">_xlfn.IFS($A5 = "", "", $A5 = Label_Total, "", 1, MIN(_xlfn._xlws.FILTER(INDEX(Rent_Roll_Input_Total,0, 7),INDEX(Rent_Roll_Input_Total,0, 20)=$A5)))</f>
        <v/>
      </c>
      <c r="I5" s="107" t="str" cm="1">
        <f t="array" aca="1" ref="I5" ca="1">_xlfn.IFS($A5 = "", "", $A5 = Label_Total, "", 1, MAX(_xlfn._xlws.FILTER(INDEX(Rent_Roll_Input_Total,0, 7),INDEX(Rent_Roll_Input_Total,0, 20)=$A5)))</f>
        <v/>
      </c>
      <c r="J5" s="104" t="str" cm="1">
        <f t="array" aca="1" ref="J5" ca="1">_xlfn.IFS($A5="", "", A5 = Label_Total, "", 1, TEXT(H5, "$#,##0") &amp; " - " &amp; TEXT(I5, "$#,##0"))</f>
        <v/>
      </c>
      <c r="K5" s="107" t="str" cm="1">
        <f t="array" aca="1" ref="K5" ca="1">_xlfn.IFS($A5="", "",1, SUMPRODUCT(_xlfn._xlws.FILTER(INDEX(Rent_Roll_Input_Total, 0,5),INDEX(Rent_Roll_Input_Total, 0,20) = $A5), _xlfn._xlws.FILTER(INDEX(Rent_Roll_Input_Total, 0,7),INDEX(Rent_Roll_Input_Total, 0,20) = $A5)))</f>
        <v/>
      </c>
      <c r="L5" s="107" t="str">
        <f t="shared" si="2"/>
        <v/>
      </c>
      <c r="M5" s="107" t="str">
        <f t="shared" si="3"/>
        <v/>
      </c>
      <c r="N5" s="107" t="str">
        <f t="shared" si="4"/>
        <v/>
      </c>
      <c r="O5" s="107" t="str" cm="1">
        <f t="array" aca="1" ref="O5" ca="1">_xlfn.IFS(A5="", "",1, SUMPRODUCT(_xlfn._xlws.FILTER(INDEX(Rent_Roll_Input_Total, 0,5),INDEX(Rent_Roll_Input_Total, 0,20) = A5), _xlfn._xlws.FILTER(INDEX(Rent_Roll_Input_Total, 0,10),INDEX(Rent_Roll_Input_Total, 0,20) = A5)))</f>
        <v/>
      </c>
      <c r="P5" s="107" t="str">
        <f t="shared" si="5"/>
        <v/>
      </c>
      <c r="Q5" s="107" t="str">
        <f t="shared" si="6"/>
        <v/>
      </c>
      <c r="R5" s="107" t="str">
        <f t="shared" si="7"/>
        <v/>
      </c>
      <c r="S5" s="107" t="str" cm="1">
        <f t="array" aca="1" ref="S5" ca="1">_xlfn.IFS(A5="", "",1, SUMPRODUCT(_xlfn._xlws.FILTER(INDEX(Rent_Roll_Input_Total, 0,5),INDEX(Rent_Roll_Input_Total, 0,20) = A5), _xlfn._xlws.FILTER(INDEX(Rent_Roll_Input_Total, 0,8),INDEX(Rent_Roll_Input_Total, 0,20) = A5)))</f>
        <v/>
      </c>
      <c r="T5" s="107" t="str">
        <f t="shared" si="8"/>
        <v/>
      </c>
      <c r="U5" s="107" t="str">
        <f t="shared" si="9"/>
        <v/>
      </c>
      <c r="V5" s="107" t="str">
        <f t="shared" si="10"/>
        <v/>
      </c>
      <c r="W5" s="107" t="str" cm="1">
        <f t="array" aca="1" ref="W5" ca="1">_xlfn.IFS($A5="", "",1, SUMPRODUCT(_xlfn._xlws.FILTER(INDEX(Rent_Roll_Input_Total, 0,5),INDEX(Rent_Roll_Input_Total, 0,20) = $A5), _xlfn._xlws.FILTER(INDEX(Rent_Roll_Input_Total, 0,9),INDEX(Rent_Roll_Input_Total, 0,20) = $A5)))</f>
        <v/>
      </c>
      <c r="X5" s="107" t="str">
        <f t="shared" si="11"/>
        <v/>
      </c>
      <c r="Y5" s="107" t="str">
        <f t="shared" si="12"/>
        <v/>
      </c>
      <c r="Z5" s="107" t="str">
        <f t="shared" si="13"/>
        <v/>
      </c>
      <c r="AA5" s="287" t="str">
        <f t="shared" si="14"/>
        <v/>
      </c>
      <c r="AB5" s="287" t="str">
        <f t="shared" si="15"/>
        <v/>
      </c>
      <c r="AC5" s="287" t="str">
        <f t="shared" si="16"/>
        <v/>
      </c>
      <c r="AD5" s="287" t="str">
        <f t="shared" si="17"/>
        <v/>
      </c>
      <c r="AE5" s="287" t="str">
        <f t="shared" si="18"/>
        <v/>
      </c>
      <c r="AF5" s="287" t="str">
        <f t="shared" si="0"/>
        <v/>
      </c>
      <c r="AG5" s="287" t="str">
        <f t="shared" si="0"/>
        <v/>
      </c>
      <c r="AH5" s="287" t="str">
        <f t="shared" si="0"/>
        <v/>
      </c>
    </row>
    <row r="6" spans="1:34" x14ac:dyDescent="0.25">
      <c r="A6" s="288"/>
      <c r="B6" s="104" t="str" cm="1">
        <f t="array" ref="B6">_xlfn.IFS(A6="","",1,SUMIFS('Rent Roll Input'!$F$4:$F$214,'Rent Roll Input'!$U$4:$U$214,$A6))</f>
        <v/>
      </c>
      <c r="C6" s="104" t="str" cm="1">
        <f t="array" ref="C6">_xlfn.IFS(B6="","",A6 = Label_Total, 'Rent Roll Input'!$G$4,1,SUMIFS('Rent Roll Input'!$T$5:$T$214,'Rent Roll Input'!$U$5:$U$214,$A6))</f>
        <v/>
      </c>
      <c r="D6" s="106" t="str">
        <f t="shared" si="1"/>
        <v/>
      </c>
      <c r="E6" s="107" t="str" cm="1">
        <f t="array" aca="1" ref="E6" ca="1">_xlfn.IFS($A6 = "", "", $A6 = Label_Total, "", 1, MIN(_xlfn._xlws.FILTER(INDEX(Rent_Roll_Input_Total,0, 10),INDEX(Rent_Roll_Input_Total,0, 20)=$A6)))</f>
        <v/>
      </c>
      <c r="F6" s="107" t="str" cm="1">
        <f t="array" aca="1" ref="F6" ca="1">_xlfn.IFS($A6 = "", "", $A6 = Label_Total, "", 1, MAX(_xlfn._xlws.FILTER(INDEX(Rent_Roll_Input_Total,0, 10),INDEX(Rent_Roll_Input_Total,0, 20)=$A6)))</f>
        <v/>
      </c>
      <c r="G6" s="104" t="str" cm="1">
        <f t="array" aca="1" ref="G6" ca="1">_xlfn.IFS(A6="", "", A6 = Label_Total, "", 1, TEXT(E6, "$#,##0") &amp; " - " &amp; TEXT(F6, "$#,##0"))</f>
        <v/>
      </c>
      <c r="H6" s="107" t="str" cm="1">
        <f t="array" aca="1" ref="H6" ca="1">_xlfn.IFS($A6 = "", "", $A6 = Label_Total, "", 1, MIN(_xlfn._xlws.FILTER(INDEX(Rent_Roll_Input_Total,0, 7),INDEX(Rent_Roll_Input_Total,0, 20)=$A6)))</f>
        <v/>
      </c>
      <c r="I6" s="107" t="str" cm="1">
        <f t="array" aca="1" ref="I6" ca="1">_xlfn.IFS($A6 = "", "", $A6 = Label_Total, "", 1, MAX(_xlfn._xlws.FILTER(INDEX(Rent_Roll_Input_Total,0, 7),INDEX(Rent_Roll_Input_Total,0, 20)=$A6)))</f>
        <v/>
      </c>
      <c r="J6" s="104" t="str" cm="1">
        <f t="array" aca="1" ref="J6" ca="1">_xlfn.IFS($A6="", "", A6 = Label_Total, "", 1, TEXT(H6, "$#,##0") &amp; " - " &amp; TEXT(I6, "$#,##0"))</f>
        <v/>
      </c>
      <c r="K6" s="107" t="str" cm="1">
        <f t="array" aca="1" ref="K6" ca="1">_xlfn.IFS($A6="", "",1, SUMPRODUCT(_xlfn._xlws.FILTER(INDEX(Rent_Roll_Input_Total, 0,5),INDEX(Rent_Roll_Input_Total, 0,20) = $A6), _xlfn._xlws.FILTER(INDEX(Rent_Roll_Input_Total, 0,7),INDEX(Rent_Roll_Input_Total, 0,20) = $A6)))</f>
        <v/>
      </c>
      <c r="L6" s="107" t="str">
        <f t="shared" si="2"/>
        <v/>
      </c>
      <c r="M6" s="107" t="str">
        <f t="shared" si="3"/>
        <v/>
      </c>
      <c r="N6" s="107" t="str">
        <f t="shared" si="4"/>
        <v/>
      </c>
      <c r="O6" s="107" t="str" cm="1">
        <f t="array" aca="1" ref="O6" ca="1">_xlfn.IFS(A6="", "",1, SUMPRODUCT(_xlfn._xlws.FILTER(INDEX(Rent_Roll_Input_Total, 0,5),INDEX(Rent_Roll_Input_Total, 0,20) = A6), _xlfn._xlws.FILTER(INDEX(Rent_Roll_Input_Total, 0,10),INDEX(Rent_Roll_Input_Total, 0,20) = A6)))</f>
        <v/>
      </c>
      <c r="P6" s="107" t="str">
        <f t="shared" si="5"/>
        <v/>
      </c>
      <c r="Q6" s="107" t="str">
        <f t="shared" si="6"/>
        <v/>
      </c>
      <c r="R6" s="107" t="str">
        <f t="shared" si="7"/>
        <v/>
      </c>
      <c r="S6" s="107" t="str" cm="1">
        <f t="array" aca="1" ref="S6" ca="1">_xlfn.IFS(A6="", "",1, SUMPRODUCT(_xlfn._xlws.FILTER(INDEX(Rent_Roll_Input_Total, 0,5),INDEX(Rent_Roll_Input_Total, 0,20) = A6), _xlfn._xlws.FILTER(INDEX(Rent_Roll_Input_Total, 0,8),INDEX(Rent_Roll_Input_Total, 0,20) = A6)))</f>
        <v/>
      </c>
      <c r="T6" s="107" t="str">
        <f t="shared" si="8"/>
        <v/>
      </c>
      <c r="U6" s="107" t="str">
        <f t="shared" si="9"/>
        <v/>
      </c>
      <c r="V6" s="107" t="str">
        <f t="shared" si="10"/>
        <v/>
      </c>
      <c r="W6" s="107" t="str" cm="1">
        <f t="array" aca="1" ref="W6" ca="1">_xlfn.IFS($A6="", "",1, SUMPRODUCT(_xlfn._xlws.FILTER(INDEX(Rent_Roll_Input_Total, 0,5),INDEX(Rent_Roll_Input_Total, 0,20) = $A6), _xlfn._xlws.FILTER(INDEX(Rent_Roll_Input_Total, 0,9),INDEX(Rent_Roll_Input_Total, 0,20) = $A6)))</f>
        <v/>
      </c>
      <c r="X6" s="107" t="str">
        <f t="shared" si="11"/>
        <v/>
      </c>
      <c r="Y6" s="107" t="str">
        <f t="shared" si="12"/>
        <v/>
      </c>
      <c r="Z6" s="107" t="str">
        <f t="shared" si="13"/>
        <v/>
      </c>
      <c r="AA6" s="287" t="str">
        <f t="shared" si="14"/>
        <v/>
      </c>
      <c r="AB6" s="287" t="str">
        <f t="shared" si="15"/>
        <v/>
      </c>
      <c r="AC6" s="287" t="str">
        <f t="shared" si="16"/>
        <v/>
      </c>
      <c r="AD6" s="287" t="str">
        <f t="shared" si="17"/>
        <v/>
      </c>
      <c r="AE6" s="287" t="str">
        <f t="shared" si="18"/>
        <v/>
      </c>
      <c r="AF6" s="287" t="str">
        <f t="shared" si="0"/>
        <v/>
      </c>
      <c r="AG6" s="287" t="str">
        <f t="shared" si="0"/>
        <v/>
      </c>
      <c r="AH6" s="287" t="str">
        <f t="shared" si="0"/>
        <v/>
      </c>
    </row>
    <row r="7" spans="1:34" x14ac:dyDescent="0.25">
      <c r="A7" s="288"/>
      <c r="B7" s="104" t="str" cm="1">
        <f t="array" ref="B7">_xlfn.IFS(A7="","",1,SUMIFS('Rent Roll Input'!$F$4:$F$214,'Rent Roll Input'!$U$4:$U$214,$A7))</f>
        <v/>
      </c>
      <c r="C7" s="104" t="str" cm="1">
        <f t="array" ref="C7">_xlfn.IFS(B7="","",A7 = Label_Total, 'Rent Roll Input'!$G$4,1,SUMIFS('Rent Roll Input'!$T$5:$T$214,'Rent Roll Input'!$U$5:$U$214,$A7))</f>
        <v/>
      </c>
      <c r="D7" s="106" t="str">
        <f t="shared" si="1"/>
        <v/>
      </c>
      <c r="E7" s="107" t="str" cm="1">
        <f t="array" aca="1" ref="E7" ca="1">_xlfn.IFS($A7 = "", "", $A7 = Label_Total, "", 1, MIN(_xlfn._xlws.FILTER(INDEX(Rent_Roll_Input_Total,0, 10),INDEX(Rent_Roll_Input_Total,0, 20)=$A7)))</f>
        <v/>
      </c>
      <c r="F7" s="107" t="str" cm="1">
        <f t="array" aca="1" ref="F7" ca="1">_xlfn.IFS($A7 = "", "", $A7 = Label_Total, "", 1, MAX(_xlfn._xlws.FILTER(INDEX(Rent_Roll_Input_Total,0, 10),INDEX(Rent_Roll_Input_Total,0, 20)=$A7)))</f>
        <v/>
      </c>
      <c r="G7" s="104" t="str" cm="1">
        <f t="array" aca="1" ref="G7" ca="1">_xlfn.IFS(A7="", "", A7 = Label_Total, "", 1, TEXT(E7, "$#,##0") &amp; " - " &amp; TEXT(F7, "$#,##0"))</f>
        <v/>
      </c>
      <c r="H7" s="107" t="str" cm="1">
        <f t="array" aca="1" ref="H7" ca="1">_xlfn.IFS($A7 = "", "", $A7 = Label_Total, "", 1, MIN(_xlfn._xlws.FILTER(INDEX(Rent_Roll_Input_Total,0, 7),INDEX(Rent_Roll_Input_Total,0, 20)=$A7)))</f>
        <v/>
      </c>
      <c r="I7" s="107" t="str" cm="1">
        <f t="array" aca="1" ref="I7" ca="1">_xlfn.IFS($A7 = "", "", $A7 = Label_Total, "", 1, MAX(_xlfn._xlws.FILTER(INDEX(Rent_Roll_Input_Total,0, 7),INDEX(Rent_Roll_Input_Total,0, 20)=$A7)))</f>
        <v/>
      </c>
      <c r="J7" s="104" t="str" cm="1">
        <f t="array" aca="1" ref="J7" ca="1">_xlfn.IFS($A7="", "", A7 = Label_Total, "", 1, TEXT(H7, "$#,##0") &amp; " - " &amp; TEXT(I7, "$#,##0"))</f>
        <v/>
      </c>
      <c r="K7" s="107" t="str" cm="1">
        <f t="array" aca="1" ref="K7" ca="1">_xlfn.IFS($A7="", "",1, SUMPRODUCT(_xlfn._xlws.FILTER(INDEX(Rent_Roll_Input_Total, 0,5),INDEX(Rent_Roll_Input_Total, 0,20) = $A7), _xlfn._xlws.FILTER(INDEX(Rent_Roll_Input_Total, 0,7),INDEX(Rent_Roll_Input_Total, 0,20) = $A7)))</f>
        <v/>
      </c>
      <c r="L7" s="107" t="str">
        <f t="shared" si="2"/>
        <v/>
      </c>
      <c r="M7" s="107" t="str">
        <f t="shared" si="3"/>
        <v/>
      </c>
      <c r="N7" s="107" t="str">
        <f t="shared" si="4"/>
        <v/>
      </c>
      <c r="O7" s="107" t="str" cm="1">
        <f t="array" aca="1" ref="O7" ca="1">_xlfn.IFS(A7="", "",1, SUMPRODUCT(_xlfn._xlws.FILTER(INDEX(Rent_Roll_Input_Total, 0,5),INDEX(Rent_Roll_Input_Total, 0,20) = A7), _xlfn._xlws.FILTER(INDEX(Rent_Roll_Input_Total, 0,10),INDEX(Rent_Roll_Input_Total, 0,20) = A7)))</f>
        <v/>
      </c>
      <c r="P7" s="107" t="str">
        <f t="shared" si="5"/>
        <v/>
      </c>
      <c r="Q7" s="107" t="str">
        <f t="shared" si="6"/>
        <v/>
      </c>
      <c r="R7" s="107" t="str">
        <f t="shared" si="7"/>
        <v/>
      </c>
      <c r="S7" s="107" t="str" cm="1">
        <f t="array" aca="1" ref="S7" ca="1">_xlfn.IFS(A7="", "",1, SUMPRODUCT(_xlfn._xlws.FILTER(INDEX(Rent_Roll_Input_Total, 0,5),INDEX(Rent_Roll_Input_Total, 0,20) = A7), _xlfn._xlws.FILTER(INDEX(Rent_Roll_Input_Total, 0,8),INDEX(Rent_Roll_Input_Total, 0,20) = A7)))</f>
        <v/>
      </c>
      <c r="T7" s="107" t="str">
        <f t="shared" si="8"/>
        <v/>
      </c>
      <c r="U7" s="107" t="str">
        <f t="shared" si="9"/>
        <v/>
      </c>
      <c r="V7" s="107" t="str">
        <f t="shared" si="10"/>
        <v/>
      </c>
      <c r="W7" s="107" t="str" cm="1">
        <f t="array" aca="1" ref="W7" ca="1">_xlfn.IFS($A7="", "",1, SUMPRODUCT(_xlfn._xlws.FILTER(INDEX(Rent_Roll_Input_Total, 0,5),INDEX(Rent_Roll_Input_Total, 0,20) = $A7), _xlfn._xlws.FILTER(INDEX(Rent_Roll_Input_Total, 0,9),INDEX(Rent_Roll_Input_Total, 0,20) = $A7)))</f>
        <v/>
      </c>
      <c r="X7" s="107" t="str">
        <f t="shared" si="11"/>
        <v/>
      </c>
      <c r="Y7" s="107" t="str">
        <f t="shared" si="12"/>
        <v/>
      </c>
      <c r="Z7" s="107" t="str">
        <f t="shared" si="13"/>
        <v/>
      </c>
      <c r="AA7" s="287" t="str">
        <f t="shared" si="14"/>
        <v/>
      </c>
      <c r="AB7" s="287" t="str">
        <f t="shared" si="15"/>
        <v/>
      </c>
      <c r="AC7" s="287" t="str">
        <f t="shared" si="16"/>
        <v/>
      </c>
      <c r="AD7" s="287" t="str">
        <f t="shared" si="17"/>
        <v/>
      </c>
      <c r="AE7" s="287" t="str">
        <f t="shared" si="18"/>
        <v/>
      </c>
      <c r="AF7" s="287" t="str">
        <f t="shared" si="0"/>
        <v/>
      </c>
      <c r="AG7" s="287" t="str">
        <f t="shared" si="0"/>
        <v/>
      </c>
      <c r="AH7" s="287" t="str">
        <f t="shared" si="0"/>
        <v/>
      </c>
    </row>
    <row r="8" spans="1:34" x14ac:dyDescent="0.25">
      <c r="A8" s="288"/>
      <c r="B8" s="104" t="str" cm="1">
        <f t="array" ref="B8">_xlfn.IFS(A8="","",1,SUMIFS('Rent Roll Input'!$F$4:$F$214,'Rent Roll Input'!$U$4:$U$214,$A8))</f>
        <v/>
      </c>
      <c r="C8" s="104" t="str" cm="1">
        <f t="array" ref="C8">_xlfn.IFS(B8="","",A8 = Label_Total, 'Rent Roll Input'!$G$4,1,SUMIFS('Rent Roll Input'!$T$5:$T$214,'Rent Roll Input'!$U$5:$U$214,$A8))</f>
        <v/>
      </c>
      <c r="D8" s="106" t="str">
        <f t="shared" si="1"/>
        <v/>
      </c>
      <c r="E8" s="107" t="str" cm="1">
        <f t="array" aca="1" ref="E8" ca="1">_xlfn.IFS($A8 = "", "", $A8 = Label_Total, "", 1, MIN(_xlfn._xlws.FILTER(INDEX(Rent_Roll_Input_Total,0, 10),INDEX(Rent_Roll_Input_Total,0, 20)=$A8)))</f>
        <v/>
      </c>
      <c r="F8" s="107" t="str" cm="1">
        <f t="array" aca="1" ref="F8" ca="1">_xlfn.IFS($A8 = "", "", $A8 = Label_Total, "", 1, MAX(_xlfn._xlws.FILTER(INDEX(Rent_Roll_Input_Total,0, 10),INDEX(Rent_Roll_Input_Total,0, 20)=$A8)))</f>
        <v/>
      </c>
      <c r="G8" s="104" t="str" cm="1">
        <f t="array" aca="1" ref="G8" ca="1">_xlfn.IFS(A8="", "", A8 = Label_Total, "", 1, TEXT(E8, "$#,##0") &amp; " - " &amp; TEXT(F8, "$#,##0"))</f>
        <v/>
      </c>
      <c r="H8" s="107" t="str" cm="1">
        <f t="array" aca="1" ref="H8" ca="1">_xlfn.IFS($A8 = "", "", $A8 = Label_Total, "", 1, MIN(_xlfn._xlws.FILTER(INDEX(Rent_Roll_Input_Total,0, 7),INDEX(Rent_Roll_Input_Total,0, 20)=$A8)))</f>
        <v/>
      </c>
      <c r="I8" s="107" t="str" cm="1">
        <f t="array" aca="1" ref="I8" ca="1">_xlfn.IFS($A8 = "", "", $A8 = Label_Total, "", 1, MAX(_xlfn._xlws.FILTER(INDEX(Rent_Roll_Input_Total,0, 7),INDEX(Rent_Roll_Input_Total,0, 20)=$A8)))</f>
        <v/>
      </c>
      <c r="J8" s="104" t="str" cm="1">
        <f t="array" aca="1" ref="J8" ca="1">_xlfn.IFS($A8="", "", A8 = Label_Total, "", 1, TEXT(H8, "$#,##0") &amp; " - " &amp; TEXT(I8, "$#,##0"))</f>
        <v/>
      </c>
      <c r="K8" s="107" t="str" cm="1">
        <f t="array" aca="1" ref="K8" ca="1">_xlfn.IFS($A8="", "",1, SUMPRODUCT(_xlfn._xlws.FILTER(INDEX(Rent_Roll_Input_Total, 0,5),INDEX(Rent_Roll_Input_Total, 0,20) = $A8), _xlfn._xlws.FILTER(INDEX(Rent_Roll_Input_Total, 0,7),INDEX(Rent_Roll_Input_Total, 0,20) = $A8)))</f>
        <v/>
      </c>
      <c r="L8" s="107" t="str">
        <f t="shared" si="2"/>
        <v/>
      </c>
      <c r="M8" s="107" t="str">
        <f t="shared" si="3"/>
        <v/>
      </c>
      <c r="N8" s="107" t="str">
        <f t="shared" si="4"/>
        <v/>
      </c>
      <c r="O8" s="107" t="str" cm="1">
        <f t="array" aca="1" ref="O8" ca="1">_xlfn.IFS(A8="", "",1, SUMPRODUCT(_xlfn._xlws.FILTER(INDEX(Rent_Roll_Input_Total, 0,5),INDEX(Rent_Roll_Input_Total, 0,20) = A8), _xlfn._xlws.FILTER(INDEX(Rent_Roll_Input_Total, 0,10),INDEX(Rent_Roll_Input_Total, 0,20) = A8)))</f>
        <v/>
      </c>
      <c r="P8" s="107" t="str">
        <f t="shared" ref="P8" si="19">IF($A8="", "",O8/$B8)</f>
        <v/>
      </c>
      <c r="Q8" s="107" t="str">
        <f t="shared" ref="Q8" si="20">IF($A8 = "", "", P8*12)</f>
        <v/>
      </c>
      <c r="R8" s="107" t="str">
        <f t="shared" si="7"/>
        <v/>
      </c>
      <c r="S8" s="107" t="str" cm="1">
        <f t="array" aca="1" ref="S8" ca="1">_xlfn.IFS(A8="", "",1, SUMPRODUCT(_xlfn._xlws.FILTER(INDEX(Rent_Roll_Input_Total, 0,5),INDEX(Rent_Roll_Input_Total, 0,20) = A8), _xlfn._xlws.FILTER(INDEX(Rent_Roll_Input_Total, 0,8),INDEX(Rent_Roll_Input_Total, 0,20) = A8)))</f>
        <v/>
      </c>
      <c r="T8" s="107" t="str">
        <f t="shared" ref="T8" si="21">IF($A8="", "",S8/$B8)</f>
        <v/>
      </c>
      <c r="U8" s="107" t="str">
        <f t="shared" ref="U8" si="22">IF($A8 = "", "", T8*12)</f>
        <v/>
      </c>
      <c r="V8" s="107" t="str">
        <f t="shared" si="10"/>
        <v/>
      </c>
      <c r="W8" s="107" t="str" cm="1">
        <f t="array" aca="1" ref="W8" ca="1">_xlfn.IFS($A8="", "",1, SUMPRODUCT(_xlfn._xlws.FILTER(INDEX(Rent_Roll_Input_Total, 0,5),INDEX(Rent_Roll_Input_Total, 0,20) = $A8), _xlfn._xlws.FILTER(INDEX(Rent_Roll_Input_Total, 0,9),INDEX(Rent_Roll_Input_Total, 0,20) = $A8)))</f>
        <v/>
      </c>
      <c r="X8" s="107" t="str">
        <f t="shared" si="11"/>
        <v/>
      </c>
      <c r="Y8" s="107" t="str">
        <f t="shared" si="12"/>
        <v/>
      </c>
      <c r="Z8" s="107" t="str">
        <f t="shared" si="13"/>
        <v/>
      </c>
      <c r="AA8" s="287" t="str">
        <f t="shared" si="14"/>
        <v/>
      </c>
      <c r="AB8" s="287" t="str">
        <f t="shared" si="15"/>
        <v/>
      </c>
      <c r="AC8" s="287" t="str">
        <f t="shared" si="16"/>
        <v/>
      </c>
      <c r="AD8" s="287" t="str">
        <f t="shared" si="17"/>
        <v/>
      </c>
      <c r="AE8" s="287" t="str">
        <f t="shared" si="18"/>
        <v/>
      </c>
      <c r="AF8" s="287" t="str">
        <f t="shared" si="0"/>
        <v/>
      </c>
      <c r="AG8" s="287" t="str">
        <f t="shared" si="0"/>
        <v/>
      </c>
      <c r="AH8" s="287" t="str">
        <f t="shared" si="0"/>
        <v/>
      </c>
    </row>
    <row r="9" spans="1:34" x14ac:dyDescent="0.25">
      <c r="A9" s="288"/>
      <c r="B9" s="104" t="str" cm="1">
        <f t="array" ref="B9">_xlfn.IFS(A9="","",1,SUMIFS('Rent Roll Input'!$F$4:$F$214,'Rent Roll Input'!$U$4:$U$214,$A9))</f>
        <v/>
      </c>
      <c r="C9" s="104" t="str" cm="1">
        <f t="array" ref="C9">_xlfn.IFS(B9="","",A9 = Label_Total, 'Rent Roll Input'!$G$4,1,SUMIFS('Rent Roll Input'!$T$5:$T$214,'Rent Roll Input'!$U$5:$U$214,$A9))</f>
        <v/>
      </c>
      <c r="D9" s="106" t="str">
        <f t="shared" ref="D9:D21" si="23">IF(C9="", "", C9/B9)</f>
        <v/>
      </c>
      <c r="E9" s="107" t="str" cm="1">
        <f t="array" aca="1" ref="E9" ca="1">_xlfn.IFS($A9 = "", "", $A9 = Label_Total, "", 1, MIN(_xlfn._xlws.FILTER(INDEX(Rent_Roll_Input_Total,0, 10),INDEX(Rent_Roll_Input_Total,0, 20)=$A9)))</f>
        <v/>
      </c>
      <c r="F9" s="107" t="str" cm="1">
        <f t="array" aca="1" ref="F9" ca="1">_xlfn.IFS($A9 = "", "", $A9 = Label_Total, "", 1, MAX(_xlfn._xlws.FILTER(INDEX(Rent_Roll_Input_Total,0, 10),INDEX(Rent_Roll_Input_Total,0, 20)=$A9)))</f>
        <v/>
      </c>
      <c r="G9" s="104" t="str" cm="1">
        <f t="array" aca="1" ref="G9" ca="1">_xlfn.IFS(A9="", "", A9 = Label_Total, "", 1, TEXT(E9, "$#,##0") &amp; " - " &amp; TEXT(F9, "$#,##0"))</f>
        <v/>
      </c>
      <c r="H9" s="107" t="str" cm="1">
        <f t="array" aca="1" ref="H9" ca="1">_xlfn.IFS($A9 = "", "", $A9 = Label_Total, "", 1, MIN(_xlfn._xlws.FILTER(INDEX(Rent_Roll_Input_Total,0, 7),INDEX(Rent_Roll_Input_Total,0, 20)=$A9)))</f>
        <v/>
      </c>
      <c r="I9" s="107" t="str" cm="1">
        <f t="array" aca="1" ref="I9" ca="1">_xlfn.IFS($A9 = "", "", $A9 = Label_Total, "", 1, MAX(_xlfn._xlws.FILTER(INDEX(Rent_Roll_Input_Total,0, 7),INDEX(Rent_Roll_Input_Total,0, 20)=$A9)))</f>
        <v/>
      </c>
      <c r="J9" s="104" t="str" cm="1">
        <f t="array" aca="1" ref="J9" ca="1">_xlfn.IFS($A9="", "", A9 = Label_Total, "", 1, TEXT(H9, "$#,##0") &amp; " - " &amp; TEXT(I9, "$#,##0"))</f>
        <v/>
      </c>
      <c r="K9" s="107" t="str" cm="1">
        <f t="array" aca="1" ref="K9" ca="1">_xlfn.IFS($A9="", "",1, SUMPRODUCT(_xlfn._xlws.FILTER(INDEX(Rent_Roll_Input_Total, 0,5),INDEX(Rent_Roll_Input_Total, 0,20) = $A9), _xlfn._xlws.FILTER(INDEX(Rent_Roll_Input_Total, 0,7),INDEX(Rent_Roll_Input_Total, 0,20) = $A9)))</f>
        <v/>
      </c>
      <c r="L9" s="107" t="str">
        <f t="shared" ref="L9:L21" si="24">IF($A9="", "",K9/$B9)</f>
        <v/>
      </c>
      <c r="M9" s="107" t="str">
        <f t="shared" ref="M9:M21" si="25">IF($A9 = "", "", L9*12)</f>
        <v/>
      </c>
      <c r="N9" s="107" t="str">
        <f t="shared" si="4"/>
        <v/>
      </c>
      <c r="O9" s="107" t="str" cm="1">
        <f t="array" aca="1" ref="O9" ca="1">_xlfn.IFS(A9="", "",1, SUMPRODUCT(_xlfn._xlws.FILTER(INDEX(Rent_Roll_Input_Total, 0,5),INDEX(Rent_Roll_Input_Total, 0,20) = A9), _xlfn._xlws.FILTER(INDEX(Rent_Roll_Input_Total, 0,10),INDEX(Rent_Roll_Input_Total, 0,20) = A9)))</f>
        <v/>
      </c>
      <c r="P9" s="107" t="str">
        <f t="shared" ref="P9:P21" si="26">IF($A9="", "",O9/$B9)</f>
        <v/>
      </c>
      <c r="Q9" s="107" t="str">
        <f t="shared" ref="Q9:Q21" si="27">IF($A9 = "", "", P9*12)</f>
        <v/>
      </c>
      <c r="R9" s="107" t="str">
        <f t="shared" si="7"/>
        <v/>
      </c>
      <c r="S9" s="107" t="str" cm="1">
        <f t="array" aca="1" ref="S9" ca="1">_xlfn.IFS(A9="", "",1, SUMPRODUCT(_xlfn._xlws.FILTER(INDEX(Rent_Roll_Input_Total, 0,5),INDEX(Rent_Roll_Input_Total, 0,20) = A9), _xlfn._xlws.FILTER(INDEX(Rent_Roll_Input_Total, 0,8),INDEX(Rent_Roll_Input_Total, 0,20) = A9)))</f>
        <v/>
      </c>
      <c r="T9" s="107" t="str">
        <f t="shared" ref="T9:T21" si="28">IF($A9="", "",S9/$B9)</f>
        <v/>
      </c>
      <c r="U9" s="107" t="str">
        <f t="shared" ref="U9:U21" si="29">IF($A9 = "", "", T9*12)</f>
        <v/>
      </c>
      <c r="V9" s="107" t="str">
        <f t="shared" si="10"/>
        <v/>
      </c>
      <c r="W9" s="107" t="str" cm="1">
        <f t="array" aca="1" ref="W9" ca="1">_xlfn.IFS($A9="", "",1, SUMPRODUCT(_xlfn._xlws.FILTER(INDEX(Rent_Roll_Input_Total, 0,5),INDEX(Rent_Roll_Input_Total, 0,20) = $A9), _xlfn._xlws.FILTER(INDEX(Rent_Roll_Input_Total, 0,9),INDEX(Rent_Roll_Input_Total, 0,20) = $A9)))</f>
        <v/>
      </c>
      <c r="X9" s="107" t="str">
        <f t="shared" ref="X9:X21" si="30">IF($A9="", "",W9/$B9)</f>
        <v/>
      </c>
      <c r="Y9" s="107" t="str">
        <f t="shared" ref="Y9:Y21" si="31">IF($A9 = "", "", X9*12)</f>
        <v/>
      </c>
      <c r="Z9" s="107" t="str">
        <f t="shared" ref="Z9:Z21" si="32">IF($A9 = "", "", $B9*X9)</f>
        <v/>
      </c>
      <c r="AA9" s="287" t="str">
        <f t="shared" ref="AA9:AA21" si="33">IF($C9="", "", K9/$C9)</f>
        <v/>
      </c>
      <c r="AB9" s="287" t="str">
        <f t="shared" ref="AB9:AB21" si="34">IF($C9="", "", O9/$C9)</f>
        <v/>
      </c>
      <c r="AC9" s="287" t="str">
        <f t="shared" ref="AC9:AC21" si="35">IF($C9="", "", S9/$C9)</f>
        <v/>
      </c>
      <c r="AD9" s="287" t="str">
        <f t="shared" ref="AD9:AD21" si="36">IF($C9="", "", W9/$C9)</f>
        <v/>
      </c>
      <c r="AE9" s="287" t="str">
        <f t="shared" ref="AE9:AE21" si="37">IF($C9="", "", AA9*12)</f>
        <v/>
      </c>
      <c r="AF9" s="287" t="str">
        <f t="shared" ref="AF9:AF21" si="38">IF($C9="", "", AB9*12)</f>
        <v/>
      </c>
      <c r="AG9" s="287" t="str">
        <f t="shared" ref="AG9:AG21" si="39">IF($C9="", "", AC9*12)</f>
        <v/>
      </c>
      <c r="AH9" s="287" t="str">
        <f t="shared" ref="AH9:AH21" si="40">IF($C9="", "", AD9*12)</f>
        <v/>
      </c>
    </row>
    <row r="10" spans="1:34" x14ac:dyDescent="0.25">
      <c r="A10" s="288"/>
      <c r="B10" s="104" t="str" cm="1">
        <f t="array" ref="B10">_xlfn.IFS(A10="","",1,SUMIFS('Rent Roll Input'!$F$4:$F$214,'Rent Roll Input'!$U$4:$U$214,$A10))</f>
        <v/>
      </c>
      <c r="C10" s="104" t="str" cm="1">
        <f t="array" ref="C10">_xlfn.IFS(B10="","",A10 = Label_Total, 'Rent Roll Input'!$G$4,1,SUMIFS('Rent Roll Input'!$T$5:$T$214,'Rent Roll Input'!$U$5:$U$214,$A10))</f>
        <v/>
      </c>
      <c r="D10" s="106" t="str">
        <f t="shared" si="23"/>
        <v/>
      </c>
      <c r="E10" s="107" t="str" cm="1">
        <f t="array" aca="1" ref="E10" ca="1">_xlfn.IFS($A10 = "", "", $A10 = Label_Total, "", 1, MIN(_xlfn._xlws.FILTER(INDEX(Rent_Roll_Input_Total,0, 10),INDEX(Rent_Roll_Input_Total,0, 20)=$A10)))</f>
        <v/>
      </c>
      <c r="F10" s="107" t="str" cm="1">
        <f t="array" aca="1" ref="F10" ca="1">_xlfn.IFS($A10 = "", "", $A10 = Label_Total, "", 1, MAX(_xlfn._xlws.FILTER(INDEX(Rent_Roll_Input_Total,0, 10),INDEX(Rent_Roll_Input_Total,0, 20)=$A10)))</f>
        <v/>
      </c>
      <c r="G10" s="104" t="str" cm="1">
        <f t="array" aca="1" ref="G10" ca="1">_xlfn.IFS(A10="", "", A10 = Label_Total, "", 1, TEXT(E10, "$#,##0") &amp; " - " &amp; TEXT(F10, "$#,##0"))</f>
        <v/>
      </c>
      <c r="H10" s="107" t="str" cm="1">
        <f t="array" aca="1" ref="H10" ca="1">_xlfn.IFS($A10 = "", "", $A10 = Label_Total, "", 1, MIN(_xlfn._xlws.FILTER(INDEX(Rent_Roll_Input_Total,0, 7),INDEX(Rent_Roll_Input_Total,0, 20)=$A10)))</f>
        <v/>
      </c>
      <c r="I10" s="107" t="str" cm="1">
        <f t="array" aca="1" ref="I10" ca="1">_xlfn.IFS($A10 = "", "", $A10 = Label_Total, "", 1, MAX(_xlfn._xlws.FILTER(INDEX(Rent_Roll_Input_Total,0, 7),INDEX(Rent_Roll_Input_Total,0, 20)=$A10)))</f>
        <v/>
      </c>
      <c r="J10" s="104" t="str" cm="1">
        <f t="array" aca="1" ref="J10" ca="1">_xlfn.IFS($A10="", "", A10 = Label_Total, "", 1, TEXT(H10, "$#,##0") &amp; " - " &amp; TEXT(I10, "$#,##0"))</f>
        <v/>
      </c>
      <c r="K10" s="107" t="str" cm="1">
        <f t="array" aca="1" ref="K10" ca="1">_xlfn.IFS($A10="", "",1, SUMPRODUCT(_xlfn._xlws.FILTER(INDEX(Rent_Roll_Input_Total, 0,5),INDEX(Rent_Roll_Input_Total, 0,20) = $A10), _xlfn._xlws.FILTER(INDEX(Rent_Roll_Input_Total, 0,7),INDEX(Rent_Roll_Input_Total, 0,20) = $A10)))</f>
        <v/>
      </c>
      <c r="L10" s="107" t="str">
        <f t="shared" si="24"/>
        <v/>
      </c>
      <c r="M10" s="107" t="str">
        <f t="shared" si="25"/>
        <v/>
      </c>
      <c r="N10" s="107" t="str">
        <f t="shared" si="4"/>
        <v/>
      </c>
      <c r="O10" s="107" t="str" cm="1">
        <f t="array" aca="1" ref="O10" ca="1">_xlfn.IFS(A10="", "",1, SUMPRODUCT(_xlfn._xlws.FILTER(INDEX(Rent_Roll_Input_Total, 0,5),INDEX(Rent_Roll_Input_Total, 0,20) = A10), _xlfn._xlws.FILTER(INDEX(Rent_Roll_Input_Total, 0,10),INDEX(Rent_Roll_Input_Total, 0,20) = A10)))</f>
        <v/>
      </c>
      <c r="P10" s="107" t="str">
        <f t="shared" si="26"/>
        <v/>
      </c>
      <c r="Q10" s="107" t="str">
        <f t="shared" si="27"/>
        <v/>
      </c>
      <c r="R10" s="107" t="str">
        <f t="shared" si="7"/>
        <v/>
      </c>
      <c r="S10" s="107" t="str" cm="1">
        <f t="array" aca="1" ref="S10" ca="1">_xlfn.IFS(A10="", "",1, SUMPRODUCT(_xlfn._xlws.FILTER(INDEX(Rent_Roll_Input_Total, 0,5),INDEX(Rent_Roll_Input_Total, 0,20) = A10), _xlfn._xlws.FILTER(INDEX(Rent_Roll_Input_Total, 0,8),INDEX(Rent_Roll_Input_Total, 0,20) = A10)))</f>
        <v/>
      </c>
      <c r="T10" s="107" t="str">
        <f t="shared" si="28"/>
        <v/>
      </c>
      <c r="U10" s="107" t="str">
        <f t="shared" si="29"/>
        <v/>
      </c>
      <c r="V10" s="107" t="str">
        <f t="shared" si="10"/>
        <v/>
      </c>
      <c r="W10" s="107" t="str" cm="1">
        <f t="array" aca="1" ref="W10" ca="1">_xlfn.IFS($A10="", "",1, SUMPRODUCT(_xlfn._xlws.FILTER(INDEX(Rent_Roll_Input_Total, 0,5),INDEX(Rent_Roll_Input_Total, 0,20) = $A10), _xlfn._xlws.FILTER(INDEX(Rent_Roll_Input_Total, 0,9),INDEX(Rent_Roll_Input_Total, 0,20) = $A10)))</f>
        <v/>
      </c>
      <c r="X10" s="107" t="str">
        <f t="shared" si="30"/>
        <v/>
      </c>
      <c r="Y10" s="107" t="str">
        <f t="shared" si="31"/>
        <v/>
      </c>
      <c r="Z10" s="107" t="str">
        <f t="shared" si="32"/>
        <v/>
      </c>
      <c r="AA10" s="287" t="str">
        <f t="shared" si="33"/>
        <v/>
      </c>
      <c r="AB10" s="287" t="str">
        <f t="shared" si="34"/>
        <v/>
      </c>
      <c r="AC10" s="287" t="str">
        <f t="shared" si="35"/>
        <v/>
      </c>
      <c r="AD10" s="287" t="str">
        <f t="shared" si="36"/>
        <v/>
      </c>
      <c r="AE10" s="287" t="str">
        <f t="shared" si="37"/>
        <v/>
      </c>
      <c r="AF10" s="287" t="str">
        <f t="shared" si="38"/>
        <v/>
      </c>
      <c r="AG10" s="287" t="str">
        <f t="shared" si="39"/>
        <v/>
      </c>
      <c r="AH10" s="287" t="str">
        <f t="shared" si="40"/>
        <v/>
      </c>
    </row>
    <row r="11" spans="1:34" x14ac:dyDescent="0.25">
      <c r="A11" s="288"/>
      <c r="B11" s="104" t="str" cm="1">
        <f t="array" ref="B11">_xlfn.IFS(A11="","",1,SUMIFS('Rent Roll Input'!$F$4:$F$214,'Rent Roll Input'!$U$4:$U$214,$A11))</f>
        <v/>
      </c>
      <c r="C11" s="104" t="str" cm="1">
        <f t="array" ref="C11">_xlfn.IFS(B11="","",A11 = Label_Total, 'Rent Roll Input'!$G$4,1,SUMIFS('Rent Roll Input'!$T$5:$T$214,'Rent Roll Input'!$U$5:$U$214,$A11))</f>
        <v/>
      </c>
      <c r="D11" s="106" t="str">
        <f t="shared" si="23"/>
        <v/>
      </c>
      <c r="E11" s="107" t="str" cm="1">
        <f t="array" aca="1" ref="E11" ca="1">_xlfn.IFS($A11 = "", "", $A11 = Label_Total, "", 1, MIN(_xlfn._xlws.FILTER(INDEX(Rent_Roll_Input_Total,0, 10),INDEX(Rent_Roll_Input_Total,0, 20)=$A11)))</f>
        <v/>
      </c>
      <c r="F11" s="107" t="str" cm="1">
        <f t="array" aca="1" ref="F11" ca="1">_xlfn.IFS($A11 = "", "", $A11 = Label_Total, "", 1, MAX(_xlfn._xlws.FILTER(INDEX(Rent_Roll_Input_Total,0, 10),INDEX(Rent_Roll_Input_Total,0, 20)=$A11)))</f>
        <v/>
      </c>
      <c r="G11" s="104" t="str" cm="1">
        <f t="array" aca="1" ref="G11" ca="1">_xlfn.IFS(A11="", "", A11 = Label_Total, "", 1, TEXT(E11, "$#,##0") &amp; " - " &amp; TEXT(F11, "$#,##0"))</f>
        <v/>
      </c>
      <c r="H11" s="107" t="str" cm="1">
        <f t="array" aca="1" ref="H11" ca="1">_xlfn.IFS($A11 = "", "", $A11 = Label_Total, "", 1, MIN(_xlfn._xlws.FILTER(INDEX(Rent_Roll_Input_Total,0, 7),INDEX(Rent_Roll_Input_Total,0, 20)=$A11)))</f>
        <v/>
      </c>
      <c r="I11" s="107" t="str" cm="1">
        <f t="array" aca="1" ref="I11" ca="1">_xlfn.IFS($A11 = "", "", $A11 = Label_Total, "", 1, MAX(_xlfn._xlws.FILTER(INDEX(Rent_Roll_Input_Total,0, 7),INDEX(Rent_Roll_Input_Total,0, 20)=$A11)))</f>
        <v/>
      </c>
      <c r="J11" s="104" t="str" cm="1">
        <f t="array" aca="1" ref="J11" ca="1">_xlfn.IFS($A11="", "", A11 = Label_Total, "", 1, TEXT(H11, "$#,##0") &amp; " - " &amp; TEXT(I11, "$#,##0"))</f>
        <v/>
      </c>
      <c r="K11" s="107" t="str" cm="1">
        <f t="array" aca="1" ref="K11" ca="1">_xlfn.IFS($A11="", "",1, SUMPRODUCT(_xlfn._xlws.FILTER(INDEX(Rent_Roll_Input_Total, 0,5),INDEX(Rent_Roll_Input_Total, 0,20) = $A11), _xlfn._xlws.FILTER(INDEX(Rent_Roll_Input_Total, 0,7),INDEX(Rent_Roll_Input_Total, 0,20) = $A11)))</f>
        <v/>
      </c>
      <c r="L11" s="107" t="str">
        <f t="shared" si="24"/>
        <v/>
      </c>
      <c r="M11" s="107" t="str">
        <f t="shared" si="25"/>
        <v/>
      </c>
      <c r="N11" s="107" t="str">
        <f t="shared" si="4"/>
        <v/>
      </c>
      <c r="O11" s="107" t="str" cm="1">
        <f t="array" aca="1" ref="O11" ca="1">_xlfn.IFS(A11="", "",1, SUMPRODUCT(_xlfn._xlws.FILTER(INDEX(Rent_Roll_Input_Total, 0,5),INDEX(Rent_Roll_Input_Total, 0,20) = A11), _xlfn._xlws.FILTER(INDEX(Rent_Roll_Input_Total, 0,10),INDEX(Rent_Roll_Input_Total, 0,20) = A11)))</f>
        <v/>
      </c>
      <c r="P11" s="107" t="str">
        <f t="shared" si="26"/>
        <v/>
      </c>
      <c r="Q11" s="107" t="str">
        <f t="shared" si="27"/>
        <v/>
      </c>
      <c r="R11" s="107" t="str">
        <f t="shared" si="7"/>
        <v/>
      </c>
      <c r="S11" s="107" t="str" cm="1">
        <f t="array" aca="1" ref="S11" ca="1">_xlfn.IFS(A11="", "",1, SUMPRODUCT(_xlfn._xlws.FILTER(INDEX(Rent_Roll_Input_Total, 0,5),INDEX(Rent_Roll_Input_Total, 0,20) = A11), _xlfn._xlws.FILTER(INDEX(Rent_Roll_Input_Total, 0,8),INDEX(Rent_Roll_Input_Total, 0,20) = A11)))</f>
        <v/>
      </c>
      <c r="T11" s="107" t="str">
        <f t="shared" si="28"/>
        <v/>
      </c>
      <c r="U11" s="107" t="str">
        <f t="shared" si="29"/>
        <v/>
      </c>
      <c r="V11" s="107" t="str">
        <f t="shared" si="10"/>
        <v/>
      </c>
      <c r="W11" s="107" t="str" cm="1">
        <f t="array" aca="1" ref="W11" ca="1">_xlfn.IFS($A11="", "",1, SUMPRODUCT(_xlfn._xlws.FILTER(INDEX(Rent_Roll_Input_Total, 0,5),INDEX(Rent_Roll_Input_Total, 0,20) = $A11), _xlfn._xlws.FILTER(INDEX(Rent_Roll_Input_Total, 0,9),INDEX(Rent_Roll_Input_Total, 0,20) = $A11)))</f>
        <v/>
      </c>
      <c r="X11" s="107" t="str">
        <f t="shared" si="30"/>
        <v/>
      </c>
      <c r="Y11" s="107" t="str">
        <f t="shared" si="31"/>
        <v/>
      </c>
      <c r="Z11" s="107" t="str">
        <f t="shared" si="32"/>
        <v/>
      </c>
      <c r="AA11" s="287" t="str">
        <f t="shared" si="33"/>
        <v/>
      </c>
      <c r="AB11" s="287" t="str">
        <f t="shared" si="34"/>
        <v/>
      </c>
      <c r="AC11" s="287" t="str">
        <f t="shared" si="35"/>
        <v/>
      </c>
      <c r="AD11" s="287" t="str">
        <f t="shared" si="36"/>
        <v/>
      </c>
      <c r="AE11" s="287" t="str">
        <f t="shared" si="37"/>
        <v/>
      </c>
      <c r="AF11" s="287" t="str">
        <f t="shared" si="38"/>
        <v/>
      </c>
      <c r="AG11" s="287" t="str">
        <f t="shared" si="39"/>
        <v/>
      </c>
      <c r="AH11" s="287" t="str">
        <f t="shared" si="40"/>
        <v/>
      </c>
    </row>
    <row r="12" spans="1:34" x14ac:dyDescent="0.25">
      <c r="A12" s="288"/>
      <c r="B12" s="104" t="str" cm="1">
        <f t="array" ref="B12">_xlfn.IFS(A12="","",1,SUMIFS('Rent Roll Input'!$F$4:$F$214,'Rent Roll Input'!$U$4:$U$214,$A12))</f>
        <v/>
      </c>
      <c r="C12" s="104" t="str" cm="1">
        <f t="array" ref="C12">_xlfn.IFS(B12="","",A12 = Label_Total, 'Rent Roll Input'!$G$4,1,SUMIFS('Rent Roll Input'!$T$5:$T$214,'Rent Roll Input'!$U$5:$U$214,$A12))</f>
        <v/>
      </c>
      <c r="D12" s="106" t="str">
        <f t="shared" si="23"/>
        <v/>
      </c>
      <c r="E12" s="107" t="str" cm="1">
        <f t="array" aca="1" ref="E12" ca="1">_xlfn.IFS($A12 = "", "", $A12 = Label_Total, "", 1, MIN(_xlfn._xlws.FILTER(INDEX(Rent_Roll_Input_Total,0, 10),INDEX(Rent_Roll_Input_Total,0, 20)=$A12)))</f>
        <v/>
      </c>
      <c r="F12" s="107" t="str" cm="1">
        <f t="array" aca="1" ref="F12" ca="1">_xlfn.IFS($A12 = "", "", $A12 = Label_Total, "", 1, MAX(_xlfn._xlws.FILTER(INDEX(Rent_Roll_Input_Total,0, 10),INDEX(Rent_Roll_Input_Total,0, 20)=$A12)))</f>
        <v/>
      </c>
      <c r="G12" s="104" t="str" cm="1">
        <f t="array" aca="1" ref="G12" ca="1">_xlfn.IFS(A12="", "", A12 = Label_Total, "", 1, TEXT(E12, "$#,##0") &amp; " - " &amp; TEXT(F12, "$#,##0"))</f>
        <v/>
      </c>
      <c r="H12" s="107" t="str" cm="1">
        <f t="array" aca="1" ref="H12" ca="1">_xlfn.IFS($A12 = "", "", $A12 = Label_Total, "", 1, MIN(_xlfn._xlws.FILTER(INDEX(Rent_Roll_Input_Total,0, 7),INDEX(Rent_Roll_Input_Total,0, 20)=$A12)))</f>
        <v/>
      </c>
      <c r="I12" s="107" t="str" cm="1">
        <f t="array" aca="1" ref="I12" ca="1">_xlfn.IFS($A12 = "", "", $A12 = Label_Total, "", 1, MAX(_xlfn._xlws.FILTER(INDEX(Rent_Roll_Input_Total,0, 7),INDEX(Rent_Roll_Input_Total,0, 20)=$A12)))</f>
        <v/>
      </c>
      <c r="J12" s="104" t="str" cm="1">
        <f t="array" aca="1" ref="J12" ca="1">_xlfn.IFS($A12="", "", A12 = Label_Total, "", 1, TEXT(H12, "$#,##0") &amp; " - " &amp; TEXT(I12, "$#,##0"))</f>
        <v/>
      </c>
      <c r="K12" s="107" t="str" cm="1">
        <f t="array" aca="1" ref="K12" ca="1">_xlfn.IFS($A12="", "",1, SUMPRODUCT(_xlfn._xlws.FILTER(INDEX(Rent_Roll_Input_Total, 0,5),INDEX(Rent_Roll_Input_Total, 0,20) = $A12), _xlfn._xlws.FILTER(INDEX(Rent_Roll_Input_Total, 0,7),INDEX(Rent_Roll_Input_Total, 0,20) = $A12)))</f>
        <v/>
      </c>
      <c r="L12" s="107" t="str">
        <f t="shared" si="24"/>
        <v/>
      </c>
      <c r="M12" s="107" t="str">
        <f t="shared" si="25"/>
        <v/>
      </c>
      <c r="N12" s="107" t="str">
        <f t="shared" si="4"/>
        <v/>
      </c>
      <c r="O12" s="107" t="str" cm="1">
        <f t="array" aca="1" ref="O12" ca="1">_xlfn.IFS(A12="", "",1, SUMPRODUCT(_xlfn._xlws.FILTER(INDEX(Rent_Roll_Input_Total, 0,5),INDEX(Rent_Roll_Input_Total, 0,20) = A12), _xlfn._xlws.FILTER(INDEX(Rent_Roll_Input_Total, 0,10),INDEX(Rent_Roll_Input_Total, 0,20) = A12)))</f>
        <v/>
      </c>
      <c r="P12" s="107" t="str">
        <f t="shared" si="26"/>
        <v/>
      </c>
      <c r="Q12" s="107" t="str">
        <f t="shared" si="27"/>
        <v/>
      </c>
      <c r="R12" s="107" t="str">
        <f t="shared" si="7"/>
        <v/>
      </c>
      <c r="S12" s="107" t="str" cm="1">
        <f t="array" aca="1" ref="S12" ca="1">_xlfn.IFS(A12="", "",1, SUMPRODUCT(_xlfn._xlws.FILTER(INDEX(Rent_Roll_Input_Total, 0,5),INDEX(Rent_Roll_Input_Total, 0,20) = A12), _xlfn._xlws.FILTER(INDEX(Rent_Roll_Input_Total, 0,8),INDEX(Rent_Roll_Input_Total, 0,20) = A12)))</f>
        <v/>
      </c>
      <c r="T12" s="107" t="str">
        <f t="shared" si="28"/>
        <v/>
      </c>
      <c r="U12" s="107" t="str">
        <f t="shared" si="29"/>
        <v/>
      </c>
      <c r="V12" s="107" t="str">
        <f t="shared" si="10"/>
        <v/>
      </c>
      <c r="W12" s="107" t="str" cm="1">
        <f t="array" aca="1" ref="W12" ca="1">_xlfn.IFS($A12="", "",1, SUMPRODUCT(_xlfn._xlws.FILTER(INDEX(Rent_Roll_Input_Total, 0,5),INDEX(Rent_Roll_Input_Total, 0,20) = $A12), _xlfn._xlws.FILTER(INDEX(Rent_Roll_Input_Total, 0,9),INDEX(Rent_Roll_Input_Total, 0,20) = $A12)))</f>
        <v/>
      </c>
      <c r="X12" s="107" t="str">
        <f t="shared" si="30"/>
        <v/>
      </c>
      <c r="Y12" s="107" t="str">
        <f t="shared" si="31"/>
        <v/>
      </c>
      <c r="Z12" s="107" t="str">
        <f t="shared" si="32"/>
        <v/>
      </c>
      <c r="AA12" s="287" t="str">
        <f t="shared" si="33"/>
        <v/>
      </c>
      <c r="AB12" s="287" t="str">
        <f t="shared" si="34"/>
        <v/>
      </c>
      <c r="AC12" s="287" t="str">
        <f t="shared" si="35"/>
        <v/>
      </c>
      <c r="AD12" s="287" t="str">
        <f t="shared" si="36"/>
        <v/>
      </c>
      <c r="AE12" s="287" t="str">
        <f t="shared" si="37"/>
        <v/>
      </c>
      <c r="AF12" s="287" t="str">
        <f t="shared" si="38"/>
        <v/>
      </c>
      <c r="AG12" s="287" t="str">
        <f t="shared" si="39"/>
        <v/>
      </c>
      <c r="AH12" s="287" t="str">
        <f t="shared" si="40"/>
        <v/>
      </c>
    </row>
    <row r="13" spans="1:34" x14ac:dyDescent="0.25">
      <c r="A13" s="288"/>
      <c r="B13" s="104" t="str" cm="1">
        <f t="array" ref="B13">_xlfn.IFS(A13="","",1,SUMIFS('Rent Roll Input'!$F$4:$F$214,'Rent Roll Input'!$U$4:$U$214,$A13))</f>
        <v/>
      </c>
      <c r="C13" s="104" t="str" cm="1">
        <f t="array" ref="C13">_xlfn.IFS(B13="","",A13 = Label_Total, 'Rent Roll Input'!$G$4,1,SUMIFS('Rent Roll Input'!$T$5:$T$214,'Rent Roll Input'!$U$5:$U$214,$A13))</f>
        <v/>
      </c>
      <c r="D13" s="106" t="str">
        <f t="shared" si="23"/>
        <v/>
      </c>
      <c r="E13" s="107" t="str" cm="1">
        <f t="array" aca="1" ref="E13" ca="1">_xlfn.IFS($A13 = "", "", $A13 = Label_Total, "", 1, MIN(_xlfn._xlws.FILTER(INDEX(Rent_Roll_Input_Total,0, 10),INDEX(Rent_Roll_Input_Total,0, 20)=$A13)))</f>
        <v/>
      </c>
      <c r="F13" s="107" t="str" cm="1">
        <f t="array" aca="1" ref="F13" ca="1">_xlfn.IFS($A13 = "", "", $A13 = Label_Total, "", 1, MAX(_xlfn._xlws.FILTER(INDEX(Rent_Roll_Input_Total,0, 10),INDEX(Rent_Roll_Input_Total,0, 20)=$A13)))</f>
        <v/>
      </c>
      <c r="G13" s="104" t="str" cm="1">
        <f t="array" aca="1" ref="G13" ca="1">_xlfn.IFS(A13="", "", A13 = Label_Total, "", 1, TEXT(E13, "$#,##0") &amp; " - " &amp; TEXT(F13, "$#,##0"))</f>
        <v/>
      </c>
      <c r="H13" s="107" t="str" cm="1">
        <f t="array" aca="1" ref="H13" ca="1">_xlfn.IFS($A13 = "", "", $A13 = Label_Total, "", 1, MIN(_xlfn._xlws.FILTER(INDEX(Rent_Roll_Input_Total,0, 7),INDEX(Rent_Roll_Input_Total,0, 20)=$A13)))</f>
        <v/>
      </c>
      <c r="I13" s="107" t="str" cm="1">
        <f t="array" aca="1" ref="I13" ca="1">_xlfn.IFS($A13 = "", "", $A13 = Label_Total, "", 1, MAX(_xlfn._xlws.FILTER(INDEX(Rent_Roll_Input_Total,0, 7),INDEX(Rent_Roll_Input_Total,0, 20)=$A13)))</f>
        <v/>
      </c>
      <c r="J13" s="104" t="str" cm="1">
        <f t="array" aca="1" ref="J13" ca="1">_xlfn.IFS($A13="", "", A13 = Label_Total, "", 1, TEXT(H13, "$#,##0") &amp; " - " &amp; TEXT(I13, "$#,##0"))</f>
        <v/>
      </c>
      <c r="K13" s="107" t="str" cm="1">
        <f t="array" aca="1" ref="K13" ca="1">_xlfn.IFS($A13="", "",1, SUMPRODUCT(_xlfn._xlws.FILTER(INDEX(Rent_Roll_Input_Total, 0,5),INDEX(Rent_Roll_Input_Total, 0,20) = $A13), _xlfn._xlws.FILTER(INDEX(Rent_Roll_Input_Total, 0,7),INDEX(Rent_Roll_Input_Total, 0,20) = $A13)))</f>
        <v/>
      </c>
      <c r="L13" s="107" t="str">
        <f t="shared" si="24"/>
        <v/>
      </c>
      <c r="M13" s="107" t="str">
        <f t="shared" si="25"/>
        <v/>
      </c>
      <c r="N13" s="107" t="str">
        <f t="shared" si="4"/>
        <v/>
      </c>
      <c r="O13" s="107" t="str" cm="1">
        <f t="array" aca="1" ref="O13" ca="1">_xlfn.IFS(A13="", "",1, SUMPRODUCT(_xlfn._xlws.FILTER(INDEX(Rent_Roll_Input_Total, 0,5),INDEX(Rent_Roll_Input_Total, 0,20) = A13), _xlfn._xlws.FILTER(INDEX(Rent_Roll_Input_Total, 0,10),INDEX(Rent_Roll_Input_Total, 0,20) = A13)))</f>
        <v/>
      </c>
      <c r="P13" s="107" t="str">
        <f t="shared" si="26"/>
        <v/>
      </c>
      <c r="Q13" s="107" t="str">
        <f t="shared" si="27"/>
        <v/>
      </c>
      <c r="R13" s="107" t="str">
        <f t="shared" si="7"/>
        <v/>
      </c>
      <c r="S13" s="107" t="str" cm="1">
        <f t="array" aca="1" ref="S13" ca="1">_xlfn.IFS(A13="", "",1, SUMPRODUCT(_xlfn._xlws.FILTER(INDEX(Rent_Roll_Input_Total, 0,5),INDEX(Rent_Roll_Input_Total, 0,20) = A13), _xlfn._xlws.FILTER(INDEX(Rent_Roll_Input_Total, 0,8),INDEX(Rent_Roll_Input_Total, 0,20) = A13)))</f>
        <v/>
      </c>
      <c r="T13" s="107" t="str">
        <f t="shared" si="28"/>
        <v/>
      </c>
      <c r="U13" s="107" t="str">
        <f t="shared" si="29"/>
        <v/>
      </c>
      <c r="V13" s="107" t="str">
        <f t="shared" si="10"/>
        <v/>
      </c>
      <c r="W13" s="107" t="str" cm="1">
        <f t="array" aca="1" ref="W13" ca="1">_xlfn.IFS($A13="", "",1, SUMPRODUCT(_xlfn._xlws.FILTER(INDEX(Rent_Roll_Input_Total, 0,5),INDEX(Rent_Roll_Input_Total, 0,20) = $A13), _xlfn._xlws.FILTER(INDEX(Rent_Roll_Input_Total, 0,9),INDEX(Rent_Roll_Input_Total, 0,20) = $A13)))</f>
        <v/>
      </c>
      <c r="X13" s="107" t="str">
        <f t="shared" si="30"/>
        <v/>
      </c>
      <c r="Y13" s="107" t="str">
        <f t="shared" si="31"/>
        <v/>
      </c>
      <c r="Z13" s="107" t="str">
        <f t="shared" si="32"/>
        <v/>
      </c>
      <c r="AA13" s="287" t="str">
        <f t="shared" si="33"/>
        <v/>
      </c>
      <c r="AB13" s="287" t="str">
        <f t="shared" si="34"/>
        <v/>
      </c>
      <c r="AC13" s="287" t="str">
        <f t="shared" si="35"/>
        <v/>
      </c>
      <c r="AD13" s="287" t="str">
        <f t="shared" si="36"/>
        <v/>
      </c>
      <c r="AE13" s="287" t="str">
        <f t="shared" si="37"/>
        <v/>
      </c>
      <c r="AF13" s="287" t="str">
        <f t="shared" si="38"/>
        <v/>
      </c>
      <c r="AG13" s="287" t="str">
        <f t="shared" si="39"/>
        <v/>
      </c>
      <c r="AH13" s="287" t="str">
        <f t="shared" si="40"/>
        <v/>
      </c>
    </row>
    <row r="14" spans="1:34" x14ac:dyDescent="0.25">
      <c r="A14" s="288"/>
      <c r="B14" s="104" t="str" cm="1">
        <f t="array" ref="B14">_xlfn.IFS(A14="","",1,SUMIFS('Rent Roll Input'!$F$4:$F$214,'Rent Roll Input'!$U$4:$U$214,$A14))</f>
        <v/>
      </c>
      <c r="C14" s="104" t="str" cm="1">
        <f t="array" ref="C14">_xlfn.IFS(B14="","",A14 = Label_Total, 'Rent Roll Input'!$G$4,1,SUMIFS('Rent Roll Input'!$T$5:$T$214,'Rent Roll Input'!$U$5:$U$214,$A14))</f>
        <v/>
      </c>
      <c r="D14" s="106" t="str">
        <f t="shared" si="23"/>
        <v/>
      </c>
      <c r="E14" s="107" t="str" cm="1">
        <f t="array" aca="1" ref="E14" ca="1">_xlfn.IFS($A14 = "", "", $A14 = Label_Total, "", 1, MIN(_xlfn._xlws.FILTER(INDEX(Rent_Roll_Input_Total,0, 10),INDEX(Rent_Roll_Input_Total,0, 20)=$A14)))</f>
        <v/>
      </c>
      <c r="F14" s="107" t="str" cm="1">
        <f t="array" aca="1" ref="F14" ca="1">_xlfn.IFS($A14 = "", "", $A14 = Label_Total, "", 1, MAX(_xlfn._xlws.FILTER(INDEX(Rent_Roll_Input_Total,0, 10),INDEX(Rent_Roll_Input_Total,0, 20)=$A14)))</f>
        <v/>
      </c>
      <c r="G14" s="104" t="str" cm="1">
        <f t="array" aca="1" ref="G14" ca="1">_xlfn.IFS(A14="", "", A14 = Label_Total, "", 1, TEXT(E14, "$#,##0") &amp; " - " &amp; TEXT(F14, "$#,##0"))</f>
        <v/>
      </c>
      <c r="H14" s="107" t="str" cm="1">
        <f t="array" aca="1" ref="H14" ca="1">_xlfn.IFS($A14 = "", "", $A14 = Label_Total, "", 1, MIN(_xlfn._xlws.FILTER(INDEX(Rent_Roll_Input_Total,0, 7),INDEX(Rent_Roll_Input_Total,0, 20)=$A14)))</f>
        <v/>
      </c>
      <c r="I14" s="107" t="str" cm="1">
        <f t="array" aca="1" ref="I14" ca="1">_xlfn.IFS($A14 = "", "", $A14 = Label_Total, "", 1, MAX(_xlfn._xlws.FILTER(INDEX(Rent_Roll_Input_Total,0, 7),INDEX(Rent_Roll_Input_Total,0, 20)=$A14)))</f>
        <v/>
      </c>
      <c r="J14" s="104" t="str" cm="1">
        <f t="array" aca="1" ref="J14" ca="1">_xlfn.IFS($A14="", "", A14 = Label_Total, "", 1, TEXT(H14, "$#,##0") &amp; " - " &amp; TEXT(I14, "$#,##0"))</f>
        <v/>
      </c>
      <c r="K14" s="107" t="str" cm="1">
        <f t="array" aca="1" ref="K14" ca="1">_xlfn.IFS($A14="", "",1, SUMPRODUCT(_xlfn._xlws.FILTER(INDEX(Rent_Roll_Input_Total, 0,5),INDEX(Rent_Roll_Input_Total, 0,20) = $A14), _xlfn._xlws.FILTER(INDEX(Rent_Roll_Input_Total, 0,7),INDEX(Rent_Roll_Input_Total, 0,20) = $A14)))</f>
        <v/>
      </c>
      <c r="L14" s="107" t="str">
        <f t="shared" si="24"/>
        <v/>
      </c>
      <c r="M14" s="107" t="str">
        <f t="shared" si="25"/>
        <v/>
      </c>
      <c r="N14" s="107" t="str">
        <f t="shared" si="4"/>
        <v/>
      </c>
      <c r="O14" s="107" t="str" cm="1">
        <f t="array" aca="1" ref="O14" ca="1">_xlfn.IFS(A14="", "",1, SUMPRODUCT(_xlfn._xlws.FILTER(INDEX(Rent_Roll_Input_Total, 0,5),INDEX(Rent_Roll_Input_Total, 0,20) = A14), _xlfn._xlws.FILTER(INDEX(Rent_Roll_Input_Total, 0,10),INDEX(Rent_Roll_Input_Total, 0,20) = A14)))</f>
        <v/>
      </c>
      <c r="P14" s="107" t="str">
        <f t="shared" si="26"/>
        <v/>
      </c>
      <c r="Q14" s="107" t="str">
        <f t="shared" si="27"/>
        <v/>
      </c>
      <c r="R14" s="107" t="str">
        <f t="shared" si="7"/>
        <v/>
      </c>
      <c r="S14" s="107" t="str" cm="1">
        <f t="array" aca="1" ref="S14" ca="1">_xlfn.IFS(A14="", "",1, SUMPRODUCT(_xlfn._xlws.FILTER(INDEX(Rent_Roll_Input_Total, 0,5),INDEX(Rent_Roll_Input_Total, 0,20) = A14), _xlfn._xlws.FILTER(INDEX(Rent_Roll_Input_Total, 0,8),INDEX(Rent_Roll_Input_Total, 0,20) = A14)))</f>
        <v/>
      </c>
      <c r="T14" s="107" t="str">
        <f t="shared" si="28"/>
        <v/>
      </c>
      <c r="U14" s="107" t="str">
        <f t="shared" si="29"/>
        <v/>
      </c>
      <c r="V14" s="107" t="str">
        <f t="shared" si="10"/>
        <v/>
      </c>
      <c r="W14" s="107" t="str" cm="1">
        <f t="array" aca="1" ref="W14" ca="1">_xlfn.IFS($A14="", "",1, SUMPRODUCT(_xlfn._xlws.FILTER(INDEX(Rent_Roll_Input_Total, 0,5),INDEX(Rent_Roll_Input_Total, 0,20) = $A14), _xlfn._xlws.FILTER(INDEX(Rent_Roll_Input_Total, 0,9),INDEX(Rent_Roll_Input_Total, 0,20) = $A14)))</f>
        <v/>
      </c>
      <c r="X14" s="107" t="str">
        <f t="shared" si="30"/>
        <v/>
      </c>
      <c r="Y14" s="107" t="str">
        <f t="shared" si="31"/>
        <v/>
      </c>
      <c r="Z14" s="107" t="str">
        <f t="shared" si="32"/>
        <v/>
      </c>
      <c r="AA14" s="287" t="str">
        <f t="shared" si="33"/>
        <v/>
      </c>
      <c r="AB14" s="287" t="str">
        <f t="shared" si="34"/>
        <v/>
      </c>
      <c r="AC14" s="287" t="str">
        <f t="shared" si="35"/>
        <v/>
      </c>
      <c r="AD14" s="287" t="str">
        <f t="shared" si="36"/>
        <v/>
      </c>
      <c r="AE14" s="287" t="str">
        <f t="shared" si="37"/>
        <v/>
      </c>
      <c r="AF14" s="287" t="str">
        <f t="shared" si="38"/>
        <v/>
      </c>
      <c r="AG14" s="287" t="str">
        <f t="shared" si="39"/>
        <v/>
      </c>
      <c r="AH14" s="287" t="str">
        <f t="shared" si="40"/>
        <v/>
      </c>
    </row>
    <row r="15" spans="1:34" x14ac:dyDescent="0.25">
      <c r="A15" s="288"/>
      <c r="B15" s="104" t="str" cm="1">
        <f t="array" ref="B15">_xlfn.IFS(A15="","",1,SUMIFS('Rent Roll Input'!$F$4:$F$214,'Rent Roll Input'!$U$4:$U$214,$A15))</f>
        <v/>
      </c>
      <c r="C15" s="104" t="str" cm="1">
        <f t="array" ref="C15">_xlfn.IFS(B15="","",A15 = Label_Total, 'Rent Roll Input'!$G$4,1,SUMIFS('Rent Roll Input'!$T$5:$T$214,'Rent Roll Input'!$U$5:$U$214,$A15))</f>
        <v/>
      </c>
      <c r="D15" s="106" t="str">
        <f t="shared" si="23"/>
        <v/>
      </c>
      <c r="E15" s="107" t="str" cm="1">
        <f t="array" aca="1" ref="E15" ca="1">_xlfn.IFS($A15 = "", "", $A15 = Label_Total, "", 1, MIN(_xlfn._xlws.FILTER(INDEX(Rent_Roll_Input_Total,0, 10),INDEX(Rent_Roll_Input_Total,0, 20)=$A15)))</f>
        <v/>
      </c>
      <c r="F15" s="107" t="str" cm="1">
        <f t="array" aca="1" ref="F15" ca="1">_xlfn.IFS($A15 = "", "", $A15 = Label_Total, "", 1, MAX(_xlfn._xlws.FILTER(INDEX(Rent_Roll_Input_Total,0, 10),INDEX(Rent_Roll_Input_Total,0, 20)=$A15)))</f>
        <v/>
      </c>
      <c r="G15" s="104" t="str" cm="1">
        <f t="array" aca="1" ref="G15" ca="1">_xlfn.IFS(A15="", "", A15 = Label_Total, "", 1, TEXT(E15, "$#,##0") &amp; " - " &amp; TEXT(F15, "$#,##0"))</f>
        <v/>
      </c>
      <c r="H15" s="107" t="str" cm="1">
        <f t="array" aca="1" ref="H15" ca="1">_xlfn.IFS($A15 = "", "", $A15 = Label_Total, "", 1, MIN(_xlfn._xlws.FILTER(INDEX(Rent_Roll_Input_Total,0, 7),INDEX(Rent_Roll_Input_Total,0, 20)=$A15)))</f>
        <v/>
      </c>
      <c r="I15" s="107" t="str" cm="1">
        <f t="array" aca="1" ref="I15" ca="1">_xlfn.IFS($A15 = "", "", $A15 = Label_Total, "", 1, MAX(_xlfn._xlws.FILTER(INDEX(Rent_Roll_Input_Total,0, 7),INDEX(Rent_Roll_Input_Total,0, 20)=$A15)))</f>
        <v/>
      </c>
      <c r="J15" s="104" t="str" cm="1">
        <f t="array" aca="1" ref="J15" ca="1">_xlfn.IFS($A15="", "", A15 = Label_Total, "", 1, TEXT(H15, "$#,##0") &amp; " - " &amp; TEXT(I15, "$#,##0"))</f>
        <v/>
      </c>
      <c r="K15" s="107" t="str" cm="1">
        <f t="array" aca="1" ref="K15" ca="1">_xlfn.IFS($A15="", "",1, SUMPRODUCT(_xlfn._xlws.FILTER(INDEX(Rent_Roll_Input_Total, 0,5),INDEX(Rent_Roll_Input_Total, 0,20) = $A15), _xlfn._xlws.FILTER(INDEX(Rent_Roll_Input_Total, 0,7),INDEX(Rent_Roll_Input_Total, 0,20) = $A15)))</f>
        <v/>
      </c>
      <c r="L15" s="107" t="str">
        <f t="shared" si="24"/>
        <v/>
      </c>
      <c r="M15" s="107" t="str">
        <f t="shared" si="25"/>
        <v/>
      </c>
      <c r="N15" s="107" t="str">
        <f t="shared" si="4"/>
        <v/>
      </c>
      <c r="O15" s="107" t="str" cm="1">
        <f t="array" aca="1" ref="O15" ca="1">_xlfn.IFS(A15="", "",1, SUMPRODUCT(_xlfn._xlws.FILTER(INDEX(Rent_Roll_Input_Total, 0,5),INDEX(Rent_Roll_Input_Total, 0,20) = A15), _xlfn._xlws.FILTER(INDEX(Rent_Roll_Input_Total, 0,10),INDEX(Rent_Roll_Input_Total, 0,20) = A15)))</f>
        <v/>
      </c>
      <c r="P15" s="107" t="str">
        <f t="shared" si="26"/>
        <v/>
      </c>
      <c r="Q15" s="107" t="str">
        <f t="shared" si="27"/>
        <v/>
      </c>
      <c r="R15" s="107" t="str">
        <f t="shared" si="7"/>
        <v/>
      </c>
      <c r="S15" s="107" t="str" cm="1">
        <f t="array" aca="1" ref="S15" ca="1">_xlfn.IFS(A15="", "",1, SUMPRODUCT(_xlfn._xlws.FILTER(INDEX(Rent_Roll_Input_Total, 0,5),INDEX(Rent_Roll_Input_Total, 0,20) = A15), _xlfn._xlws.FILTER(INDEX(Rent_Roll_Input_Total, 0,8),INDEX(Rent_Roll_Input_Total, 0,20) = A15)))</f>
        <v/>
      </c>
      <c r="T15" s="107" t="str">
        <f t="shared" si="28"/>
        <v/>
      </c>
      <c r="U15" s="107" t="str">
        <f t="shared" si="29"/>
        <v/>
      </c>
      <c r="V15" s="107" t="str">
        <f t="shared" si="10"/>
        <v/>
      </c>
      <c r="W15" s="107" t="str" cm="1">
        <f t="array" aca="1" ref="W15" ca="1">_xlfn.IFS($A15="", "",1, SUMPRODUCT(_xlfn._xlws.FILTER(INDEX(Rent_Roll_Input_Total, 0,5),INDEX(Rent_Roll_Input_Total, 0,20) = $A15), _xlfn._xlws.FILTER(INDEX(Rent_Roll_Input_Total, 0,9),INDEX(Rent_Roll_Input_Total, 0,20) = $A15)))</f>
        <v/>
      </c>
      <c r="X15" s="107" t="str">
        <f t="shared" si="30"/>
        <v/>
      </c>
      <c r="Y15" s="107" t="str">
        <f t="shared" si="31"/>
        <v/>
      </c>
      <c r="Z15" s="107" t="str">
        <f t="shared" si="32"/>
        <v/>
      </c>
      <c r="AA15" s="287" t="str">
        <f t="shared" si="33"/>
        <v/>
      </c>
      <c r="AB15" s="287" t="str">
        <f t="shared" si="34"/>
        <v/>
      </c>
      <c r="AC15" s="287" t="str">
        <f t="shared" si="35"/>
        <v/>
      </c>
      <c r="AD15" s="287" t="str">
        <f t="shared" si="36"/>
        <v/>
      </c>
      <c r="AE15" s="287" t="str">
        <f t="shared" si="37"/>
        <v/>
      </c>
      <c r="AF15" s="287" t="str">
        <f t="shared" si="38"/>
        <v/>
      </c>
      <c r="AG15" s="287" t="str">
        <f t="shared" si="39"/>
        <v/>
      </c>
      <c r="AH15" s="287" t="str">
        <f t="shared" si="40"/>
        <v/>
      </c>
    </row>
    <row r="16" spans="1:34" x14ac:dyDescent="0.25">
      <c r="A16" s="288"/>
      <c r="B16" s="104" t="str" cm="1">
        <f t="array" ref="B16">_xlfn.IFS(A16="","",1,SUMIFS('Rent Roll Input'!$F$4:$F$214,'Rent Roll Input'!$U$4:$U$214,$A16))</f>
        <v/>
      </c>
      <c r="C16" s="104" t="str" cm="1">
        <f t="array" ref="C16">_xlfn.IFS(B16="","",A16 = Label_Total, 'Rent Roll Input'!$G$4,1,SUMIFS('Rent Roll Input'!$T$5:$T$214,'Rent Roll Input'!$U$5:$U$214,$A16))</f>
        <v/>
      </c>
      <c r="D16" s="106" t="str">
        <f t="shared" si="23"/>
        <v/>
      </c>
      <c r="E16" s="107" t="str" cm="1">
        <f t="array" aca="1" ref="E16" ca="1">_xlfn.IFS($A16 = "", "", $A16 = Label_Total, "", 1, MIN(_xlfn._xlws.FILTER(INDEX(Rent_Roll_Input_Total,0, 10),INDEX(Rent_Roll_Input_Total,0, 20)=$A16)))</f>
        <v/>
      </c>
      <c r="F16" s="107" t="str" cm="1">
        <f t="array" aca="1" ref="F16" ca="1">_xlfn.IFS($A16 = "", "", $A16 = Label_Total, "", 1, MAX(_xlfn._xlws.FILTER(INDEX(Rent_Roll_Input_Total,0, 10),INDEX(Rent_Roll_Input_Total,0, 20)=$A16)))</f>
        <v/>
      </c>
      <c r="G16" s="104" t="str" cm="1">
        <f t="array" aca="1" ref="G16" ca="1">_xlfn.IFS(A16="", "", A16 = Label_Total, "", 1, TEXT(E16, "$#,##0") &amp; " - " &amp; TEXT(F16, "$#,##0"))</f>
        <v/>
      </c>
      <c r="H16" s="107" t="str" cm="1">
        <f t="array" aca="1" ref="H16" ca="1">_xlfn.IFS($A16 = "", "", $A16 = Label_Total, "", 1, MIN(_xlfn._xlws.FILTER(INDEX(Rent_Roll_Input_Total,0, 7),INDEX(Rent_Roll_Input_Total,0, 20)=$A16)))</f>
        <v/>
      </c>
      <c r="I16" s="107" t="str" cm="1">
        <f t="array" aca="1" ref="I16" ca="1">_xlfn.IFS($A16 = "", "", $A16 = Label_Total, "", 1, MAX(_xlfn._xlws.FILTER(INDEX(Rent_Roll_Input_Total,0, 7),INDEX(Rent_Roll_Input_Total,0, 20)=$A16)))</f>
        <v/>
      </c>
      <c r="J16" s="104" t="str" cm="1">
        <f t="array" aca="1" ref="J16" ca="1">_xlfn.IFS($A16="", "", A16 = Label_Total, "", 1, TEXT(H16, "$#,##0") &amp; " - " &amp; TEXT(I16, "$#,##0"))</f>
        <v/>
      </c>
      <c r="K16" s="107" t="str" cm="1">
        <f t="array" aca="1" ref="K16" ca="1">_xlfn.IFS($A16="", "",1, SUMPRODUCT(_xlfn._xlws.FILTER(INDEX(Rent_Roll_Input_Total, 0,5),INDEX(Rent_Roll_Input_Total, 0,20) = $A16), _xlfn._xlws.FILTER(INDEX(Rent_Roll_Input_Total, 0,7),INDEX(Rent_Roll_Input_Total, 0,20) = $A16)))</f>
        <v/>
      </c>
      <c r="L16" s="107" t="str">
        <f t="shared" si="24"/>
        <v/>
      </c>
      <c r="M16" s="107" t="str">
        <f t="shared" si="25"/>
        <v/>
      </c>
      <c r="N16" s="107" t="str">
        <f t="shared" si="4"/>
        <v/>
      </c>
      <c r="O16" s="107" t="str" cm="1">
        <f t="array" aca="1" ref="O16" ca="1">_xlfn.IFS(A16="", "",1, SUMPRODUCT(_xlfn._xlws.FILTER(INDEX(Rent_Roll_Input_Total, 0,5),INDEX(Rent_Roll_Input_Total, 0,20) = A16), _xlfn._xlws.FILTER(INDEX(Rent_Roll_Input_Total, 0,10),INDEX(Rent_Roll_Input_Total, 0,20) = A16)))</f>
        <v/>
      </c>
      <c r="P16" s="107" t="str">
        <f t="shared" si="26"/>
        <v/>
      </c>
      <c r="Q16" s="107" t="str">
        <f t="shared" si="27"/>
        <v/>
      </c>
      <c r="R16" s="107" t="str">
        <f t="shared" si="7"/>
        <v/>
      </c>
      <c r="S16" s="107" t="str" cm="1">
        <f t="array" aca="1" ref="S16" ca="1">_xlfn.IFS(A16="", "",1, SUMPRODUCT(_xlfn._xlws.FILTER(INDEX(Rent_Roll_Input_Total, 0,5),INDEX(Rent_Roll_Input_Total, 0,20) = A16), _xlfn._xlws.FILTER(INDEX(Rent_Roll_Input_Total, 0,8),INDEX(Rent_Roll_Input_Total, 0,20) = A16)))</f>
        <v/>
      </c>
      <c r="T16" s="107" t="str">
        <f t="shared" si="28"/>
        <v/>
      </c>
      <c r="U16" s="107" t="str">
        <f t="shared" si="29"/>
        <v/>
      </c>
      <c r="V16" s="107" t="str">
        <f t="shared" si="10"/>
        <v/>
      </c>
      <c r="W16" s="107" t="str" cm="1">
        <f t="array" aca="1" ref="W16" ca="1">_xlfn.IFS($A16="", "",1, SUMPRODUCT(_xlfn._xlws.FILTER(INDEX(Rent_Roll_Input_Total, 0,5),INDEX(Rent_Roll_Input_Total, 0,20) = $A16), _xlfn._xlws.FILTER(INDEX(Rent_Roll_Input_Total, 0,9),INDEX(Rent_Roll_Input_Total, 0,20) = $A16)))</f>
        <v/>
      </c>
      <c r="X16" s="107" t="str">
        <f t="shared" si="30"/>
        <v/>
      </c>
      <c r="Y16" s="107" t="str">
        <f t="shared" si="31"/>
        <v/>
      </c>
      <c r="Z16" s="107" t="str">
        <f t="shared" si="32"/>
        <v/>
      </c>
      <c r="AA16" s="287" t="str">
        <f t="shared" si="33"/>
        <v/>
      </c>
      <c r="AB16" s="287" t="str">
        <f t="shared" si="34"/>
        <v/>
      </c>
      <c r="AC16" s="287" t="str">
        <f t="shared" si="35"/>
        <v/>
      </c>
      <c r="AD16" s="287" t="str">
        <f t="shared" si="36"/>
        <v/>
      </c>
      <c r="AE16" s="287" t="str">
        <f t="shared" si="37"/>
        <v/>
      </c>
      <c r="AF16" s="287" t="str">
        <f t="shared" si="38"/>
        <v/>
      </c>
      <c r="AG16" s="287" t="str">
        <f t="shared" si="39"/>
        <v/>
      </c>
      <c r="AH16" s="287" t="str">
        <f t="shared" si="40"/>
        <v/>
      </c>
    </row>
    <row r="17" spans="1:34" x14ac:dyDescent="0.25">
      <c r="A17" s="288"/>
      <c r="B17" s="104" t="str" cm="1">
        <f t="array" ref="B17">_xlfn.IFS(A17="","",1,SUMIFS('Rent Roll Input'!$F$4:$F$214,'Rent Roll Input'!$U$4:$U$214,$A17))</f>
        <v/>
      </c>
      <c r="C17" s="104" t="str" cm="1">
        <f t="array" ref="C17">_xlfn.IFS(B17="","",A17 = Label_Total, 'Rent Roll Input'!$G$4,1,SUMIFS('Rent Roll Input'!$T$5:$T$214,'Rent Roll Input'!$U$5:$U$214,$A17))</f>
        <v/>
      </c>
      <c r="D17" s="106" t="str">
        <f t="shared" si="23"/>
        <v/>
      </c>
      <c r="E17" s="107" t="str" cm="1">
        <f t="array" aca="1" ref="E17" ca="1">_xlfn.IFS($A17 = "", "", $A17 = Label_Total, "", 1, MIN(_xlfn._xlws.FILTER(INDEX(Rent_Roll_Input_Total,0, 10),INDEX(Rent_Roll_Input_Total,0, 20)=$A17)))</f>
        <v/>
      </c>
      <c r="F17" s="107" t="str" cm="1">
        <f t="array" aca="1" ref="F17" ca="1">_xlfn.IFS($A17 = "", "", $A17 = Label_Total, "", 1, MAX(_xlfn._xlws.FILTER(INDEX(Rent_Roll_Input_Total,0, 10),INDEX(Rent_Roll_Input_Total,0, 20)=$A17)))</f>
        <v/>
      </c>
      <c r="G17" s="104" t="str" cm="1">
        <f t="array" aca="1" ref="G17" ca="1">_xlfn.IFS(A17="", "", A17 = Label_Total, "", 1, TEXT(E17, "$#,##0") &amp; " - " &amp; TEXT(F17, "$#,##0"))</f>
        <v/>
      </c>
      <c r="H17" s="107" t="str" cm="1">
        <f t="array" aca="1" ref="H17" ca="1">_xlfn.IFS($A17 = "", "", $A17 = Label_Total, "", 1, MIN(_xlfn._xlws.FILTER(INDEX(Rent_Roll_Input_Total,0, 7),INDEX(Rent_Roll_Input_Total,0, 20)=$A17)))</f>
        <v/>
      </c>
      <c r="I17" s="107" t="str" cm="1">
        <f t="array" aca="1" ref="I17" ca="1">_xlfn.IFS($A17 = "", "", $A17 = Label_Total, "", 1, MAX(_xlfn._xlws.FILTER(INDEX(Rent_Roll_Input_Total,0, 7),INDEX(Rent_Roll_Input_Total,0, 20)=$A17)))</f>
        <v/>
      </c>
      <c r="J17" s="104" t="str" cm="1">
        <f t="array" aca="1" ref="J17" ca="1">_xlfn.IFS($A17="", "", A17 = Label_Total, "", 1, TEXT(H17, "$#,##0") &amp; " - " &amp; TEXT(I17, "$#,##0"))</f>
        <v/>
      </c>
      <c r="K17" s="107" t="str" cm="1">
        <f t="array" aca="1" ref="K17" ca="1">_xlfn.IFS($A17="", "",1, SUMPRODUCT(_xlfn._xlws.FILTER(INDEX(Rent_Roll_Input_Total, 0,5),INDEX(Rent_Roll_Input_Total, 0,20) = $A17), _xlfn._xlws.FILTER(INDEX(Rent_Roll_Input_Total, 0,7),INDEX(Rent_Roll_Input_Total, 0,20) = $A17)))</f>
        <v/>
      </c>
      <c r="L17" s="107" t="str">
        <f t="shared" si="24"/>
        <v/>
      </c>
      <c r="M17" s="107" t="str">
        <f t="shared" si="25"/>
        <v/>
      </c>
      <c r="N17" s="107" t="str">
        <f t="shared" si="4"/>
        <v/>
      </c>
      <c r="O17" s="107" t="str" cm="1">
        <f t="array" aca="1" ref="O17" ca="1">_xlfn.IFS(A17="", "",1, SUMPRODUCT(_xlfn._xlws.FILTER(INDEX(Rent_Roll_Input_Total, 0,5),INDEX(Rent_Roll_Input_Total, 0,20) = A17), _xlfn._xlws.FILTER(INDEX(Rent_Roll_Input_Total, 0,10),INDEX(Rent_Roll_Input_Total, 0,20) = A17)))</f>
        <v/>
      </c>
      <c r="P17" s="107" t="str">
        <f t="shared" si="26"/>
        <v/>
      </c>
      <c r="Q17" s="107" t="str">
        <f t="shared" si="27"/>
        <v/>
      </c>
      <c r="R17" s="107" t="str">
        <f t="shared" si="7"/>
        <v/>
      </c>
      <c r="S17" s="107" t="str" cm="1">
        <f t="array" aca="1" ref="S17" ca="1">_xlfn.IFS(A17="", "",1, SUMPRODUCT(_xlfn._xlws.FILTER(INDEX(Rent_Roll_Input_Total, 0,5),INDEX(Rent_Roll_Input_Total, 0,20) = A17), _xlfn._xlws.FILTER(INDEX(Rent_Roll_Input_Total, 0,8),INDEX(Rent_Roll_Input_Total, 0,20) = A17)))</f>
        <v/>
      </c>
      <c r="T17" s="107" t="str">
        <f t="shared" si="28"/>
        <v/>
      </c>
      <c r="U17" s="107" t="str">
        <f t="shared" si="29"/>
        <v/>
      </c>
      <c r="V17" s="107" t="str">
        <f t="shared" si="10"/>
        <v/>
      </c>
      <c r="W17" s="107" t="str" cm="1">
        <f t="array" aca="1" ref="W17" ca="1">_xlfn.IFS($A17="", "",1, SUMPRODUCT(_xlfn._xlws.FILTER(INDEX(Rent_Roll_Input_Total, 0,5),INDEX(Rent_Roll_Input_Total, 0,20) = $A17), _xlfn._xlws.FILTER(INDEX(Rent_Roll_Input_Total, 0,9),INDEX(Rent_Roll_Input_Total, 0,20) = $A17)))</f>
        <v/>
      </c>
      <c r="X17" s="107" t="str">
        <f t="shared" si="30"/>
        <v/>
      </c>
      <c r="Y17" s="107" t="str">
        <f t="shared" si="31"/>
        <v/>
      </c>
      <c r="Z17" s="107" t="str">
        <f t="shared" si="32"/>
        <v/>
      </c>
      <c r="AA17" s="287" t="str">
        <f t="shared" si="33"/>
        <v/>
      </c>
      <c r="AB17" s="287" t="str">
        <f t="shared" si="34"/>
        <v/>
      </c>
      <c r="AC17" s="287" t="str">
        <f t="shared" si="35"/>
        <v/>
      </c>
      <c r="AD17" s="287" t="str">
        <f t="shared" si="36"/>
        <v/>
      </c>
      <c r="AE17" s="287" t="str">
        <f t="shared" si="37"/>
        <v/>
      </c>
      <c r="AF17" s="287" t="str">
        <f t="shared" si="38"/>
        <v/>
      </c>
      <c r="AG17" s="287" t="str">
        <f t="shared" si="39"/>
        <v/>
      </c>
      <c r="AH17" s="287" t="str">
        <f t="shared" si="40"/>
        <v/>
      </c>
    </row>
    <row r="18" spans="1:34" x14ac:dyDescent="0.25">
      <c r="A18" s="288"/>
      <c r="B18" s="104" t="str" cm="1">
        <f t="array" ref="B18">_xlfn.IFS(A18="","",1,SUMIFS('Rent Roll Input'!$F$4:$F$214,'Rent Roll Input'!$U$4:$U$214,$A18))</f>
        <v/>
      </c>
      <c r="C18" s="104" t="str" cm="1">
        <f t="array" ref="C18">_xlfn.IFS(B18="","",A18 = Label_Total, 'Rent Roll Input'!$G$4,1,SUMIFS('Rent Roll Input'!$T$5:$T$214,'Rent Roll Input'!$U$5:$U$214,$A18))</f>
        <v/>
      </c>
      <c r="D18" s="106" t="str">
        <f t="shared" si="23"/>
        <v/>
      </c>
      <c r="E18" s="107" t="str" cm="1">
        <f t="array" aca="1" ref="E18" ca="1">_xlfn.IFS($A18 = "", "", $A18 = Label_Total, "", 1, MIN(_xlfn._xlws.FILTER(INDEX(Rent_Roll_Input_Total,0, 10),INDEX(Rent_Roll_Input_Total,0, 20)=$A18)))</f>
        <v/>
      </c>
      <c r="F18" s="107" t="str" cm="1">
        <f t="array" aca="1" ref="F18" ca="1">_xlfn.IFS($A18 = "", "", $A18 = Label_Total, "", 1, MAX(_xlfn._xlws.FILTER(INDEX(Rent_Roll_Input_Total,0, 10),INDEX(Rent_Roll_Input_Total,0, 20)=$A18)))</f>
        <v/>
      </c>
      <c r="G18" s="104" t="str" cm="1">
        <f t="array" aca="1" ref="G18" ca="1">_xlfn.IFS(A18="", "", A18 = Label_Total, "", 1, TEXT(E18, "$#,##0") &amp; " - " &amp; TEXT(F18, "$#,##0"))</f>
        <v/>
      </c>
      <c r="H18" s="107" t="str" cm="1">
        <f t="array" aca="1" ref="H18" ca="1">_xlfn.IFS($A18 = "", "", $A18 = Label_Total, "", 1, MIN(_xlfn._xlws.FILTER(INDEX(Rent_Roll_Input_Total,0, 7),INDEX(Rent_Roll_Input_Total,0, 20)=$A18)))</f>
        <v/>
      </c>
      <c r="I18" s="107" t="str" cm="1">
        <f t="array" aca="1" ref="I18" ca="1">_xlfn.IFS($A18 = "", "", $A18 = Label_Total, "", 1, MAX(_xlfn._xlws.FILTER(INDEX(Rent_Roll_Input_Total,0, 7),INDEX(Rent_Roll_Input_Total,0, 20)=$A18)))</f>
        <v/>
      </c>
      <c r="J18" s="104" t="str" cm="1">
        <f t="array" aca="1" ref="J18" ca="1">_xlfn.IFS($A18="", "", A18 = Label_Total, "", 1, TEXT(H18, "$#,##0") &amp; " - " &amp; TEXT(I18, "$#,##0"))</f>
        <v/>
      </c>
      <c r="K18" s="107" t="str" cm="1">
        <f t="array" aca="1" ref="K18" ca="1">_xlfn.IFS($A18="", "",1, SUMPRODUCT(_xlfn._xlws.FILTER(INDEX(Rent_Roll_Input_Total, 0,5),INDEX(Rent_Roll_Input_Total, 0,20) = $A18), _xlfn._xlws.FILTER(INDEX(Rent_Roll_Input_Total, 0,7),INDEX(Rent_Roll_Input_Total, 0,20) = $A18)))</f>
        <v/>
      </c>
      <c r="L18" s="107" t="str">
        <f t="shared" si="24"/>
        <v/>
      </c>
      <c r="M18" s="107" t="str">
        <f t="shared" si="25"/>
        <v/>
      </c>
      <c r="N18" s="107" t="str">
        <f t="shared" si="4"/>
        <v/>
      </c>
      <c r="O18" s="107" t="str" cm="1">
        <f t="array" aca="1" ref="O18" ca="1">_xlfn.IFS(A18="", "",1, SUMPRODUCT(_xlfn._xlws.FILTER(INDEX(Rent_Roll_Input_Total, 0,5),INDEX(Rent_Roll_Input_Total, 0,20) = A18), _xlfn._xlws.FILTER(INDEX(Rent_Roll_Input_Total, 0,10),INDEX(Rent_Roll_Input_Total, 0,20) = A18)))</f>
        <v/>
      </c>
      <c r="P18" s="107" t="str">
        <f t="shared" si="26"/>
        <v/>
      </c>
      <c r="Q18" s="107" t="str">
        <f t="shared" si="27"/>
        <v/>
      </c>
      <c r="R18" s="107" t="str">
        <f t="shared" si="7"/>
        <v/>
      </c>
      <c r="S18" s="107" t="str" cm="1">
        <f t="array" aca="1" ref="S18" ca="1">_xlfn.IFS(A18="", "",1, SUMPRODUCT(_xlfn._xlws.FILTER(INDEX(Rent_Roll_Input_Total, 0,5),INDEX(Rent_Roll_Input_Total, 0,20) = A18), _xlfn._xlws.FILTER(INDEX(Rent_Roll_Input_Total, 0,8),INDEX(Rent_Roll_Input_Total, 0,20) = A18)))</f>
        <v/>
      </c>
      <c r="T18" s="107" t="str">
        <f t="shared" si="28"/>
        <v/>
      </c>
      <c r="U18" s="107" t="str">
        <f t="shared" si="29"/>
        <v/>
      </c>
      <c r="V18" s="107" t="str">
        <f t="shared" si="10"/>
        <v/>
      </c>
      <c r="W18" s="107" t="str" cm="1">
        <f t="array" aca="1" ref="W18" ca="1">_xlfn.IFS($A18="", "",1, SUMPRODUCT(_xlfn._xlws.FILTER(INDEX(Rent_Roll_Input_Total, 0,5),INDEX(Rent_Roll_Input_Total, 0,20) = $A18), _xlfn._xlws.FILTER(INDEX(Rent_Roll_Input_Total, 0,9),INDEX(Rent_Roll_Input_Total, 0,20) = $A18)))</f>
        <v/>
      </c>
      <c r="X18" s="107" t="str">
        <f t="shared" si="30"/>
        <v/>
      </c>
      <c r="Y18" s="107" t="str">
        <f t="shared" si="31"/>
        <v/>
      </c>
      <c r="Z18" s="107" t="str">
        <f t="shared" si="32"/>
        <v/>
      </c>
      <c r="AA18" s="287" t="str">
        <f t="shared" si="33"/>
        <v/>
      </c>
      <c r="AB18" s="287" t="str">
        <f t="shared" si="34"/>
        <v/>
      </c>
      <c r="AC18" s="287" t="str">
        <f t="shared" si="35"/>
        <v/>
      </c>
      <c r="AD18" s="287" t="str">
        <f t="shared" si="36"/>
        <v/>
      </c>
      <c r="AE18" s="287" t="str">
        <f t="shared" si="37"/>
        <v/>
      </c>
      <c r="AF18" s="287" t="str">
        <f t="shared" si="38"/>
        <v/>
      </c>
      <c r="AG18" s="287" t="str">
        <f t="shared" si="39"/>
        <v/>
      </c>
      <c r="AH18" s="287" t="str">
        <f t="shared" si="40"/>
        <v/>
      </c>
    </row>
    <row r="19" spans="1:34" x14ac:dyDescent="0.25">
      <c r="A19" s="288"/>
      <c r="B19" s="104" t="str" cm="1">
        <f t="array" ref="B19">_xlfn.IFS(A19="","",1,SUMIFS('Rent Roll Input'!$F$4:$F$214,'Rent Roll Input'!$U$4:$U$214,$A19))</f>
        <v/>
      </c>
      <c r="C19" s="104" t="str" cm="1">
        <f t="array" ref="C19">_xlfn.IFS(B19="","",A19 = Label_Total, 'Rent Roll Input'!$G$4,1,SUMIFS('Rent Roll Input'!$T$5:$T$214,'Rent Roll Input'!$U$5:$U$214,$A19))</f>
        <v/>
      </c>
      <c r="D19" s="106" t="str">
        <f t="shared" si="23"/>
        <v/>
      </c>
      <c r="E19" s="107" t="str" cm="1">
        <f t="array" aca="1" ref="E19" ca="1">_xlfn.IFS($A19 = "", "", $A19 = Label_Total, "", 1, MIN(_xlfn._xlws.FILTER(INDEX(Rent_Roll_Input_Total,0, 10),INDEX(Rent_Roll_Input_Total,0, 20)=$A19)))</f>
        <v/>
      </c>
      <c r="F19" s="107" t="str" cm="1">
        <f t="array" aca="1" ref="F19" ca="1">_xlfn.IFS($A19 = "", "", $A19 = Label_Total, "", 1, MAX(_xlfn._xlws.FILTER(INDEX(Rent_Roll_Input_Total,0, 10),INDEX(Rent_Roll_Input_Total,0, 20)=$A19)))</f>
        <v/>
      </c>
      <c r="G19" s="104" t="str" cm="1">
        <f t="array" aca="1" ref="G19" ca="1">_xlfn.IFS(A19="", "", A19 = Label_Total, "", 1, TEXT(E19, "$#,##0") &amp; " - " &amp; TEXT(F19, "$#,##0"))</f>
        <v/>
      </c>
      <c r="H19" s="107" t="str" cm="1">
        <f t="array" aca="1" ref="H19" ca="1">_xlfn.IFS($A19 = "", "", $A19 = Label_Total, "", 1, MIN(_xlfn._xlws.FILTER(INDEX(Rent_Roll_Input_Total,0, 7),INDEX(Rent_Roll_Input_Total,0, 20)=$A19)))</f>
        <v/>
      </c>
      <c r="I19" s="107" t="str" cm="1">
        <f t="array" aca="1" ref="I19" ca="1">_xlfn.IFS($A19 = "", "", $A19 = Label_Total, "", 1, MAX(_xlfn._xlws.FILTER(INDEX(Rent_Roll_Input_Total,0, 7),INDEX(Rent_Roll_Input_Total,0, 20)=$A19)))</f>
        <v/>
      </c>
      <c r="J19" s="104" t="str" cm="1">
        <f t="array" aca="1" ref="J19" ca="1">_xlfn.IFS($A19="", "", A19 = Label_Total, "", 1, TEXT(H19, "$#,##0") &amp; " - " &amp; TEXT(I19, "$#,##0"))</f>
        <v/>
      </c>
      <c r="K19" s="107" t="str" cm="1">
        <f t="array" aca="1" ref="K19" ca="1">_xlfn.IFS($A19="", "",1, SUMPRODUCT(_xlfn._xlws.FILTER(INDEX(Rent_Roll_Input_Total, 0,5),INDEX(Rent_Roll_Input_Total, 0,20) = $A19), _xlfn._xlws.FILTER(INDEX(Rent_Roll_Input_Total, 0,7),INDEX(Rent_Roll_Input_Total, 0,20) = $A19)))</f>
        <v/>
      </c>
      <c r="L19" s="107" t="str">
        <f t="shared" si="24"/>
        <v/>
      </c>
      <c r="M19" s="107" t="str">
        <f t="shared" si="25"/>
        <v/>
      </c>
      <c r="N19" s="107" t="str">
        <f t="shared" si="4"/>
        <v/>
      </c>
      <c r="O19" s="107" t="str" cm="1">
        <f t="array" aca="1" ref="O19" ca="1">_xlfn.IFS(A19="", "",1, SUMPRODUCT(_xlfn._xlws.FILTER(INDEX(Rent_Roll_Input_Total, 0,5),INDEX(Rent_Roll_Input_Total, 0,20) = A19), _xlfn._xlws.FILTER(INDEX(Rent_Roll_Input_Total, 0,10),INDEX(Rent_Roll_Input_Total, 0,20) = A19)))</f>
        <v/>
      </c>
      <c r="P19" s="107" t="str">
        <f t="shared" si="26"/>
        <v/>
      </c>
      <c r="Q19" s="107" t="str">
        <f t="shared" si="27"/>
        <v/>
      </c>
      <c r="R19" s="107" t="str">
        <f t="shared" si="7"/>
        <v/>
      </c>
      <c r="S19" s="107" t="str" cm="1">
        <f t="array" aca="1" ref="S19" ca="1">_xlfn.IFS(A19="", "",1, SUMPRODUCT(_xlfn._xlws.FILTER(INDEX(Rent_Roll_Input_Total, 0,5),INDEX(Rent_Roll_Input_Total, 0,20) = A19), _xlfn._xlws.FILTER(INDEX(Rent_Roll_Input_Total, 0,8),INDEX(Rent_Roll_Input_Total, 0,20) = A19)))</f>
        <v/>
      </c>
      <c r="T19" s="107" t="str">
        <f t="shared" si="28"/>
        <v/>
      </c>
      <c r="U19" s="107" t="str">
        <f t="shared" si="29"/>
        <v/>
      </c>
      <c r="V19" s="107" t="str">
        <f t="shared" si="10"/>
        <v/>
      </c>
      <c r="W19" s="107" t="str" cm="1">
        <f t="array" aca="1" ref="W19" ca="1">_xlfn.IFS($A19="", "",1, SUMPRODUCT(_xlfn._xlws.FILTER(INDEX(Rent_Roll_Input_Total, 0,5),INDEX(Rent_Roll_Input_Total, 0,20) = $A19), _xlfn._xlws.FILTER(INDEX(Rent_Roll_Input_Total, 0,9),INDEX(Rent_Roll_Input_Total, 0,20) = $A19)))</f>
        <v/>
      </c>
      <c r="X19" s="107" t="str">
        <f t="shared" si="30"/>
        <v/>
      </c>
      <c r="Y19" s="107" t="str">
        <f t="shared" si="31"/>
        <v/>
      </c>
      <c r="Z19" s="107" t="str">
        <f t="shared" si="32"/>
        <v/>
      </c>
      <c r="AA19" s="287" t="str">
        <f t="shared" si="33"/>
        <v/>
      </c>
      <c r="AB19" s="287" t="str">
        <f t="shared" si="34"/>
        <v/>
      </c>
      <c r="AC19" s="287" t="str">
        <f t="shared" si="35"/>
        <v/>
      </c>
      <c r="AD19" s="287" t="str">
        <f t="shared" si="36"/>
        <v/>
      </c>
      <c r="AE19" s="287" t="str">
        <f t="shared" si="37"/>
        <v/>
      </c>
      <c r="AF19" s="287" t="str">
        <f t="shared" si="38"/>
        <v/>
      </c>
      <c r="AG19" s="287" t="str">
        <f t="shared" si="39"/>
        <v/>
      </c>
      <c r="AH19" s="287" t="str">
        <f t="shared" si="40"/>
        <v/>
      </c>
    </row>
    <row r="20" spans="1:34" x14ac:dyDescent="0.25">
      <c r="A20" s="288"/>
      <c r="B20" s="104" t="str" cm="1">
        <f t="array" ref="B20">_xlfn.IFS(A20="","",1,SUMIFS('Rent Roll Input'!$F$4:$F$214,'Rent Roll Input'!$U$4:$U$214,$A20))</f>
        <v/>
      </c>
      <c r="C20" s="104" t="str" cm="1">
        <f t="array" ref="C20">_xlfn.IFS(B20="","",A20 = Label_Total, 'Rent Roll Input'!$G$4,1,SUMIFS('Rent Roll Input'!$T$5:$T$214,'Rent Roll Input'!$U$5:$U$214,$A20))</f>
        <v/>
      </c>
      <c r="D20" s="106" t="str">
        <f t="shared" si="23"/>
        <v/>
      </c>
      <c r="E20" s="107" t="str" cm="1">
        <f t="array" aca="1" ref="E20" ca="1">_xlfn.IFS($A20 = "", "", $A20 = Label_Total, "", 1, MIN(_xlfn._xlws.FILTER(INDEX(Rent_Roll_Input_Total,0, 10),INDEX(Rent_Roll_Input_Total,0, 20)=$A20)))</f>
        <v/>
      </c>
      <c r="F20" s="107" t="str" cm="1">
        <f t="array" aca="1" ref="F20" ca="1">_xlfn.IFS($A20 = "", "", $A20 = Label_Total, "", 1, MAX(_xlfn._xlws.FILTER(INDEX(Rent_Roll_Input_Total,0, 10),INDEX(Rent_Roll_Input_Total,0, 20)=$A20)))</f>
        <v/>
      </c>
      <c r="G20" s="104" t="str" cm="1">
        <f t="array" aca="1" ref="G20" ca="1">_xlfn.IFS(A20="", "", A20 = Label_Total, "", 1, TEXT(E20, "$#,##0") &amp; " - " &amp; TEXT(F20, "$#,##0"))</f>
        <v/>
      </c>
      <c r="H20" s="107" t="str" cm="1">
        <f t="array" aca="1" ref="H20" ca="1">_xlfn.IFS($A20 = "", "", $A20 = Label_Total, "", 1, MIN(_xlfn._xlws.FILTER(INDEX(Rent_Roll_Input_Total,0, 7),INDEX(Rent_Roll_Input_Total,0, 20)=$A20)))</f>
        <v/>
      </c>
      <c r="I20" s="107" t="str" cm="1">
        <f t="array" aca="1" ref="I20" ca="1">_xlfn.IFS($A20 = "", "", $A20 = Label_Total, "", 1, MAX(_xlfn._xlws.FILTER(INDEX(Rent_Roll_Input_Total,0, 7),INDEX(Rent_Roll_Input_Total,0, 20)=$A20)))</f>
        <v/>
      </c>
      <c r="J20" s="104" t="str" cm="1">
        <f t="array" aca="1" ref="J20" ca="1">_xlfn.IFS($A20="", "", A20 = Label_Total, "", 1, TEXT(H20, "$#,##0") &amp; " - " &amp; TEXT(I20, "$#,##0"))</f>
        <v/>
      </c>
      <c r="K20" s="107" t="str" cm="1">
        <f t="array" aca="1" ref="K20" ca="1">_xlfn.IFS($A20="", "",1, SUMPRODUCT(_xlfn._xlws.FILTER(INDEX(Rent_Roll_Input_Total, 0,5),INDEX(Rent_Roll_Input_Total, 0,20) = $A20), _xlfn._xlws.FILTER(INDEX(Rent_Roll_Input_Total, 0,7),INDEX(Rent_Roll_Input_Total, 0,20) = $A20)))</f>
        <v/>
      </c>
      <c r="L20" s="107" t="str">
        <f t="shared" si="24"/>
        <v/>
      </c>
      <c r="M20" s="107" t="str">
        <f t="shared" si="25"/>
        <v/>
      </c>
      <c r="N20" s="107" t="str">
        <f t="shared" si="4"/>
        <v/>
      </c>
      <c r="O20" s="107" t="str" cm="1">
        <f t="array" aca="1" ref="O20" ca="1">_xlfn.IFS(A20="", "",1, SUMPRODUCT(_xlfn._xlws.FILTER(INDEX(Rent_Roll_Input_Total, 0,5),INDEX(Rent_Roll_Input_Total, 0,20) = A20), _xlfn._xlws.FILTER(INDEX(Rent_Roll_Input_Total, 0,10),INDEX(Rent_Roll_Input_Total, 0,20) = A20)))</f>
        <v/>
      </c>
      <c r="P20" s="107" t="str">
        <f t="shared" si="26"/>
        <v/>
      </c>
      <c r="Q20" s="107" t="str">
        <f t="shared" si="27"/>
        <v/>
      </c>
      <c r="R20" s="107" t="str">
        <f t="shared" si="7"/>
        <v/>
      </c>
      <c r="S20" s="107" t="str" cm="1">
        <f t="array" aca="1" ref="S20" ca="1">_xlfn.IFS(A20="", "",1, SUMPRODUCT(_xlfn._xlws.FILTER(INDEX(Rent_Roll_Input_Total, 0,5),INDEX(Rent_Roll_Input_Total, 0,20) = A20), _xlfn._xlws.FILTER(INDEX(Rent_Roll_Input_Total, 0,8),INDEX(Rent_Roll_Input_Total, 0,20) = A20)))</f>
        <v/>
      </c>
      <c r="T20" s="107" t="str">
        <f t="shared" si="28"/>
        <v/>
      </c>
      <c r="U20" s="107" t="str">
        <f t="shared" si="29"/>
        <v/>
      </c>
      <c r="V20" s="107" t="str">
        <f t="shared" si="10"/>
        <v/>
      </c>
      <c r="W20" s="107" t="str" cm="1">
        <f t="array" aca="1" ref="W20" ca="1">_xlfn.IFS($A20="", "",1, SUMPRODUCT(_xlfn._xlws.FILTER(INDEX(Rent_Roll_Input_Total, 0,5),INDEX(Rent_Roll_Input_Total, 0,20) = $A20), _xlfn._xlws.FILTER(INDEX(Rent_Roll_Input_Total, 0,9),INDEX(Rent_Roll_Input_Total, 0,20) = $A20)))</f>
        <v/>
      </c>
      <c r="X20" s="107" t="str">
        <f t="shared" si="30"/>
        <v/>
      </c>
      <c r="Y20" s="107" t="str">
        <f t="shared" si="31"/>
        <v/>
      </c>
      <c r="Z20" s="107" t="str">
        <f t="shared" si="32"/>
        <v/>
      </c>
      <c r="AA20" s="287" t="str">
        <f t="shared" si="33"/>
        <v/>
      </c>
      <c r="AB20" s="287" t="str">
        <f t="shared" si="34"/>
        <v/>
      </c>
      <c r="AC20" s="287" t="str">
        <f t="shared" si="35"/>
        <v/>
      </c>
      <c r="AD20" s="287" t="str">
        <f t="shared" si="36"/>
        <v/>
      </c>
      <c r="AE20" s="287" t="str">
        <f t="shared" si="37"/>
        <v/>
      </c>
      <c r="AF20" s="287" t="str">
        <f t="shared" si="38"/>
        <v/>
      </c>
      <c r="AG20" s="287" t="str">
        <f t="shared" si="39"/>
        <v/>
      </c>
      <c r="AH20" s="287" t="str">
        <f t="shared" si="40"/>
        <v/>
      </c>
    </row>
    <row r="21" spans="1:34" x14ac:dyDescent="0.25">
      <c r="A21" s="288"/>
      <c r="B21" s="104" t="str" cm="1">
        <f t="array" ref="B21">_xlfn.IFS(A21="","",1,SUMIFS('Rent Roll Input'!$F$4:$F$214,'Rent Roll Input'!$U$4:$U$214,$A21))</f>
        <v/>
      </c>
      <c r="C21" s="104" t="str" cm="1">
        <f t="array" ref="C21">_xlfn.IFS(B21="","",A21 = Label_Total, 'Rent Roll Input'!$G$4,1,SUMIFS('Rent Roll Input'!$T$5:$T$214,'Rent Roll Input'!$U$5:$U$214,$A21))</f>
        <v/>
      </c>
      <c r="D21" s="106" t="str">
        <f t="shared" si="23"/>
        <v/>
      </c>
      <c r="E21" s="107" t="str" cm="1">
        <f t="array" aca="1" ref="E21" ca="1">_xlfn.IFS($A21 = "", "", $A21 = Label_Total, "", 1, MIN(_xlfn._xlws.FILTER(INDEX(Rent_Roll_Input_Total,0, 10),INDEX(Rent_Roll_Input_Total,0, 20)=$A21)))</f>
        <v/>
      </c>
      <c r="F21" s="107" t="str" cm="1">
        <f t="array" aca="1" ref="F21" ca="1">_xlfn.IFS($A21 = "", "", $A21 = Label_Total, "", 1, MAX(_xlfn._xlws.FILTER(INDEX(Rent_Roll_Input_Total,0, 10),INDEX(Rent_Roll_Input_Total,0, 20)=$A21)))</f>
        <v/>
      </c>
      <c r="G21" s="104" t="str" cm="1">
        <f t="array" aca="1" ref="G21" ca="1">_xlfn.IFS(A21="", "", A21 = Label_Total, "", 1, TEXT(E21, "$#,##0") &amp; " - " &amp; TEXT(F21, "$#,##0"))</f>
        <v/>
      </c>
      <c r="H21" s="107" t="str" cm="1">
        <f t="array" aca="1" ref="H21" ca="1">_xlfn.IFS($A21 = "", "", $A21 = Label_Total, "", 1, MIN(_xlfn._xlws.FILTER(INDEX(Rent_Roll_Input_Total,0, 7),INDEX(Rent_Roll_Input_Total,0, 20)=$A21)))</f>
        <v/>
      </c>
      <c r="I21" s="107" t="str" cm="1">
        <f t="array" aca="1" ref="I21" ca="1">_xlfn.IFS($A21 = "", "", $A21 = Label_Total, "", 1, MAX(_xlfn._xlws.FILTER(INDEX(Rent_Roll_Input_Total,0, 7),INDEX(Rent_Roll_Input_Total,0, 20)=$A21)))</f>
        <v/>
      </c>
      <c r="J21" s="104" t="str" cm="1">
        <f t="array" aca="1" ref="J21" ca="1">_xlfn.IFS($A21="", "", A21 = Label_Total, "", 1, TEXT(H21, "$#,##0") &amp; " - " &amp; TEXT(I21, "$#,##0"))</f>
        <v/>
      </c>
      <c r="K21" s="107" t="str" cm="1">
        <f t="array" aca="1" ref="K21" ca="1">_xlfn.IFS($A21="", "",1, SUMPRODUCT(_xlfn._xlws.FILTER(INDEX(Rent_Roll_Input_Total, 0,5),INDEX(Rent_Roll_Input_Total, 0,20) = $A21), _xlfn._xlws.FILTER(INDEX(Rent_Roll_Input_Total, 0,7),INDEX(Rent_Roll_Input_Total, 0,20) = $A21)))</f>
        <v/>
      </c>
      <c r="L21" s="107" t="str">
        <f t="shared" si="24"/>
        <v/>
      </c>
      <c r="M21" s="107" t="str">
        <f t="shared" si="25"/>
        <v/>
      </c>
      <c r="N21" s="107" t="str">
        <f t="shared" si="4"/>
        <v/>
      </c>
      <c r="O21" s="107" t="str" cm="1">
        <f t="array" aca="1" ref="O21" ca="1">_xlfn.IFS(A21="", "",1, SUMPRODUCT(_xlfn._xlws.FILTER(INDEX(Rent_Roll_Input_Total, 0,5),INDEX(Rent_Roll_Input_Total, 0,20) = A21), _xlfn._xlws.FILTER(INDEX(Rent_Roll_Input_Total, 0,10),INDEX(Rent_Roll_Input_Total, 0,20) = A21)))</f>
        <v/>
      </c>
      <c r="P21" s="107" t="str">
        <f t="shared" si="26"/>
        <v/>
      </c>
      <c r="Q21" s="107" t="str">
        <f t="shared" si="27"/>
        <v/>
      </c>
      <c r="R21" s="107" t="str">
        <f t="shared" si="7"/>
        <v/>
      </c>
      <c r="S21" s="107" t="str" cm="1">
        <f t="array" aca="1" ref="S21" ca="1">_xlfn.IFS(A21="", "",1, SUMPRODUCT(_xlfn._xlws.FILTER(INDEX(Rent_Roll_Input_Total, 0,5),INDEX(Rent_Roll_Input_Total, 0,20) = A21), _xlfn._xlws.FILTER(INDEX(Rent_Roll_Input_Total, 0,8),INDEX(Rent_Roll_Input_Total, 0,20) = A21)))</f>
        <v/>
      </c>
      <c r="T21" s="107" t="str">
        <f t="shared" si="28"/>
        <v/>
      </c>
      <c r="U21" s="107" t="str">
        <f t="shared" si="29"/>
        <v/>
      </c>
      <c r="V21" s="107" t="str">
        <f t="shared" si="10"/>
        <v/>
      </c>
      <c r="W21" s="107" t="str" cm="1">
        <f t="array" aca="1" ref="W21" ca="1">_xlfn.IFS($A21="", "",1, SUMPRODUCT(_xlfn._xlws.FILTER(INDEX(Rent_Roll_Input_Total, 0,5),INDEX(Rent_Roll_Input_Total, 0,20) = $A21), _xlfn._xlws.FILTER(INDEX(Rent_Roll_Input_Total, 0,9),INDEX(Rent_Roll_Input_Total, 0,20) = $A21)))</f>
        <v/>
      </c>
      <c r="X21" s="107" t="str">
        <f t="shared" si="30"/>
        <v/>
      </c>
      <c r="Y21" s="107" t="str">
        <f t="shared" si="31"/>
        <v/>
      </c>
      <c r="Z21" s="107" t="str">
        <f t="shared" si="32"/>
        <v/>
      </c>
      <c r="AA21" s="287" t="str">
        <f t="shared" si="33"/>
        <v/>
      </c>
      <c r="AB21" s="287" t="str">
        <f t="shared" si="34"/>
        <v/>
      </c>
      <c r="AC21" s="287" t="str">
        <f t="shared" si="35"/>
        <v/>
      </c>
      <c r="AD21" s="287" t="str">
        <f t="shared" si="36"/>
        <v/>
      </c>
      <c r="AE21" s="287" t="str">
        <f t="shared" si="37"/>
        <v/>
      </c>
      <c r="AF21" s="287" t="str">
        <f t="shared" si="38"/>
        <v/>
      </c>
      <c r="AG21" s="287" t="str">
        <f t="shared" si="39"/>
        <v/>
      </c>
      <c r="AH21" s="287" t="str">
        <f t="shared" si="40"/>
        <v/>
      </c>
    </row>
    <row r="22" spans="1:34" x14ac:dyDescent="0.25">
      <c r="A22" s="288"/>
      <c r="B22" s="104" t="str" cm="1">
        <f t="array" ref="B22">_xlfn.IFS(A22="","",1,SUMIFS('Rent Roll Input'!$F$4:$F$214,'Rent Roll Input'!$U$4:$U$214,$A22))</f>
        <v/>
      </c>
      <c r="C22" s="104" t="str" cm="1">
        <f t="array" ref="C22">_xlfn.IFS(B22="","",A22 = Label_Total, 'Rent Roll Input'!$G$4,1,SUMIFS('Rent Roll Input'!$T$5:$T$214,'Rent Roll Input'!$U$5:$U$214,$A22))</f>
        <v/>
      </c>
      <c r="D22" s="106" t="str">
        <f t="shared" ref="D22:D31" si="41">IF(C22="", "", C22/B22)</f>
        <v/>
      </c>
      <c r="E22" s="107" t="str" cm="1">
        <f t="array" aca="1" ref="E22" ca="1">_xlfn.IFS($A22 = "", "", $A22 = Label_Total, "", 1, MIN(_xlfn._xlws.FILTER(INDEX(Rent_Roll_Input_Total,0, 10),INDEX(Rent_Roll_Input_Total,0, 20)=$A22)))</f>
        <v/>
      </c>
      <c r="F22" s="107" t="str" cm="1">
        <f t="array" aca="1" ref="F22" ca="1">_xlfn.IFS($A22 = "", "", $A22 = Label_Total, "", 1, MAX(_xlfn._xlws.FILTER(INDEX(Rent_Roll_Input_Total,0, 10),INDEX(Rent_Roll_Input_Total,0, 20)=$A22)))</f>
        <v/>
      </c>
      <c r="G22" s="104" t="str" cm="1">
        <f t="array" aca="1" ref="G22" ca="1">_xlfn.IFS(A22="", "", A22 = Label_Total, "", 1, TEXT(E22, "$#,##0") &amp; " - " &amp; TEXT(F22, "$#,##0"))</f>
        <v/>
      </c>
      <c r="H22" s="107" t="str" cm="1">
        <f t="array" aca="1" ref="H22" ca="1">_xlfn.IFS($A22 = "", "", $A22 = Label_Total, "", 1, MIN(_xlfn._xlws.FILTER(INDEX(Rent_Roll_Input_Total,0, 7),INDEX(Rent_Roll_Input_Total,0, 20)=$A22)))</f>
        <v/>
      </c>
      <c r="I22" s="107" t="str" cm="1">
        <f t="array" aca="1" ref="I22" ca="1">_xlfn.IFS($A22 = "", "", $A22 = Label_Total, "", 1, MAX(_xlfn._xlws.FILTER(INDEX(Rent_Roll_Input_Total,0, 7),INDEX(Rent_Roll_Input_Total,0, 20)=$A22)))</f>
        <v/>
      </c>
      <c r="J22" s="104" t="str" cm="1">
        <f t="array" aca="1" ref="J22" ca="1">_xlfn.IFS($A22="", "", A22 = Label_Total, "", 1, TEXT(H22, "$#,##0") &amp; " - " &amp; TEXT(I22, "$#,##0"))</f>
        <v/>
      </c>
      <c r="K22" s="107" t="str" cm="1">
        <f t="array" aca="1" ref="K22" ca="1">_xlfn.IFS($A22="", "",1, SUMPRODUCT(_xlfn._xlws.FILTER(INDEX(Rent_Roll_Input_Total, 0,5),INDEX(Rent_Roll_Input_Total, 0,20) = $A22), _xlfn._xlws.FILTER(INDEX(Rent_Roll_Input_Total, 0,7),INDEX(Rent_Roll_Input_Total, 0,20) = $A22)))</f>
        <v/>
      </c>
      <c r="L22" s="107" t="str">
        <f t="shared" ref="L22:L31" si="42">IF($A22="", "",K22/$B22)</f>
        <v/>
      </c>
      <c r="M22" s="107" t="str">
        <f t="shared" ref="M22:M31" si="43">IF($A22 = "", "", L22*12)</f>
        <v/>
      </c>
      <c r="N22" s="107" t="str">
        <f t="shared" si="4"/>
        <v/>
      </c>
      <c r="O22" s="107" t="str" cm="1">
        <f t="array" aca="1" ref="O22" ca="1">_xlfn.IFS(A22="", "",1, SUMPRODUCT(_xlfn._xlws.FILTER(INDEX(Rent_Roll_Input_Total, 0,5),INDEX(Rent_Roll_Input_Total, 0,20) = A22), _xlfn._xlws.FILTER(INDEX(Rent_Roll_Input_Total, 0,10),INDEX(Rent_Roll_Input_Total, 0,20) = A22)))</f>
        <v/>
      </c>
      <c r="P22" s="107" t="str">
        <f t="shared" ref="P22:P31" si="44">IF($A22="", "",O22/$B22)</f>
        <v/>
      </c>
      <c r="Q22" s="107" t="str">
        <f t="shared" ref="Q22:Q31" si="45">IF($A22 = "", "", P22*12)</f>
        <v/>
      </c>
      <c r="R22" s="107" t="str">
        <f t="shared" ref="R22:R31" si="46">IF($A22 = "", "", O22*12)</f>
        <v/>
      </c>
      <c r="S22" s="107" t="str" cm="1">
        <f t="array" aca="1" ref="S22" ca="1">_xlfn.IFS(A22="", "",1, SUMPRODUCT(_xlfn._xlws.FILTER(INDEX(Rent_Roll_Input_Total, 0,5),INDEX(Rent_Roll_Input_Total, 0,20) = A22), _xlfn._xlws.FILTER(INDEX(Rent_Roll_Input_Total, 0,8),INDEX(Rent_Roll_Input_Total, 0,20) = A22)))</f>
        <v/>
      </c>
      <c r="T22" s="107" t="str">
        <f t="shared" ref="T22:T31" si="47">IF($A22="", "",S22/$B22)</f>
        <v/>
      </c>
      <c r="U22" s="107" t="str">
        <f t="shared" ref="U22:U31" si="48">IF($A22 = "", "", T22*12)</f>
        <v/>
      </c>
      <c r="V22" s="107" t="str">
        <f t="shared" ref="V22:V31" si="49">IF($A22 = "", "", S22*12)</f>
        <v/>
      </c>
      <c r="W22" s="107" t="str" cm="1">
        <f t="array" aca="1" ref="W22" ca="1">_xlfn.IFS($A22="", "",1, SUMPRODUCT(_xlfn._xlws.FILTER(INDEX(Rent_Roll_Input_Total, 0,5),INDEX(Rent_Roll_Input_Total, 0,20) = $A22), _xlfn._xlws.FILTER(INDEX(Rent_Roll_Input_Total, 0,9),INDEX(Rent_Roll_Input_Total, 0,20) = $A22)))</f>
        <v/>
      </c>
      <c r="X22" s="107" t="str">
        <f t="shared" ref="X22:X31" si="50">IF($A22="", "",W22/$B22)</f>
        <v/>
      </c>
      <c r="Y22" s="107" t="str">
        <f t="shared" ref="Y22:Y31" si="51">IF($A22 = "", "", X22*12)</f>
        <v/>
      </c>
      <c r="Z22" s="107" t="str">
        <f t="shared" ref="Z22:Z31" si="52">IF($A22 = "", "", $B22*X22)</f>
        <v/>
      </c>
      <c r="AA22" s="287" t="str">
        <f t="shared" ref="AA22:AA31" si="53">IF($C22="", "", K22/$C22)</f>
        <v/>
      </c>
      <c r="AB22" s="287" t="str">
        <f t="shared" ref="AB22:AB31" si="54">IF($C22="", "", O22/$C22)</f>
        <v/>
      </c>
      <c r="AC22" s="287" t="str">
        <f t="shared" ref="AC22:AC31" si="55">IF($C22="", "", S22/$C22)</f>
        <v/>
      </c>
      <c r="AD22" s="287" t="str">
        <f t="shared" ref="AD22:AD31" si="56">IF($C22="", "", W22/$C22)</f>
        <v/>
      </c>
      <c r="AE22" s="287" t="str">
        <f t="shared" ref="AE22:AE31" si="57">IF($C22="", "", AA22*12)</f>
        <v/>
      </c>
      <c r="AF22" s="287" t="str">
        <f t="shared" ref="AF22:AF31" si="58">IF($C22="", "", AB22*12)</f>
        <v/>
      </c>
      <c r="AG22" s="287" t="str">
        <f t="shared" ref="AG22:AG31" si="59">IF($C22="", "", AC22*12)</f>
        <v/>
      </c>
      <c r="AH22" s="287" t="str">
        <f t="shared" ref="AH22:AH31" si="60">IF($C22="", "", AD22*12)</f>
        <v/>
      </c>
    </row>
    <row r="23" spans="1:34" x14ac:dyDescent="0.25">
      <c r="A23" s="288"/>
      <c r="B23" s="104" t="str" cm="1">
        <f t="array" ref="B23">_xlfn.IFS(A23="","",1,SUMIFS('Rent Roll Input'!$F$4:$F$214,'Rent Roll Input'!$U$4:$U$214,$A23))</f>
        <v/>
      </c>
      <c r="C23" s="104" t="str" cm="1">
        <f t="array" ref="C23">_xlfn.IFS(B23="","",A23 = Label_Total, 'Rent Roll Input'!$G$4,1,SUMIFS('Rent Roll Input'!$T$5:$T$214,'Rent Roll Input'!$U$5:$U$214,$A23))</f>
        <v/>
      </c>
      <c r="D23" s="106" t="str">
        <f t="shared" si="41"/>
        <v/>
      </c>
      <c r="E23" s="107" t="str" cm="1">
        <f t="array" aca="1" ref="E23" ca="1">_xlfn.IFS($A23 = "", "", $A23 = Label_Total, "", 1, MIN(_xlfn._xlws.FILTER(INDEX(Rent_Roll_Input_Total,0, 10),INDEX(Rent_Roll_Input_Total,0, 20)=$A23)))</f>
        <v/>
      </c>
      <c r="F23" s="107" t="str" cm="1">
        <f t="array" aca="1" ref="F23" ca="1">_xlfn.IFS($A23 = "", "", $A23 = Label_Total, "", 1, MAX(_xlfn._xlws.FILTER(INDEX(Rent_Roll_Input_Total,0, 10),INDEX(Rent_Roll_Input_Total,0, 20)=$A23)))</f>
        <v/>
      </c>
      <c r="G23" s="104" t="str" cm="1">
        <f t="array" aca="1" ref="G23" ca="1">_xlfn.IFS(A23="", "", A23 = Label_Total, "", 1, TEXT(E23, "$#,##0") &amp; " - " &amp; TEXT(F23, "$#,##0"))</f>
        <v/>
      </c>
      <c r="H23" s="107" t="str" cm="1">
        <f t="array" aca="1" ref="H23" ca="1">_xlfn.IFS($A23 = "", "", $A23 = Label_Total, "", 1, MIN(_xlfn._xlws.FILTER(INDEX(Rent_Roll_Input_Total,0, 7),INDEX(Rent_Roll_Input_Total,0, 20)=$A23)))</f>
        <v/>
      </c>
      <c r="I23" s="107" t="str" cm="1">
        <f t="array" aca="1" ref="I23" ca="1">_xlfn.IFS($A23 = "", "", $A23 = Label_Total, "", 1, MAX(_xlfn._xlws.FILTER(INDEX(Rent_Roll_Input_Total,0, 7),INDEX(Rent_Roll_Input_Total,0, 20)=$A23)))</f>
        <v/>
      </c>
      <c r="J23" s="104" t="str" cm="1">
        <f t="array" aca="1" ref="J23" ca="1">_xlfn.IFS($A23="", "", A23 = Label_Total, "", 1, TEXT(H23, "$#,##0") &amp; " - " &amp; TEXT(I23, "$#,##0"))</f>
        <v/>
      </c>
      <c r="K23" s="107" t="str" cm="1">
        <f t="array" aca="1" ref="K23" ca="1">_xlfn.IFS($A23="", "",1, SUMPRODUCT(_xlfn._xlws.FILTER(INDEX(Rent_Roll_Input_Total, 0,5),INDEX(Rent_Roll_Input_Total, 0,20) = $A23), _xlfn._xlws.FILTER(INDEX(Rent_Roll_Input_Total, 0,7),INDEX(Rent_Roll_Input_Total, 0,20) = $A23)))</f>
        <v/>
      </c>
      <c r="L23" s="107" t="str">
        <f t="shared" si="42"/>
        <v/>
      </c>
      <c r="M23" s="107" t="str">
        <f t="shared" si="43"/>
        <v/>
      </c>
      <c r="N23" s="107" t="str">
        <f t="shared" si="4"/>
        <v/>
      </c>
      <c r="O23" s="107" t="str" cm="1">
        <f t="array" aca="1" ref="O23" ca="1">_xlfn.IFS(A23="", "",1, SUMPRODUCT(_xlfn._xlws.FILTER(INDEX(Rent_Roll_Input_Total, 0,5),INDEX(Rent_Roll_Input_Total, 0,20) = A23), _xlfn._xlws.FILTER(INDEX(Rent_Roll_Input_Total, 0,10),INDEX(Rent_Roll_Input_Total, 0,20) = A23)))</f>
        <v/>
      </c>
      <c r="P23" s="107" t="str">
        <f t="shared" si="44"/>
        <v/>
      </c>
      <c r="Q23" s="107" t="str">
        <f t="shared" si="45"/>
        <v/>
      </c>
      <c r="R23" s="107" t="str">
        <f t="shared" si="46"/>
        <v/>
      </c>
      <c r="S23" s="107" t="str" cm="1">
        <f t="array" aca="1" ref="S23" ca="1">_xlfn.IFS(A23="", "",1, SUMPRODUCT(_xlfn._xlws.FILTER(INDEX(Rent_Roll_Input_Total, 0,5),INDEX(Rent_Roll_Input_Total, 0,20) = A23), _xlfn._xlws.FILTER(INDEX(Rent_Roll_Input_Total, 0,8),INDEX(Rent_Roll_Input_Total, 0,20) = A23)))</f>
        <v/>
      </c>
      <c r="T23" s="107" t="str">
        <f t="shared" si="47"/>
        <v/>
      </c>
      <c r="U23" s="107" t="str">
        <f t="shared" si="48"/>
        <v/>
      </c>
      <c r="V23" s="107" t="str">
        <f t="shared" si="49"/>
        <v/>
      </c>
      <c r="W23" s="107" t="str" cm="1">
        <f t="array" aca="1" ref="W23" ca="1">_xlfn.IFS($A23="", "",1, SUMPRODUCT(_xlfn._xlws.FILTER(INDEX(Rent_Roll_Input_Total, 0,5),INDEX(Rent_Roll_Input_Total, 0,20) = $A23), _xlfn._xlws.FILTER(INDEX(Rent_Roll_Input_Total, 0,9),INDEX(Rent_Roll_Input_Total, 0,20) = $A23)))</f>
        <v/>
      </c>
      <c r="X23" s="107" t="str">
        <f t="shared" si="50"/>
        <v/>
      </c>
      <c r="Y23" s="107" t="str">
        <f t="shared" si="51"/>
        <v/>
      </c>
      <c r="Z23" s="107" t="str">
        <f t="shared" si="52"/>
        <v/>
      </c>
      <c r="AA23" s="287" t="str">
        <f t="shared" si="53"/>
        <v/>
      </c>
      <c r="AB23" s="287" t="str">
        <f t="shared" si="54"/>
        <v/>
      </c>
      <c r="AC23" s="287" t="str">
        <f t="shared" si="55"/>
        <v/>
      </c>
      <c r="AD23" s="287" t="str">
        <f t="shared" si="56"/>
        <v/>
      </c>
      <c r="AE23" s="287" t="str">
        <f t="shared" si="57"/>
        <v/>
      </c>
      <c r="AF23" s="287" t="str">
        <f t="shared" si="58"/>
        <v/>
      </c>
      <c r="AG23" s="287" t="str">
        <f t="shared" si="59"/>
        <v/>
      </c>
      <c r="AH23" s="287" t="str">
        <f t="shared" si="60"/>
        <v/>
      </c>
    </row>
    <row r="24" spans="1:34" x14ac:dyDescent="0.25">
      <c r="A24" s="288"/>
      <c r="B24" s="104" t="str" cm="1">
        <f t="array" ref="B24">_xlfn.IFS(A24="","",1,SUMIFS('Rent Roll Input'!$F$4:$F$214,'Rent Roll Input'!$U$4:$U$214,$A24))</f>
        <v/>
      </c>
      <c r="C24" s="104" t="str" cm="1">
        <f t="array" ref="C24">_xlfn.IFS(B24="","",A24 = Label_Total, 'Rent Roll Input'!$G$4,1,SUMIFS('Rent Roll Input'!$T$5:$T$214,'Rent Roll Input'!$U$5:$U$214,$A24))</f>
        <v/>
      </c>
      <c r="D24" s="106" t="str">
        <f t="shared" si="41"/>
        <v/>
      </c>
      <c r="E24" s="107" t="str" cm="1">
        <f t="array" aca="1" ref="E24" ca="1">_xlfn.IFS($A24 = "", "", $A24 = Label_Total, "", 1, MIN(_xlfn._xlws.FILTER(INDEX(Rent_Roll_Input_Total,0, 10),INDEX(Rent_Roll_Input_Total,0, 20)=$A24)))</f>
        <v/>
      </c>
      <c r="F24" s="107" t="str" cm="1">
        <f t="array" aca="1" ref="F24" ca="1">_xlfn.IFS($A24 = "", "", $A24 = Label_Total, "", 1, MAX(_xlfn._xlws.FILTER(INDEX(Rent_Roll_Input_Total,0, 10),INDEX(Rent_Roll_Input_Total,0, 20)=$A24)))</f>
        <v/>
      </c>
      <c r="G24" s="104" t="str" cm="1">
        <f t="array" aca="1" ref="G24" ca="1">_xlfn.IFS(A24="", "", A24 = Label_Total, "", 1, TEXT(E24, "$#,##0") &amp; " - " &amp; TEXT(F24, "$#,##0"))</f>
        <v/>
      </c>
      <c r="H24" s="107" t="str" cm="1">
        <f t="array" aca="1" ref="H24" ca="1">_xlfn.IFS($A24 = "", "", $A24 = Label_Total, "", 1, MIN(_xlfn._xlws.FILTER(INDEX(Rent_Roll_Input_Total,0, 7),INDEX(Rent_Roll_Input_Total,0, 20)=$A24)))</f>
        <v/>
      </c>
      <c r="I24" s="107" t="str" cm="1">
        <f t="array" aca="1" ref="I24" ca="1">_xlfn.IFS($A24 = "", "", $A24 = Label_Total, "", 1, MAX(_xlfn._xlws.FILTER(INDEX(Rent_Roll_Input_Total,0, 7),INDEX(Rent_Roll_Input_Total,0, 20)=$A24)))</f>
        <v/>
      </c>
      <c r="J24" s="104" t="str" cm="1">
        <f t="array" aca="1" ref="J24" ca="1">_xlfn.IFS($A24="", "", A24 = Label_Total, "", 1, TEXT(H24, "$#,##0") &amp; " - " &amp; TEXT(I24, "$#,##0"))</f>
        <v/>
      </c>
      <c r="K24" s="107" t="str" cm="1">
        <f t="array" aca="1" ref="K24" ca="1">_xlfn.IFS($A24="", "",1, SUMPRODUCT(_xlfn._xlws.FILTER(INDEX(Rent_Roll_Input_Total, 0,5),INDEX(Rent_Roll_Input_Total, 0,20) = $A24), _xlfn._xlws.FILTER(INDEX(Rent_Roll_Input_Total, 0,7),INDEX(Rent_Roll_Input_Total, 0,20) = $A24)))</f>
        <v/>
      </c>
      <c r="L24" s="107" t="str">
        <f t="shared" si="42"/>
        <v/>
      </c>
      <c r="M24" s="107" t="str">
        <f t="shared" si="43"/>
        <v/>
      </c>
      <c r="N24" s="107" t="str">
        <f t="shared" si="4"/>
        <v/>
      </c>
      <c r="O24" s="107" t="str" cm="1">
        <f t="array" aca="1" ref="O24" ca="1">_xlfn.IFS(A24="", "",1, SUMPRODUCT(_xlfn._xlws.FILTER(INDEX(Rent_Roll_Input_Total, 0,5),INDEX(Rent_Roll_Input_Total, 0,20) = A24), _xlfn._xlws.FILTER(INDEX(Rent_Roll_Input_Total, 0,10),INDEX(Rent_Roll_Input_Total, 0,20) = A24)))</f>
        <v/>
      </c>
      <c r="P24" s="107" t="str">
        <f t="shared" si="44"/>
        <v/>
      </c>
      <c r="Q24" s="107" t="str">
        <f t="shared" si="45"/>
        <v/>
      </c>
      <c r="R24" s="107" t="str">
        <f t="shared" si="46"/>
        <v/>
      </c>
      <c r="S24" s="107" t="str" cm="1">
        <f t="array" aca="1" ref="S24" ca="1">_xlfn.IFS(A24="", "",1, SUMPRODUCT(_xlfn._xlws.FILTER(INDEX(Rent_Roll_Input_Total, 0,5),INDEX(Rent_Roll_Input_Total, 0,20) = A24), _xlfn._xlws.FILTER(INDEX(Rent_Roll_Input_Total, 0,8),INDEX(Rent_Roll_Input_Total, 0,20) = A24)))</f>
        <v/>
      </c>
      <c r="T24" s="107" t="str">
        <f t="shared" si="47"/>
        <v/>
      </c>
      <c r="U24" s="107" t="str">
        <f t="shared" si="48"/>
        <v/>
      </c>
      <c r="V24" s="107" t="str">
        <f t="shared" si="49"/>
        <v/>
      </c>
      <c r="W24" s="107" t="str" cm="1">
        <f t="array" aca="1" ref="W24" ca="1">_xlfn.IFS($A24="", "",1, SUMPRODUCT(_xlfn._xlws.FILTER(INDEX(Rent_Roll_Input_Total, 0,5),INDEX(Rent_Roll_Input_Total, 0,20) = $A24), _xlfn._xlws.FILTER(INDEX(Rent_Roll_Input_Total, 0,9),INDEX(Rent_Roll_Input_Total, 0,20) = $A24)))</f>
        <v/>
      </c>
      <c r="X24" s="107" t="str">
        <f t="shared" si="50"/>
        <v/>
      </c>
      <c r="Y24" s="107" t="str">
        <f t="shared" si="51"/>
        <v/>
      </c>
      <c r="Z24" s="107" t="str">
        <f t="shared" si="52"/>
        <v/>
      </c>
      <c r="AA24" s="287" t="str">
        <f t="shared" si="53"/>
        <v/>
      </c>
      <c r="AB24" s="287" t="str">
        <f t="shared" si="54"/>
        <v/>
      </c>
      <c r="AC24" s="287" t="str">
        <f t="shared" si="55"/>
        <v/>
      </c>
      <c r="AD24" s="287" t="str">
        <f t="shared" si="56"/>
        <v/>
      </c>
      <c r="AE24" s="287" t="str">
        <f t="shared" si="57"/>
        <v/>
      </c>
      <c r="AF24" s="287" t="str">
        <f t="shared" si="58"/>
        <v/>
      </c>
      <c r="AG24" s="287" t="str">
        <f t="shared" si="59"/>
        <v/>
      </c>
      <c r="AH24" s="287" t="str">
        <f t="shared" si="60"/>
        <v/>
      </c>
    </row>
    <row r="25" spans="1:34" x14ac:dyDescent="0.25">
      <c r="A25" s="288"/>
      <c r="B25" s="104" t="str" cm="1">
        <f t="array" ref="B25">_xlfn.IFS(A25="","",1,SUMIFS('Rent Roll Input'!$F$4:$F$214,'Rent Roll Input'!$U$4:$U$214,$A25))</f>
        <v/>
      </c>
      <c r="C25" s="104" t="str" cm="1">
        <f t="array" ref="C25">_xlfn.IFS(B25="","",A25 = Label_Total, 'Rent Roll Input'!$G$4,1,SUMIFS('Rent Roll Input'!$T$5:$T$214,'Rent Roll Input'!$U$5:$U$214,$A25))</f>
        <v/>
      </c>
      <c r="D25" s="106" t="str">
        <f t="shared" si="41"/>
        <v/>
      </c>
      <c r="E25" s="107" t="str" cm="1">
        <f t="array" aca="1" ref="E25" ca="1">_xlfn.IFS($A25 = "", "", $A25 = Label_Total, "", 1, MIN(_xlfn._xlws.FILTER(INDEX(Rent_Roll_Input_Total,0, 10),INDEX(Rent_Roll_Input_Total,0, 20)=$A25)))</f>
        <v/>
      </c>
      <c r="F25" s="107" t="str" cm="1">
        <f t="array" aca="1" ref="F25" ca="1">_xlfn.IFS($A25 = "", "", $A25 = Label_Total, "", 1, MAX(_xlfn._xlws.FILTER(INDEX(Rent_Roll_Input_Total,0, 10),INDEX(Rent_Roll_Input_Total,0, 20)=$A25)))</f>
        <v/>
      </c>
      <c r="G25" s="104" t="str" cm="1">
        <f t="array" aca="1" ref="G25" ca="1">_xlfn.IFS(A25="", "", A25 = Label_Total, "", 1, TEXT(E25, "$#,##0") &amp; " - " &amp; TEXT(F25, "$#,##0"))</f>
        <v/>
      </c>
      <c r="H25" s="107" t="str" cm="1">
        <f t="array" aca="1" ref="H25" ca="1">_xlfn.IFS($A25 = "", "", $A25 = Label_Total, "", 1, MIN(_xlfn._xlws.FILTER(INDEX(Rent_Roll_Input_Total,0, 7),INDEX(Rent_Roll_Input_Total,0, 20)=$A25)))</f>
        <v/>
      </c>
      <c r="I25" s="107" t="str" cm="1">
        <f t="array" aca="1" ref="I25" ca="1">_xlfn.IFS($A25 = "", "", $A25 = Label_Total, "", 1, MAX(_xlfn._xlws.FILTER(INDEX(Rent_Roll_Input_Total,0, 7),INDEX(Rent_Roll_Input_Total,0, 20)=$A25)))</f>
        <v/>
      </c>
      <c r="J25" s="104" t="str" cm="1">
        <f t="array" aca="1" ref="J25" ca="1">_xlfn.IFS($A25="", "", A25 = Label_Total, "", 1, TEXT(H25, "$#,##0") &amp; " - " &amp; TEXT(I25, "$#,##0"))</f>
        <v/>
      </c>
      <c r="K25" s="107" t="str" cm="1">
        <f t="array" aca="1" ref="K25" ca="1">_xlfn.IFS($A25="", "",1, SUMPRODUCT(_xlfn._xlws.FILTER(INDEX(Rent_Roll_Input_Total, 0,5),INDEX(Rent_Roll_Input_Total, 0,20) = $A25), _xlfn._xlws.FILTER(INDEX(Rent_Roll_Input_Total, 0,7),INDEX(Rent_Roll_Input_Total, 0,20) = $A25)))</f>
        <v/>
      </c>
      <c r="L25" s="107" t="str">
        <f t="shared" si="42"/>
        <v/>
      </c>
      <c r="M25" s="107" t="str">
        <f t="shared" si="43"/>
        <v/>
      </c>
      <c r="N25" s="107" t="str">
        <f t="shared" si="4"/>
        <v/>
      </c>
      <c r="O25" s="107" t="str" cm="1">
        <f t="array" aca="1" ref="O25" ca="1">_xlfn.IFS(A25="", "",1, SUMPRODUCT(_xlfn._xlws.FILTER(INDEX(Rent_Roll_Input_Total, 0,5),INDEX(Rent_Roll_Input_Total, 0,20) = A25), _xlfn._xlws.FILTER(INDEX(Rent_Roll_Input_Total, 0,10),INDEX(Rent_Roll_Input_Total, 0,20) = A25)))</f>
        <v/>
      </c>
      <c r="P25" s="107" t="str">
        <f t="shared" si="44"/>
        <v/>
      </c>
      <c r="Q25" s="107" t="str">
        <f t="shared" si="45"/>
        <v/>
      </c>
      <c r="R25" s="107" t="str">
        <f t="shared" si="46"/>
        <v/>
      </c>
      <c r="S25" s="107" t="str" cm="1">
        <f t="array" aca="1" ref="S25" ca="1">_xlfn.IFS(A25="", "",1, SUMPRODUCT(_xlfn._xlws.FILTER(INDEX(Rent_Roll_Input_Total, 0,5),INDEX(Rent_Roll_Input_Total, 0,20) = A25), _xlfn._xlws.FILTER(INDEX(Rent_Roll_Input_Total, 0,8),INDEX(Rent_Roll_Input_Total, 0,20) = A25)))</f>
        <v/>
      </c>
      <c r="T25" s="107" t="str">
        <f t="shared" si="47"/>
        <v/>
      </c>
      <c r="U25" s="107" t="str">
        <f t="shared" si="48"/>
        <v/>
      </c>
      <c r="V25" s="107" t="str">
        <f t="shared" si="49"/>
        <v/>
      </c>
      <c r="W25" s="107" t="str" cm="1">
        <f t="array" aca="1" ref="W25" ca="1">_xlfn.IFS($A25="", "",1, SUMPRODUCT(_xlfn._xlws.FILTER(INDEX(Rent_Roll_Input_Total, 0,5),INDEX(Rent_Roll_Input_Total, 0,20) = $A25), _xlfn._xlws.FILTER(INDEX(Rent_Roll_Input_Total, 0,9),INDEX(Rent_Roll_Input_Total, 0,20) = $A25)))</f>
        <v/>
      </c>
      <c r="X25" s="107" t="str">
        <f t="shared" si="50"/>
        <v/>
      </c>
      <c r="Y25" s="107" t="str">
        <f t="shared" si="51"/>
        <v/>
      </c>
      <c r="Z25" s="107" t="str">
        <f t="shared" si="52"/>
        <v/>
      </c>
      <c r="AA25" s="287" t="str">
        <f t="shared" si="53"/>
        <v/>
      </c>
      <c r="AB25" s="287" t="str">
        <f t="shared" si="54"/>
        <v/>
      </c>
      <c r="AC25" s="287" t="str">
        <f t="shared" si="55"/>
        <v/>
      </c>
      <c r="AD25" s="287" t="str">
        <f t="shared" si="56"/>
        <v/>
      </c>
      <c r="AE25" s="287" t="str">
        <f t="shared" si="57"/>
        <v/>
      </c>
      <c r="AF25" s="287" t="str">
        <f t="shared" si="58"/>
        <v/>
      </c>
      <c r="AG25" s="287" t="str">
        <f t="shared" si="59"/>
        <v/>
      </c>
      <c r="AH25" s="287" t="str">
        <f t="shared" si="60"/>
        <v/>
      </c>
    </row>
    <row r="26" spans="1:34" x14ac:dyDescent="0.25">
      <c r="A26" s="288"/>
      <c r="B26" s="104" t="str" cm="1">
        <f t="array" ref="B26">_xlfn.IFS(A26="","",1,SUMIFS('Rent Roll Input'!$F$4:$F$214,'Rent Roll Input'!$U$4:$U$214,$A26))</f>
        <v/>
      </c>
      <c r="C26" s="104" t="str" cm="1">
        <f t="array" ref="C26">_xlfn.IFS(B26="","",A26 = Label_Total, 'Rent Roll Input'!$G$4,1,SUMIFS('Rent Roll Input'!$T$5:$T$214,'Rent Roll Input'!$U$5:$U$214,$A26))</f>
        <v/>
      </c>
      <c r="D26" s="106" t="str">
        <f t="shared" si="41"/>
        <v/>
      </c>
      <c r="E26" s="107" t="str" cm="1">
        <f t="array" aca="1" ref="E26" ca="1">_xlfn.IFS($A26 = "", "", $A26 = Label_Total, "", 1, MIN(_xlfn._xlws.FILTER(INDEX(Rent_Roll_Input_Total,0, 10),INDEX(Rent_Roll_Input_Total,0, 20)=$A26)))</f>
        <v/>
      </c>
      <c r="F26" s="107" t="str" cm="1">
        <f t="array" aca="1" ref="F26" ca="1">_xlfn.IFS($A26 = "", "", $A26 = Label_Total, "", 1, MAX(_xlfn._xlws.FILTER(INDEX(Rent_Roll_Input_Total,0, 10),INDEX(Rent_Roll_Input_Total,0, 20)=$A26)))</f>
        <v/>
      </c>
      <c r="G26" s="104" t="str" cm="1">
        <f t="array" aca="1" ref="G26" ca="1">_xlfn.IFS(A26="", "", A26 = Label_Total, "", 1, TEXT(E26, "$#,##0") &amp; " - " &amp; TEXT(F26, "$#,##0"))</f>
        <v/>
      </c>
      <c r="H26" s="107" t="str" cm="1">
        <f t="array" aca="1" ref="H26" ca="1">_xlfn.IFS($A26 = "", "", $A26 = Label_Total, "", 1, MIN(_xlfn._xlws.FILTER(INDEX(Rent_Roll_Input_Total,0, 7),INDEX(Rent_Roll_Input_Total,0, 20)=$A26)))</f>
        <v/>
      </c>
      <c r="I26" s="107" t="str" cm="1">
        <f t="array" aca="1" ref="I26" ca="1">_xlfn.IFS($A26 = "", "", $A26 = Label_Total, "", 1, MAX(_xlfn._xlws.FILTER(INDEX(Rent_Roll_Input_Total,0, 7),INDEX(Rent_Roll_Input_Total,0, 20)=$A26)))</f>
        <v/>
      </c>
      <c r="J26" s="104" t="str" cm="1">
        <f t="array" aca="1" ref="J26" ca="1">_xlfn.IFS($A26="", "", A26 = Label_Total, "", 1, TEXT(H26, "$#,##0") &amp; " - " &amp; TEXT(I26, "$#,##0"))</f>
        <v/>
      </c>
      <c r="K26" s="107" t="str" cm="1">
        <f t="array" aca="1" ref="K26" ca="1">_xlfn.IFS($A26="", "",1, SUMPRODUCT(_xlfn._xlws.FILTER(INDEX(Rent_Roll_Input_Total, 0,5),INDEX(Rent_Roll_Input_Total, 0,20) = $A26), _xlfn._xlws.FILTER(INDEX(Rent_Roll_Input_Total, 0,7),INDEX(Rent_Roll_Input_Total, 0,20) = $A26)))</f>
        <v/>
      </c>
      <c r="L26" s="107" t="str">
        <f t="shared" si="42"/>
        <v/>
      </c>
      <c r="M26" s="107" t="str">
        <f t="shared" si="43"/>
        <v/>
      </c>
      <c r="N26" s="107" t="str">
        <f t="shared" si="4"/>
        <v/>
      </c>
      <c r="O26" s="107" t="str" cm="1">
        <f t="array" aca="1" ref="O26" ca="1">_xlfn.IFS(A26="", "",1, SUMPRODUCT(_xlfn._xlws.FILTER(INDEX(Rent_Roll_Input_Total, 0,5),INDEX(Rent_Roll_Input_Total, 0,20) = A26), _xlfn._xlws.FILTER(INDEX(Rent_Roll_Input_Total, 0,10),INDEX(Rent_Roll_Input_Total, 0,20) = A26)))</f>
        <v/>
      </c>
      <c r="P26" s="107" t="str">
        <f t="shared" si="44"/>
        <v/>
      </c>
      <c r="Q26" s="107" t="str">
        <f t="shared" si="45"/>
        <v/>
      </c>
      <c r="R26" s="107" t="str">
        <f t="shared" si="46"/>
        <v/>
      </c>
      <c r="S26" s="107" t="str" cm="1">
        <f t="array" aca="1" ref="S26" ca="1">_xlfn.IFS(A26="", "",1, SUMPRODUCT(_xlfn._xlws.FILTER(INDEX(Rent_Roll_Input_Total, 0,5),INDEX(Rent_Roll_Input_Total, 0,20) = A26), _xlfn._xlws.FILTER(INDEX(Rent_Roll_Input_Total, 0,8),INDEX(Rent_Roll_Input_Total, 0,20) = A26)))</f>
        <v/>
      </c>
      <c r="T26" s="107" t="str">
        <f t="shared" si="47"/>
        <v/>
      </c>
      <c r="U26" s="107" t="str">
        <f t="shared" si="48"/>
        <v/>
      </c>
      <c r="V26" s="107" t="str">
        <f t="shared" si="49"/>
        <v/>
      </c>
      <c r="W26" s="107" t="str" cm="1">
        <f t="array" aca="1" ref="W26" ca="1">_xlfn.IFS($A26="", "",1, SUMPRODUCT(_xlfn._xlws.FILTER(INDEX(Rent_Roll_Input_Total, 0,5),INDEX(Rent_Roll_Input_Total, 0,20) = $A26), _xlfn._xlws.FILTER(INDEX(Rent_Roll_Input_Total, 0,9),INDEX(Rent_Roll_Input_Total, 0,20) = $A26)))</f>
        <v/>
      </c>
      <c r="X26" s="107" t="str">
        <f t="shared" si="50"/>
        <v/>
      </c>
      <c r="Y26" s="107" t="str">
        <f t="shared" si="51"/>
        <v/>
      </c>
      <c r="Z26" s="107" t="str">
        <f t="shared" si="52"/>
        <v/>
      </c>
      <c r="AA26" s="287" t="str">
        <f t="shared" si="53"/>
        <v/>
      </c>
      <c r="AB26" s="287" t="str">
        <f t="shared" si="54"/>
        <v/>
      </c>
      <c r="AC26" s="287" t="str">
        <f t="shared" si="55"/>
        <v/>
      </c>
      <c r="AD26" s="287" t="str">
        <f t="shared" si="56"/>
        <v/>
      </c>
      <c r="AE26" s="287" t="str">
        <f t="shared" si="57"/>
        <v/>
      </c>
      <c r="AF26" s="287" t="str">
        <f t="shared" si="58"/>
        <v/>
      </c>
      <c r="AG26" s="287" t="str">
        <f t="shared" si="59"/>
        <v/>
      </c>
      <c r="AH26" s="287" t="str">
        <f t="shared" si="60"/>
        <v/>
      </c>
    </row>
    <row r="27" spans="1:34" x14ac:dyDescent="0.25">
      <c r="A27" s="288"/>
      <c r="B27" s="104" t="str" cm="1">
        <f t="array" ref="B27">_xlfn.IFS(A27="","",1,SUMIFS('Rent Roll Input'!$F$4:$F$214,'Rent Roll Input'!$U$4:$U$214,$A27))</f>
        <v/>
      </c>
      <c r="C27" s="104" t="str" cm="1">
        <f t="array" ref="C27">_xlfn.IFS(B27="","",A27 = Label_Total, 'Rent Roll Input'!$G$4,1,SUMIFS('Rent Roll Input'!$T$5:$T$214,'Rent Roll Input'!$U$5:$U$214,$A27))</f>
        <v/>
      </c>
      <c r="D27" s="106" t="str">
        <f t="shared" si="41"/>
        <v/>
      </c>
      <c r="E27" s="107" t="str" cm="1">
        <f t="array" aca="1" ref="E27" ca="1">_xlfn.IFS($A27 = "", "", $A27 = Label_Total, "", 1, MIN(_xlfn._xlws.FILTER(INDEX(Rent_Roll_Input_Total,0, 10),INDEX(Rent_Roll_Input_Total,0, 20)=$A27)))</f>
        <v/>
      </c>
      <c r="F27" s="107" t="str" cm="1">
        <f t="array" aca="1" ref="F27" ca="1">_xlfn.IFS($A27 = "", "", $A27 = Label_Total, "", 1, MAX(_xlfn._xlws.FILTER(INDEX(Rent_Roll_Input_Total,0, 10),INDEX(Rent_Roll_Input_Total,0, 20)=$A27)))</f>
        <v/>
      </c>
      <c r="G27" s="104" t="str" cm="1">
        <f t="array" aca="1" ref="G27" ca="1">_xlfn.IFS(A27="", "", A27 = Label_Total, "", 1, TEXT(E27, "$#,##0") &amp; " - " &amp; TEXT(F27, "$#,##0"))</f>
        <v/>
      </c>
      <c r="H27" s="107" t="str" cm="1">
        <f t="array" aca="1" ref="H27" ca="1">_xlfn.IFS($A27 = "", "", $A27 = Label_Total, "", 1, MIN(_xlfn._xlws.FILTER(INDEX(Rent_Roll_Input_Total,0, 7),INDEX(Rent_Roll_Input_Total,0, 20)=$A27)))</f>
        <v/>
      </c>
      <c r="I27" s="107" t="str" cm="1">
        <f t="array" aca="1" ref="I27" ca="1">_xlfn.IFS($A27 = "", "", $A27 = Label_Total, "", 1, MAX(_xlfn._xlws.FILTER(INDEX(Rent_Roll_Input_Total,0, 7),INDEX(Rent_Roll_Input_Total,0, 20)=$A27)))</f>
        <v/>
      </c>
      <c r="J27" s="104" t="str" cm="1">
        <f t="array" aca="1" ref="J27" ca="1">_xlfn.IFS($A27="", "", A27 = Label_Total, "", 1, TEXT(H27, "$#,##0") &amp; " - " &amp; TEXT(I27, "$#,##0"))</f>
        <v/>
      </c>
      <c r="K27" s="107" t="str" cm="1">
        <f t="array" aca="1" ref="K27" ca="1">_xlfn.IFS($A27="", "",1, SUMPRODUCT(_xlfn._xlws.FILTER(INDEX(Rent_Roll_Input_Total, 0,5),INDEX(Rent_Roll_Input_Total, 0,20) = $A27), _xlfn._xlws.FILTER(INDEX(Rent_Roll_Input_Total, 0,7),INDEX(Rent_Roll_Input_Total, 0,20) = $A27)))</f>
        <v/>
      </c>
      <c r="L27" s="107" t="str">
        <f t="shared" si="42"/>
        <v/>
      </c>
      <c r="M27" s="107" t="str">
        <f t="shared" si="43"/>
        <v/>
      </c>
      <c r="N27" s="107" t="str">
        <f t="shared" si="4"/>
        <v/>
      </c>
      <c r="O27" s="107" t="str" cm="1">
        <f t="array" aca="1" ref="O27" ca="1">_xlfn.IFS(A27="", "",1, SUMPRODUCT(_xlfn._xlws.FILTER(INDEX(Rent_Roll_Input_Total, 0,5),INDEX(Rent_Roll_Input_Total, 0,20) = A27), _xlfn._xlws.FILTER(INDEX(Rent_Roll_Input_Total, 0,10),INDEX(Rent_Roll_Input_Total, 0,20) = A27)))</f>
        <v/>
      </c>
      <c r="P27" s="107" t="str">
        <f t="shared" si="44"/>
        <v/>
      </c>
      <c r="Q27" s="107" t="str">
        <f t="shared" si="45"/>
        <v/>
      </c>
      <c r="R27" s="107" t="str">
        <f t="shared" si="46"/>
        <v/>
      </c>
      <c r="S27" s="107" t="str" cm="1">
        <f t="array" aca="1" ref="S27" ca="1">_xlfn.IFS(A27="", "",1, SUMPRODUCT(_xlfn._xlws.FILTER(INDEX(Rent_Roll_Input_Total, 0,5),INDEX(Rent_Roll_Input_Total, 0,20) = A27), _xlfn._xlws.FILTER(INDEX(Rent_Roll_Input_Total, 0,8),INDEX(Rent_Roll_Input_Total, 0,20) = A27)))</f>
        <v/>
      </c>
      <c r="T27" s="107" t="str">
        <f t="shared" si="47"/>
        <v/>
      </c>
      <c r="U27" s="107" t="str">
        <f t="shared" si="48"/>
        <v/>
      </c>
      <c r="V27" s="107" t="str">
        <f t="shared" si="49"/>
        <v/>
      </c>
      <c r="W27" s="107" t="str" cm="1">
        <f t="array" aca="1" ref="W27" ca="1">_xlfn.IFS($A27="", "",1, SUMPRODUCT(_xlfn._xlws.FILTER(INDEX(Rent_Roll_Input_Total, 0,5),INDEX(Rent_Roll_Input_Total, 0,20) = $A27), _xlfn._xlws.FILTER(INDEX(Rent_Roll_Input_Total, 0,9),INDEX(Rent_Roll_Input_Total, 0,20) = $A27)))</f>
        <v/>
      </c>
      <c r="X27" s="107" t="str">
        <f t="shared" si="50"/>
        <v/>
      </c>
      <c r="Y27" s="107" t="str">
        <f t="shared" si="51"/>
        <v/>
      </c>
      <c r="Z27" s="107" t="str">
        <f t="shared" si="52"/>
        <v/>
      </c>
      <c r="AA27" s="287" t="str">
        <f t="shared" si="53"/>
        <v/>
      </c>
      <c r="AB27" s="287" t="str">
        <f t="shared" si="54"/>
        <v/>
      </c>
      <c r="AC27" s="287" t="str">
        <f t="shared" si="55"/>
        <v/>
      </c>
      <c r="AD27" s="287" t="str">
        <f t="shared" si="56"/>
        <v/>
      </c>
      <c r="AE27" s="287" t="str">
        <f t="shared" si="57"/>
        <v/>
      </c>
      <c r="AF27" s="287" t="str">
        <f t="shared" si="58"/>
        <v/>
      </c>
      <c r="AG27" s="287" t="str">
        <f t="shared" si="59"/>
        <v/>
      </c>
      <c r="AH27" s="287" t="str">
        <f t="shared" si="60"/>
        <v/>
      </c>
    </row>
    <row r="28" spans="1:34" x14ac:dyDescent="0.25">
      <c r="A28" s="288"/>
      <c r="B28" s="104" t="str" cm="1">
        <f t="array" ref="B28">_xlfn.IFS(A28="","",1,SUMIFS('Rent Roll Input'!$F$4:$F$214,'Rent Roll Input'!$U$4:$U$214,$A28))</f>
        <v/>
      </c>
      <c r="C28" s="104" t="str" cm="1">
        <f t="array" ref="C28">_xlfn.IFS(B28="","",A28 = Label_Total, 'Rent Roll Input'!$G$4,1,SUMIFS('Rent Roll Input'!$T$5:$T$214,'Rent Roll Input'!$U$5:$U$214,$A28))</f>
        <v/>
      </c>
      <c r="D28" s="106" t="str">
        <f t="shared" si="41"/>
        <v/>
      </c>
      <c r="E28" s="107" t="str" cm="1">
        <f t="array" aca="1" ref="E28" ca="1">_xlfn.IFS($A28 = "", "", $A28 = Label_Total, "", 1, MIN(_xlfn._xlws.FILTER(INDEX(Rent_Roll_Input_Total,0, 10),INDEX(Rent_Roll_Input_Total,0, 20)=$A28)))</f>
        <v/>
      </c>
      <c r="F28" s="107" t="str" cm="1">
        <f t="array" aca="1" ref="F28" ca="1">_xlfn.IFS($A28 = "", "", $A28 = Label_Total, "", 1, MAX(_xlfn._xlws.FILTER(INDEX(Rent_Roll_Input_Total,0, 10),INDEX(Rent_Roll_Input_Total,0, 20)=$A28)))</f>
        <v/>
      </c>
      <c r="G28" s="104" t="str" cm="1">
        <f t="array" aca="1" ref="G28" ca="1">_xlfn.IFS(A28="", "", A28 = Label_Total, "", 1, TEXT(E28, "$#,##0") &amp; " - " &amp; TEXT(F28, "$#,##0"))</f>
        <v/>
      </c>
      <c r="H28" s="107" t="str" cm="1">
        <f t="array" aca="1" ref="H28" ca="1">_xlfn.IFS($A28 = "", "", $A28 = Label_Total, "", 1, MIN(_xlfn._xlws.FILTER(INDEX(Rent_Roll_Input_Total,0, 7),INDEX(Rent_Roll_Input_Total,0, 20)=$A28)))</f>
        <v/>
      </c>
      <c r="I28" s="107" t="str" cm="1">
        <f t="array" aca="1" ref="I28" ca="1">_xlfn.IFS($A28 = "", "", $A28 = Label_Total, "", 1, MAX(_xlfn._xlws.FILTER(INDEX(Rent_Roll_Input_Total,0, 7),INDEX(Rent_Roll_Input_Total,0, 20)=$A28)))</f>
        <v/>
      </c>
      <c r="J28" s="104" t="str" cm="1">
        <f t="array" aca="1" ref="J28" ca="1">_xlfn.IFS($A28="", "", A28 = Label_Total, "", 1, TEXT(H28, "$#,##0") &amp; " - " &amp; TEXT(I28, "$#,##0"))</f>
        <v/>
      </c>
      <c r="K28" s="107" t="str" cm="1">
        <f t="array" aca="1" ref="K28" ca="1">_xlfn.IFS($A28="", "",1, SUMPRODUCT(_xlfn._xlws.FILTER(INDEX(Rent_Roll_Input_Total, 0,5),INDEX(Rent_Roll_Input_Total, 0,20) = $A28), _xlfn._xlws.FILTER(INDEX(Rent_Roll_Input_Total, 0,7),INDEX(Rent_Roll_Input_Total, 0,20) = $A28)))</f>
        <v/>
      </c>
      <c r="L28" s="107" t="str">
        <f t="shared" si="42"/>
        <v/>
      </c>
      <c r="M28" s="107" t="str">
        <f t="shared" si="43"/>
        <v/>
      </c>
      <c r="N28" s="107" t="str">
        <f t="shared" si="4"/>
        <v/>
      </c>
      <c r="O28" s="107" t="str" cm="1">
        <f t="array" aca="1" ref="O28" ca="1">_xlfn.IFS(A28="", "",1, SUMPRODUCT(_xlfn._xlws.FILTER(INDEX(Rent_Roll_Input_Total, 0,5),INDEX(Rent_Roll_Input_Total, 0,20) = A28), _xlfn._xlws.FILTER(INDEX(Rent_Roll_Input_Total, 0,10),INDEX(Rent_Roll_Input_Total, 0,20) = A28)))</f>
        <v/>
      </c>
      <c r="P28" s="107" t="str">
        <f t="shared" si="44"/>
        <v/>
      </c>
      <c r="Q28" s="107" t="str">
        <f t="shared" si="45"/>
        <v/>
      </c>
      <c r="R28" s="107" t="str">
        <f t="shared" si="46"/>
        <v/>
      </c>
      <c r="S28" s="107" t="str" cm="1">
        <f t="array" aca="1" ref="S28" ca="1">_xlfn.IFS(A28="", "",1, SUMPRODUCT(_xlfn._xlws.FILTER(INDEX(Rent_Roll_Input_Total, 0,5),INDEX(Rent_Roll_Input_Total, 0,20) = A28), _xlfn._xlws.FILTER(INDEX(Rent_Roll_Input_Total, 0,8),INDEX(Rent_Roll_Input_Total, 0,20) = A28)))</f>
        <v/>
      </c>
      <c r="T28" s="107" t="str">
        <f t="shared" si="47"/>
        <v/>
      </c>
      <c r="U28" s="107" t="str">
        <f t="shared" si="48"/>
        <v/>
      </c>
      <c r="V28" s="107" t="str">
        <f t="shared" si="49"/>
        <v/>
      </c>
      <c r="W28" s="107" t="str" cm="1">
        <f t="array" aca="1" ref="W28" ca="1">_xlfn.IFS($A28="", "",1, SUMPRODUCT(_xlfn._xlws.FILTER(INDEX(Rent_Roll_Input_Total, 0,5),INDEX(Rent_Roll_Input_Total, 0,20) = $A28), _xlfn._xlws.FILTER(INDEX(Rent_Roll_Input_Total, 0,9),INDEX(Rent_Roll_Input_Total, 0,20) = $A28)))</f>
        <v/>
      </c>
      <c r="X28" s="107" t="str">
        <f t="shared" si="50"/>
        <v/>
      </c>
      <c r="Y28" s="107" t="str">
        <f t="shared" si="51"/>
        <v/>
      </c>
      <c r="Z28" s="107" t="str">
        <f t="shared" si="52"/>
        <v/>
      </c>
      <c r="AA28" s="287" t="str">
        <f t="shared" si="53"/>
        <v/>
      </c>
      <c r="AB28" s="287" t="str">
        <f t="shared" si="54"/>
        <v/>
      </c>
      <c r="AC28" s="287" t="str">
        <f t="shared" si="55"/>
        <v/>
      </c>
      <c r="AD28" s="287" t="str">
        <f t="shared" si="56"/>
        <v/>
      </c>
      <c r="AE28" s="287" t="str">
        <f t="shared" si="57"/>
        <v/>
      </c>
      <c r="AF28" s="287" t="str">
        <f t="shared" si="58"/>
        <v/>
      </c>
      <c r="AG28" s="287" t="str">
        <f t="shared" si="59"/>
        <v/>
      </c>
      <c r="AH28" s="287" t="str">
        <f t="shared" si="60"/>
        <v/>
      </c>
    </row>
    <row r="29" spans="1:34" x14ac:dyDescent="0.25">
      <c r="A29" s="288"/>
      <c r="B29" s="104" t="str" cm="1">
        <f t="array" ref="B29">_xlfn.IFS(A29="","",1,SUMIFS('Rent Roll Input'!$F$4:$F$214,'Rent Roll Input'!$U$4:$U$214,$A29))</f>
        <v/>
      </c>
      <c r="C29" s="104" t="str" cm="1">
        <f t="array" ref="C29">_xlfn.IFS(B29="","",A29 = Label_Total, 'Rent Roll Input'!$G$4,1,SUMIFS('Rent Roll Input'!$T$5:$T$214,'Rent Roll Input'!$U$5:$U$214,$A29))</f>
        <v/>
      </c>
      <c r="D29" s="106" t="str">
        <f t="shared" si="41"/>
        <v/>
      </c>
      <c r="E29" s="107" t="str" cm="1">
        <f t="array" aca="1" ref="E29" ca="1">_xlfn.IFS($A29 = "", "", $A29 = Label_Total, "", 1, MIN(_xlfn._xlws.FILTER(INDEX(Rent_Roll_Input_Total,0, 10),INDEX(Rent_Roll_Input_Total,0, 20)=$A29)))</f>
        <v/>
      </c>
      <c r="F29" s="107" t="str" cm="1">
        <f t="array" aca="1" ref="F29" ca="1">_xlfn.IFS($A29 = "", "", $A29 = Label_Total, "", 1, MAX(_xlfn._xlws.FILTER(INDEX(Rent_Roll_Input_Total,0, 10),INDEX(Rent_Roll_Input_Total,0, 20)=$A29)))</f>
        <v/>
      </c>
      <c r="G29" s="104" t="str" cm="1">
        <f t="array" aca="1" ref="G29" ca="1">_xlfn.IFS(A29="", "", A29 = Label_Total, "", 1, TEXT(E29, "$#,##0") &amp; " - " &amp; TEXT(F29, "$#,##0"))</f>
        <v/>
      </c>
      <c r="H29" s="107" t="str" cm="1">
        <f t="array" aca="1" ref="H29" ca="1">_xlfn.IFS($A29 = "", "", $A29 = Label_Total, "", 1, MIN(_xlfn._xlws.FILTER(INDEX(Rent_Roll_Input_Total,0, 7),INDEX(Rent_Roll_Input_Total,0, 20)=$A29)))</f>
        <v/>
      </c>
      <c r="I29" s="107" t="str" cm="1">
        <f t="array" aca="1" ref="I29" ca="1">_xlfn.IFS($A29 = "", "", $A29 = Label_Total, "", 1, MAX(_xlfn._xlws.FILTER(INDEX(Rent_Roll_Input_Total,0, 7),INDEX(Rent_Roll_Input_Total,0, 20)=$A29)))</f>
        <v/>
      </c>
      <c r="J29" s="104" t="str" cm="1">
        <f t="array" aca="1" ref="J29" ca="1">_xlfn.IFS($A29="", "", A29 = Label_Total, "", 1, TEXT(H29, "$#,##0") &amp; " - " &amp; TEXT(I29, "$#,##0"))</f>
        <v/>
      </c>
      <c r="K29" s="107" t="str" cm="1">
        <f t="array" aca="1" ref="K29" ca="1">_xlfn.IFS($A29="", "",1, SUMPRODUCT(_xlfn._xlws.FILTER(INDEX(Rent_Roll_Input_Total, 0,5),INDEX(Rent_Roll_Input_Total, 0,20) = $A29), _xlfn._xlws.FILTER(INDEX(Rent_Roll_Input_Total, 0,7),INDEX(Rent_Roll_Input_Total, 0,20) = $A29)))</f>
        <v/>
      </c>
      <c r="L29" s="107" t="str">
        <f t="shared" si="42"/>
        <v/>
      </c>
      <c r="M29" s="107" t="str">
        <f t="shared" si="43"/>
        <v/>
      </c>
      <c r="N29" s="107" t="str">
        <f t="shared" si="4"/>
        <v/>
      </c>
      <c r="O29" s="107" t="str" cm="1">
        <f t="array" aca="1" ref="O29" ca="1">_xlfn.IFS(A29="", "",1, SUMPRODUCT(_xlfn._xlws.FILTER(INDEX(Rent_Roll_Input_Total, 0,5),INDEX(Rent_Roll_Input_Total, 0,20) = A29), _xlfn._xlws.FILTER(INDEX(Rent_Roll_Input_Total, 0,10),INDEX(Rent_Roll_Input_Total, 0,20) = A29)))</f>
        <v/>
      </c>
      <c r="P29" s="107" t="str">
        <f t="shared" si="44"/>
        <v/>
      </c>
      <c r="Q29" s="107" t="str">
        <f t="shared" si="45"/>
        <v/>
      </c>
      <c r="R29" s="107" t="str">
        <f t="shared" si="46"/>
        <v/>
      </c>
      <c r="S29" s="107" t="str" cm="1">
        <f t="array" aca="1" ref="S29" ca="1">_xlfn.IFS(A29="", "",1, SUMPRODUCT(_xlfn._xlws.FILTER(INDEX(Rent_Roll_Input_Total, 0,5),INDEX(Rent_Roll_Input_Total, 0,20) = A29), _xlfn._xlws.FILTER(INDEX(Rent_Roll_Input_Total, 0,8),INDEX(Rent_Roll_Input_Total, 0,20) = A29)))</f>
        <v/>
      </c>
      <c r="T29" s="107" t="str">
        <f t="shared" si="47"/>
        <v/>
      </c>
      <c r="U29" s="107" t="str">
        <f t="shared" si="48"/>
        <v/>
      </c>
      <c r="V29" s="107" t="str">
        <f t="shared" si="49"/>
        <v/>
      </c>
      <c r="W29" s="107" t="str" cm="1">
        <f t="array" aca="1" ref="W29" ca="1">_xlfn.IFS($A29="", "",1, SUMPRODUCT(_xlfn._xlws.FILTER(INDEX(Rent_Roll_Input_Total, 0,5),INDEX(Rent_Roll_Input_Total, 0,20) = $A29), _xlfn._xlws.FILTER(INDEX(Rent_Roll_Input_Total, 0,9),INDEX(Rent_Roll_Input_Total, 0,20) = $A29)))</f>
        <v/>
      </c>
      <c r="X29" s="107" t="str">
        <f t="shared" si="50"/>
        <v/>
      </c>
      <c r="Y29" s="107" t="str">
        <f t="shared" si="51"/>
        <v/>
      </c>
      <c r="Z29" s="107" t="str">
        <f t="shared" si="52"/>
        <v/>
      </c>
      <c r="AA29" s="287" t="str">
        <f t="shared" si="53"/>
        <v/>
      </c>
      <c r="AB29" s="287" t="str">
        <f t="shared" si="54"/>
        <v/>
      </c>
      <c r="AC29" s="287" t="str">
        <f t="shared" si="55"/>
        <v/>
      </c>
      <c r="AD29" s="287" t="str">
        <f t="shared" si="56"/>
        <v/>
      </c>
      <c r="AE29" s="287" t="str">
        <f t="shared" si="57"/>
        <v/>
      </c>
      <c r="AF29" s="287" t="str">
        <f t="shared" si="58"/>
        <v/>
      </c>
      <c r="AG29" s="287" t="str">
        <f t="shared" si="59"/>
        <v/>
      </c>
      <c r="AH29" s="287" t="str">
        <f t="shared" si="60"/>
        <v/>
      </c>
    </row>
    <row r="30" spans="1:34" x14ac:dyDescent="0.25">
      <c r="A30" s="288"/>
      <c r="B30" s="104" t="str" cm="1">
        <f t="array" ref="B30">_xlfn.IFS(A30="","",1,SUMIFS('Rent Roll Input'!$F$4:$F$214,'Rent Roll Input'!$U$4:$U$214,$A30))</f>
        <v/>
      </c>
      <c r="C30" s="104" t="str" cm="1">
        <f t="array" ref="C30">_xlfn.IFS(B30="","",A30 = Label_Total, 'Rent Roll Input'!$G$4,1,SUMIFS('Rent Roll Input'!$T$5:$T$214,'Rent Roll Input'!$U$5:$U$214,$A30))</f>
        <v/>
      </c>
      <c r="D30" s="106" t="str">
        <f t="shared" si="41"/>
        <v/>
      </c>
      <c r="E30" s="107" t="str" cm="1">
        <f t="array" aca="1" ref="E30" ca="1">_xlfn.IFS($A30 = "", "", $A30 = Label_Total, "", 1, MIN(_xlfn._xlws.FILTER(INDEX(Rent_Roll_Input_Total,0, 10),INDEX(Rent_Roll_Input_Total,0, 20)=$A30)))</f>
        <v/>
      </c>
      <c r="F30" s="107" t="str" cm="1">
        <f t="array" aca="1" ref="F30" ca="1">_xlfn.IFS($A30 = "", "", $A30 = Label_Total, "", 1, MAX(_xlfn._xlws.FILTER(INDEX(Rent_Roll_Input_Total,0, 10),INDEX(Rent_Roll_Input_Total,0, 20)=$A30)))</f>
        <v/>
      </c>
      <c r="G30" s="104" t="str" cm="1">
        <f t="array" aca="1" ref="G30" ca="1">_xlfn.IFS(A30="", "", A30 = Label_Total, "", 1, TEXT(E30, "$#,##0") &amp; " - " &amp; TEXT(F30, "$#,##0"))</f>
        <v/>
      </c>
      <c r="H30" s="107" t="str" cm="1">
        <f t="array" aca="1" ref="H30" ca="1">_xlfn.IFS($A30 = "", "", $A30 = Label_Total, "", 1, MIN(_xlfn._xlws.FILTER(INDEX(Rent_Roll_Input_Total,0, 7),INDEX(Rent_Roll_Input_Total,0, 20)=$A30)))</f>
        <v/>
      </c>
      <c r="I30" s="107" t="str" cm="1">
        <f t="array" aca="1" ref="I30" ca="1">_xlfn.IFS($A30 = "", "", $A30 = Label_Total, "", 1, MAX(_xlfn._xlws.FILTER(INDEX(Rent_Roll_Input_Total,0, 7),INDEX(Rent_Roll_Input_Total,0, 20)=$A30)))</f>
        <v/>
      </c>
      <c r="J30" s="104" t="str" cm="1">
        <f t="array" aca="1" ref="J30" ca="1">_xlfn.IFS($A30="", "", A30 = Label_Total, "", 1, TEXT(H30, "$#,##0") &amp; " - " &amp; TEXT(I30, "$#,##0"))</f>
        <v/>
      </c>
      <c r="K30" s="107" t="str" cm="1">
        <f t="array" aca="1" ref="K30" ca="1">_xlfn.IFS($A30="", "",1, SUMPRODUCT(_xlfn._xlws.FILTER(INDEX(Rent_Roll_Input_Total, 0,5),INDEX(Rent_Roll_Input_Total, 0,20) = $A30), _xlfn._xlws.FILTER(INDEX(Rent_Roll_Input_Total, 0,7),INDEX(Rent_Roll_Input_Total, 0,20) = $A30)))</f>
        <v/>
      </c>
      <c r="L30" s="107" t="str">
        <f t="shared" si="42"/>
        <v/>
      </c>
      <c r="M30" s="107" t="str">
        <f t="shared" si="43"/>
        <v/>
      </c>
      <c r="N30" s="107" t="str">
        <f t="shared" si="4"/>
        <v/>
      </c>
      <c r="O30" s="107" t="str" cm="1">
        <f t="array" aca="1" ref="O30" ca="1">_xlfn.IFS(A30="", "",1, SUMPRODUCT(_xlfn._xlws.FILTER(INDEX(Rent_Roll_Input_Total, 0,5),INDEX(Rent_Roll_Input_Total, 0,20) = A30), _xlfn._xlws.FILTER(INDEX(Rent_Roll_Input_Total, 0,10),INDEX(Rent_Roll_Input_Total, 0,20) = A30)))</f>
        <v/>
      </c>
      <c r="P30" s="107" t="str">
        <f t="shared" si="44"/>
        <v/>
      </c>
      <c r="Q30" s="107" t="str">
        <f t="shared" si="45"/>
        <v/>
      </c>
      <c r="R30" s="107" t="str">
        <f t="shared" si="46"/>
        <v/>
      </c>
      <c r="S30" s="107" t="str" cm="1">
        <f t="array" aca="1" ref="S30" ca="1">_xlfn.IFS(A30="", "",1, SUMPRODUCT(_xlfn._xlws.FILTER(INDEX(Rent_Roll_Input_Total, 0,5),INDEX(Rent_Roll_Input_Total, 0,20) = A30), _xlfn._xlws.FILTER(INDEX(Rent_Roll_Input_Total, 0,8),INDEX(Rent_Roll_Input_Total, 0,20) = A30)))</f>
        <v/>
      </c>
      <c r="T30" s="107" t="str">
        <f t="shared" si="47"/>
        <v/>
      </c>
      <c r="U30" s="107" t="str">
        <f t="shared" si="48"/>
        <v/>
      </c>
      <c r="V30" s="107" t="str">
        <f t="shared" si="49"/>
        <v/>
      </c>
      <c r="W30" s="107" t="str" cm="1">
        <f t="array" aca="1" ref="W30" ca="1">_xlfn.IFS($A30="", "",1, SUMPRODUCT(_xlfn._xlws.FILTER(INDEX(Rent_Roll_Input_Total, 0,5),INDEX(Rent_Roll_Input_Total, 0,20) = $A30), _xlfn._xlws.FILTER(INDEX(Rent_Roll_Input_Total, 0,9),INDEX(Rent_Roll_Input_Total, 0,20) = $A30)))</f>
        <v/>
      </c>
      <c r="X30" s="107" t="str">
        <f t="shared" si="50"/>
        <v/>
      </c>
      <c r="Y30" s="107" t="str">
        <f t="shared" si="51"/>
        <v/>
      </c>
      <c r="Z30" s="107" t="str">
        <f t="shared" si="52"/>
        <v/>
      </c>
      <c r="AA30" s="287" t="str">
        <f t="shared" si="53"/>
        <v/>
      </c>
      <c r="AB30" s="287" t="str">
        <f t="shared" si="54"/>
        <v/>
      </c>
      <c r="AC30" s="287" t="str">
        <f t="shared" si="55"/>
        <v/>
      </c>
      <c r="AD30" s="287" t="str">
        <f t="shared" si="56"/>
        <v/>
      </c>
      <c r="AE30" s="287" t="str">
        <f t="shared" si="57"/>
        <v/>
      </c>
      <c r="AF30" s="287" t="str">
        <f t="shared" si="58"/>
        <v/>
      </c>
      <c r="AG30" s="287" t="str">
        <f t="shared" si="59"/>
        <v/>
      </c>
      <c r="AH30" s="287" t="str">
        <f t="shared" si="60"/>
        <v/>
      </c>
    </row>
    <row r="31" spans="1:34" x14ac:dyDescent="0.25">
      <c r="A31" s="288"/>
      <c r="B31" s="104" t="str" cm="1">
        <f t="array" ref="B31">_xlfn.IFS(A31="","",1,SUMIFS('Rent Roll Input'!$F$4:$F$214,'Rent Roll Input'!$U$4:$U$214,$A31))</f>
        <v/>
      </c>
      <c r="C31" s="104" t="str" cm="1">
        <f t="array" ref="C31">_xlfn.IFS(B31="","",A31 = Label_Total, 'Rent Roll Input'!$G$4,1,SUMIFS('Rent Roll Input'!$T$5:$T$214,'Rent Roll Input'!$U$5:$U$214,$A31))</f>
        <v/>
      </c>
      <c r="D31" s="106" t="str">
        <f t="shared" si="41"/>
        <v/>
      </c>
      <c r="E31" s="107" t="str" cm="1">
        <f t="array" aca="1" ref="E31" ca="1">_xlfn.IFS($A31 = "", "", $A31 = Label_Total, "", 1, MIN(_xlfn._xlws.FILTER(INDEX(Rent_Roll_Input_Total,0, 10),INDEX(Rent_Roll_Input_Total,0, 20)=$A31)))</f>
        <v/>
      </c>
      <c r="F31" s="107" t="str" cm="1">
        <f t="array" aca="1" ref="F31" ca="1">_xlfn.IFS($A31 = "", "", $A31 = Label_Total, "", 1, MAX(_xlfn._xlws.FILTER(INDEX(Rent_Roll_Input_Total,0, 10),INDEX(Rent_Roll_Input_Total,0, 20)=$A31)))</f>
        <v/>
      </c>
      <c r="G31" s="104" t="str" cm="1">
        <f t="array" aca="1" ref="G31" ca="1">_xlfn.IFS(A31="", "", A31 = Label_Total, "", 1, TEXT(E31, "$#,##0") &amp; " - " &amp; TEXT(F31, "$#,##0"))</f>
        <v/>
      </c>
      <c r="H31" s="107" t="str" cm="1">
        <f t="array" aca="1" ref="H31" ca="1">_xlfn.IFS($A31 = "", "", $A31 = Label_Total, "", 1, MIN(_xlfn._xlws.FILTER(INDEX(Rent_Roll_Input_Total,0, 7),INDEX(Rent_Roll_Input_Total,0, 20)=$A31)))</f>
        <v/>
      </c>
      <c r="I31" s="107" t="str" cm="1">
        <f t="array" aca="1" ref="I31" ca="1">_xlfn.IFS($A31 = "", "", $A31 = Label_Total, "", 1, MAX(_xlfn._xlws.FILTER(INDEX(Rent_Roll_Input_Total,0, 7),INDEX(Rent_Roll_Input_Total,0, 20)=$A31)))</f>
        <v/>
      </c>
      <c r="J31" s="104" t="str" cm="1">
        <f t="array" aca="1" ref="J31" ca="1">_xlfn.IFS($A31="", "", A31 = Label_Total, "", 1, TEXT(H31, "$#,##0") &amp; " - " &amp; TEXT(I31, "$#,##0"))</f>
        <v/>
      </c>
      <c r="K31" s="107" t="str" cm="1">
        <f t="array" aca="1" ref="K31" ca="1">_xlfn.IFS($A31="", "",1, SUMPRODUCT(_xlfn._xlws.FILTER(INDEX(Rent_Roll_Input_Total, 0,5),INDEX(Rent_Roll_Input_Total, 0,20) = $A31), _xlfn._xlws.FILTER(INDEX(Rent_Roll_Input_Total, 0,7),INDEX(Rent_Roll_Input_Total, 0,20) = $A31)))</f>
        <v/>
      </c>
      <c r="L31" s="107" t="str">
        <f t="shared" si="42"/>
        <v/>
      </c>
      <c r="M31" s="107" t="str">
        <f t="shared" si="43"/>
        <v/>
      </c>
      <c r="N31" s="107" t="str">
        <f t="shared" si="4"/>
        <v/>
      </c>
      <c r="O31" s="107" t="str" cm="1">
        <f t="array" aca="1" ref="O31" ca="1">_xlfn.IFS(A31="", "",1, SUMPRODUCT(_xlfn._xlws.FILTER(INDEX(Rent_Roll_Input_Total, 0,5),INDEX(Rent_Roll_Input_Total, 0,20) = A31), _xlfn._xlws.FILTER(INDEX(Rent_Roll_Input_Total, 0,10),INDEX(Rent_Roll_Input_Total, 0,20) = A31)))</f>
        <v/>
      </c>
      <c r="P31" s="107" t="str">
        <f t="shared" si="44"/>
        <v/>
      </c>
      <c r="Q31" s="107" t="str">
        <f t="shared" si="45"/>
        <v/>
      </c>
      <c r="R31" s="107" t="str">
        <f t="shared" si="46"/>
        <v/>
      </c>
      <c r="S31" s="107" t="str" cm="1">
        <f t="array" aca="1" ref="S31" ca="1">_xlfn.IFS(A31="", "",1, SUMPRODUCT(_xlfn._xlws.FILTER(INDEX(Rent_Roll_Input_Total, 0,5),INDEX(Rent_Roll_Input_Total, 0,20) = A31), _xlfn._xlws.FILTER(INDEX(Rent_Roll_Input_Total, 0,8),INDEX(Rent_Roll_Input_Total, 0,20) = A31)))</f>
        <v/>
      </c>
      <c r="T31" s="107" t="str">
        <f t="shared" si="47"/>
        <v/>
      </c>
      <c r="U31" s="107" t="str">
        <f t="shared" si="48"/>
        <v/>
      </c>
      <c r="V31" s="107" t="str">
        <f t="shared" si="49"/>
        <v/>
      </c>
      <c r="W31" s="107" t="str" cm="1">
        <f t="array" aca="1" ref="W31" ca="1">_xlfn.IFS($A31="", "",1, SUMPRODUCT(_xlfn._xlws.FILTER(INDEX(Rent_Roll_Input_Total, 0,5),INDEX(Rent_Roll_Input_Total, 0,20) = $A31), _xlfn._xlws.FILTER(INDEX(Rent_Roll_Input_Total, 0,9),INDEX(Rent_Roll_Input_Total, 0,20) = $A31)))</f>
        <v/>
      </c>
      <c r="X31" s="107" t="str">
        <f t="shared" si="50"/>
        <v/>
      </c>
      <c r="Y31" s="107" t="str">
        <f t="shared" si="51"/>
        <v/>
      </c>
      <c r="Z31" s="107" t="str">
        <f t="shared" si="52"/>
        <v/>
      </c>
      <c r="AA31" s="287" t="str">
        <f t="shared" si="53"/>
        <v/>
      </c>
      <c r="AB31" s="287" t="str">
        <f t="shared" si="54"/>
        <v/>
      </c>
      <c r="AC31" s="287" t="str">
        <f t="shared" si="55"/>
        <v/>
      </c>
      <c r="AD31" s="287" t="str">
        <f t="shared" si="56"/>
        <v/>
      </c>
      <c r="AE31" s="287" t="str">
        <f t="shared" si="57"/>
        <v/>
      </c>
      <c r="AF31" s="287" t="str">
        <f t="shared" si="58"/>
        <v/>
      </c>
      <c r="AG31" s="287" t="str">
        <f t="shared" si="59"/>
        <v/>
      </c>
      <c r="AH31" s="287" t="str">
        <f t="shared" si="60"/>
        <v/>
      </c>
    </row>
    <row r="32" spans="1:34" x14ac:dyDescent="0.25">
      <c r="A32" s="284">
        <v>0</v>
      </c>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4"/>
      <c r="AB32" s="284"/>
      <c r="AC32" s="284"/>
      <c r="AD32" s="284"/>
      <c r="AE32" s="284"/>
      <c r="AF32" s="284"/>
      <c r="AG32" s="284"/>
      <c r="AH32" s="284"/>
    </row>
    <row r="33" spans="1:34" x14ac:dyDescent="0.25">
      <c r="A33" s="284" t="s">
        <v>304</v>
      </c>
      <c r="B33" s="285"/>
      <c r="C33" s="285"/>
      <c r="D33" s="285"/>
      <c r="E33" s="286" cm="1">
        <f t="array" aca="1" ref="E33" ca="1">IFERROR(_xlfn._xlws.FILTER($O$3:$O$31,$A$3:$A$31='Rent Roll Input'!$U$4)*12,0)</f>
        <v>0</v>
      </c>
      <c r="F33" s="286" cm="1">
        <f t="array" aca="1" ref="F33" ca="1">IFERROR(_xlfn._xlws.FILTER($O$3:$O$31,$A$3:$A$31='Rent Roll Input'!$U$4)*12,0)</f>
        <v>0</v>
      </c>
      <c r="G33" s="286" cm="1">
        <f t="array" aca="1" ref="G33" ca="1">IFERROR(_xlfn._xlws.FILTER($O$3:$O$31,$A$3:$A$31='Rent Roll Input'!$U$4)*12,0)</f>
        <v>0</v>
      </c>
      <c r="H33" s="286" cm="1">
        <f t="array" aca="1" ref="H33" ca="1">IFERROR(_xlfn._xlws.FILTER($K$3:$K$31,$A$3:$A$31='Rent Roll Input'!$U$4)*12,0)</f>
        <v>0</v>
      </c>
      <c r="I33" s="285" cm="1">
        <f t="array" aca="1" ref="I33" ca="1">_xlfn._xlws.FILTER($K$3:$K$31,$A$3:$A$31='Rent Roll Input'!$U$4)*12</f>
        <v>0</v>
      </c>
      <c r="J33" s="286" cm="1">
        <f t="array" aca="1" ref="J33" ca="1">_xlfn._xlws.FILTER($K$3:$K$31,$A$3:$A$31='Rent Roll Input'!$U$4)*12</f>
        <v>0</v>
      </c>
      <c r="K33" s="286" cm="1">
        <f t="array" aca="1" ref="K33" ca="1">_xlfn._xlws.FILTER($K$3:$K$31,$A$3:$A$31='Rent Roll Input'!$U$4)*12</f>
        <v>0</v>
      </c>
      <c r="L33" s="286" cm="1">
        <f t="array" aca="1" ref="L33" ca="1">_xlfn._xlws.FILTER($K$3:$K$31,$A$3:$A$31='Rent Roll Input'!$U$4)*12</f>
        <v>0</v>
      </c>
      <c r="M33" s="286" cm="1">
        <f t="array" aca="1" ref="M33" ca="1">_xlfn._xlws.FILTER($K$3:$K$31,$A$3:$A$31='Rent Roll Input'!$U$4)*12</f>
        <v>0</v>
      </c>
      <c r="N33" s="286" cm="1">
        <f t="array" aca="1" ref="N33" ca="1">_xlfn._xlws.FILTER($K$3:$K$31,$A$3:$A$31='Rent Roll Input'!$U$4)*12</f>
        <v>0</v>
      </c>
      <c r="O33" s="286" cm="1">
        <f t="array" aca="1" ref="O33" ca="1">_xlfn._xlws.FILTER($O$3:$O$31,$A$3:$A$31='Rent Roll Input'!$U$4)*12</f>
        <v>0</v>
      </c>
      <c r="P33" s="286" cm="1">
        <f t="array" aca="1" ref="P33" ca="1">_xlfn._xlws.FILTER($O$3:$O$31,$A$3:$A$31='Rent Roll Input'!$U$4)*12</f>
        <v>0</v>
      </c>
      <c r="Q33" s="286" cm="1">
        <f t="array" aca="1" ref="Q33" ca="1">_xlfn._xlws.FILTER($O$3:$O$31,$A$3:$A$31='Rent Roll Input'!$U$4)*12</f>
        <v>0</v>
      </c>
      <c r="R33" s="286" cm="1">
        <f t="array" aca="1" ref="R33" ca="1">_xlfn._xlws.FILTER($O$3:$O$31,$A$3:$A$31='Rent Roll Input'!$U$4)*12</f>
        <v>0</v>
      </c>
      <c r="S33" s="286" cm="1">
        <f t="array" aca="1" ref="S33" ca="1">_xlfn._xlws.FILTER($S$3:$S$31,$A$3:$A$31='Rent Roll Input'!$U$4)*12</f>
        <v>0</v>
      </c>
      <c r="T33" s="286" cm="1">
        <f t="array" aca="1" ref="T33" ca="1">_xlfn._xlws.FILTER($S$3:$S$31,$A$3:$A$31='Rent Roll Input'!$U$4)*12</f>
        <v>0</v>
      </c>
      <c r="U33" s="286" cm="1">
        <f t="array" aca="1" ref="U33" ca="1">_xlfn._xlws.FILTER($S$3:$S$31,$A$3:$A$31='Rent Roll Input'!$U$4)*12</f>
        <v>0</v>
      </c>
      <c r="V33" s="286" cm="1">
        <f t="array" aca="1" ref="V33" ca="1">_xlfn._xlws.FILTER($S$3:$S$31,$A$3:$A$31='Rent Roll Input'!$U$4)*12</f>
        <v>0</v>
      </c>
      <c r="W33" s="286" t="e" cm="1">
        <f t="array" aca="1" ref="W33" ca="1">_xlfn._xlws.FILTER($Z$3:$Z$31,$A$3:$A$31='Rent Roll Input'!$U$4)*12</f>
        <v>#DIV/0!</v>
      </c>
      <c r="X33" s="286" t="e" cm="1">
        <f t="array" aca="1" ref="X33" ca="1">_xlfn._xlws.FILTER($Z$3:$Z$31,$A$3:$A$31='Rent Roll Input'!$U$4)*12</f>
        <v>#DIV/0!</v>
      </c>
      <c r="Y33" s="286" t="e" cm="1">
        <f t="array" aca="1" ref="Y33" ca="1">_xlfn._xlws.FILTER($Z$3:$Z$31,$A$3:$A$31='Rent Roll Input'!$U$4)*12</f>
        <v>#DIV/0!</v>
      </c>
      <c r="Z33" s="286" t="e" cm="1">
        <f t="array" aca="1" ref="Z33" ca="1">_xlfn._xlws.FILTER($Z$3:$Z$31,$A$3:$A$31='Rent Roll Input'!$U$4)*12</f>
        <v>#DIV/0!</v>
      </c>
      <c r="AA33" s="284"/>
      <c r="AB33" s="284"/>
      <c r="AC33" s="284"/>
      <c r="AD33" s="284"/>
      <c r="AE33" s="284"/>
      <c r="AF33" s="284"/>
      <c r="AG33" s="284"/>
      <c r="AH33" s="284"/>
    </row>
  </sheetData>
  <pageMargins left="0.7" right="0.7" top="0.75" bottom="0.75" header="0.3" footer="0.3"/>
  <pageSetup orientation="portrait" horizontalDpi="1200" verticalDpi="1200" r:id="rId1"/>
  <customProperties>
    <customPr name="GU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DC7F-ADAA-431A-9B4F-AFCD21F54C4C}">
  <sheetPr codeName="Sheet8">
    <tabColor rgb="FF4D4D4D"/>
  </sheetPr>
  <dimension ref="A1:T75"/>
  <sheetViews>
    <sheetView workbookViewId="0">
      <selection activeCell="C3" sqref="C3:D7"/>
    </sheetView>
  </sheetViews>
  <sheetFormatPr defaultColWidth="8.85546875" defaultRowHeight="15" x14ac:dyDescent="0.25"/>
  <cols>
    <col min="1" max="1" width="8.42578125" bestFit="1" customWidth="1"/>
    <col min="2" max="2" width="5" bestFit="1" customWidth="1"/>
    <col min="3" max="3" width="8.28515625" bestFit="1" customWidth="1"/>
    <col min="4" max="4" width="11.140625" bestFit="1" customWidth="1"/>
    <col min="5" max="5" width="5.42578125" bestFit="1" customWidth="1"/>
    <col min="6" max="6" width="11.42578125" bestFit="1" customWidth="1"/>
    <col min="7" max="7" width="26.42578125" bestFit="1" customWidth="1"/>
    <col min="8" max="8" width="27.28515625" bestFit="1" customWidth="1"/>
    <col min="9" max="9" width="23.42578125" bestFit="1" customWidth="1"/>
    <col min="10" max="10" width="28.42578125" bestFit="1" customWidth="1"/>
    <col min="11" max="11" width="24" bestFit="1" customWidth="1"/>
    <col min="12" max="12" width="25.42578125" bestFit="1" customWidth="1"/>
    <col min="13" max="13" width="14.42578125" customWidth="1"/>
    <col min="16" max="16" width="19.42578125" customWidth="1"/>
    <col min="19" max="19" width="9.42578125" bestFit="1" customWidth="1"/>
    <col min="20" max="20" width="8.85546875" style="1040"/>
  </cols>
  <sheetData>
    <row r="1" spans="1:20" x14ac:dyDescent="0.25">
      <c r="A1" t="str" cm="1">
        <f t="array" aca="1" ref="A1:T2" ca="1">_xlfn._xlws.FILTER('Rent Roll Input'!B3:Z4,'Rent Roll Input'!B3:Z3&lt;&gt;"")</f>
        <v>Bed</v>
      </c>
      <c r="B1" t="str">
        <f ca="1"/>
        <v>Bath</v>
      </c>
      <c r="C1" t="str">
        <f ca="1"/>
        <v>Unit No.</v>
      </c>
      <c r="D1" t="str">
        <f ca="1"/>
        <v>Unit Description</v>
      </c>
      <c r="E1" t="str">
        <f ca="1"/>
        <v>Units</v>
      </c>
      <c r="F1" t="str">
        <f ca="1"/>
        <v>Square Feet</v>
      </c>
      <c r="G1" t="str">
        <f ca="1"/>
        <v>Currrent Rent / Unit / Month</v>
      </c>
      <c r="H1" t="str">
        <f ca="1"/>
        <v>Potential Rent / Unit / Month</v>
      </c>
      <c r="I1" t="str">
        <f ca="1"/>
        <v>Reno Rent / Unit / Month</v>
      </c>
      <c r="J1" t="str">
        <f ca="1"/>
        <v>Scheduled Rent / Unit / Month</v>
      </c>
      <c r="K1" t="str">
        <f ca="1"/>
        <v>Current Rent / SF / Month</v>
      </c>
      <c r="L1" t="str">
        <f ca="1"/>
        <v>Potential Rent / SF / Month</v>
      </c>
      <c r="M1" t="str">
        <f ca="1"/>
        <v>Reno Rent / SF / Month</v>
      </c>
      <c r="N1" t="str">
        <f ca="1"/>
        <v>Scheduled Rent / SF / Month</v>
      </c>
      <c r="O1" t="str">
        <f ca="1"/>
        <v>Current Rent / SF / Year</v>
      </c>
      <c r="P1" t="str">
        <f ca="1"/>
        <v>Potential Rent / SF / Year</v>
      </c>
      <c r="Q1" t="str">
        <f ca="1"/>
        <v>Reno Rent / SF / Year</v>
      </c>
      <c r="R1" t="str">
        <f ca="1"/>
        <v>Scheduled Rent / SF / Year</v>
      </c>
      <c r="S1" t="str">
        <f ca="1"/>
        <v>Total Sq Ft</v>
      </c>
      <c r="T1" s="1040" t="str">
        <f ca="1"/>
        <v>Unit Type</v>
      </c>
    </row>
    <row r="2" spans="1:20" x14ac:dyDescent="0.25">
      <c r="A2">
        <f ca="1"/>
        <v>0</v>
      </c>
      <c r="B2">
        <f ca="1"/>
        <v>0</v>
      </c>
      <c r="C2">
        <f ca="1"/>
        <v>0</v>
      </c>
      <c r="D2">
        <f ca="1"/>
        <v>0</v>
      </c>
      <c r="E2">
        <f ca="1"/>
        <v>0</v>
      </c>
      <c r="F2">
        <f ca="1"/>
        <v>0</v>
      </c>
      <c r="G2">
        <f ca="1"/>
        <v>0</v>
      </c>
      <c r="H2">
        <f ca="1"/>
        <v>0</v>
      </c>
      <c r="I2">
        <f ca="1"/>
        <v>0</v>
      </c>
      <c r="J2">
        <f ca="1"/>
        <v>0</v>
      </c>
      <c r="K2" t="e">
        <f ca="1"/>
        <v>#DIV/0!</v>
      </c>
      <c r="L2" t="e">
        <f ca="1"/>
        <v>#DIV/0!</v>
      </c>
      <c r="M2" t="e">
        <f ca="1"/>
        <v>#DIV/0!</v>
      </c>
      <c r="N2" t="e">
        <f ca="1"/>
        <v>#DIV/0!</v>
      </c>
      <c r="O2" t="e">
        <f ca="1"/>
        <v>#DIV/0!</v>
      </c>
      <c r="P2" t="e">
        <f ca="1"/>
        <v>#DIV/0!</v>
      </c>
      <c r="Q2" t="e">
        <f ca="1"/>
        <v>#DIV/0!</v>
      </c>
      <c r="R2" t="e">
        <f ca="1"/>
        <v>#DIV/0!</v>
      </c>
      <c r="S2" s="1039">
        <f ca="1"/>
        <v>0</v>
      </c>
      <c r="T2" s="1040" t="str">
        <f ca="1"/>
        <v>Totals/Weighted Averages</v>
      </c>
    </row>
    <row r="3" spans="1:20" x14ac:dyDescent="0.25">
      <c r="A3" t="e" cm="1" vm="1">
        <f t="array" ref="A3">_xlfn._xlws.FILTER('Rent Roll Input'!B5:U214, 'Rent Roll Input'!U5:U214&lt;&gt;"")</f>
        <v>#VALUE!</v>
      </c>
      <c r="S3" s="1039"/>
    </row>
    <row r="4" spans="1:20" x14ac:dyDescent="0.25">
      <c r="S4" s="1039"/>
    </row>
    <row r="5" spans="1:20" x14ac:dyDescent="0.25">
      <c r="S5" s="1039"/>
    </row>
    <row r="6" spans="1:20" x14ac:dyDescent="0.25">
      <c r="S6" s="1039"/>
    </row>
    <row r="7" spans="1:20" x14ac:dyDescent="0.25">
      <c r="S7" s="1039"/>
    </row>
    <row r="8" spans="1:20" x14ac:dyDescent="0.25">
      <c r="S8" s="1039"/>
    </row>
    <row r="9" spans="1:20" x14ac:dyDescent="0.25">
      <c r="S9" s="1039"/>
    </row>
    <row r="10" spans="1:20" x14ac:dyDescent="0.25">
      <c r="S10" s="1039"/>
    </row>
    <row r="11" spans="1:20" x14ac:dyDescent="0.25">
      <c r="S11" s="1039"/>
    </row>
    <row r="12" spans="1:20" x14ac:dyDescent="0.25">
      <c r="S12" s="1039"/>
    </row>
    <row r="13" spans="1:20" x14ac:dyDescent="0.25">
      <c r="S13" s="1039"/>
    </row>
    <row r="14" spans="1:20" x14ac:dyDescent="0.25">
      <c r="S14" s="1039"/>
    </row>
    <row r="15" spans="1:20" x14ac:dyDescent="0.25">
      <c r="S15" s="1039"/>
    </row>
    <row r="16" spans="1:20" x14ac:dyDescent="0.25">
      <c r="S16" s="1039"/>
    </row>
    <row r="17" spans="19:19" x14ac:dyDescent="0.25">
      <c r="S17" s="1039"/>
    </row>
    <row r="18" spans="19:19" x14ac:dyDescent="0.25">
      <c r="S18" s="1039"/>
    </row>
    <row r="19" spans="19:19" x14ac:dyDescent="0.25">
      <c r="S19" s="1039"/>
    </row>
    <row r="20" spans="19:19" x14ac:dyDescent="0.25">
      <c r="S20" s="1039"/>
    </row>
    <row r="21" spans="19:19" x14ac:dyDescent="0.25">
      <c r="S21" s="1039"/>
    </row>
    <row r="22" spans="19:19" x14ac:dyDescent="0.25">
      <c r="S22" s="1039"/>
    </row>
    <row r="23" spans="19:19" x14ac:dyDescent="0.25">
      <c r="S23" s="1039"/>
    </row>
    <row r="24" spans="19:19" x14ac:dyDescent="0.25">
      <c r="S24" s="1039"/>
    </row>
    <row r="25" spans="19:19" x14ac:dyDescent="0.25">
      <c r="S25" s="1039"/>
    </row>
    <row r="26" spans="19:19" x14ac:dyDescent="0.25">
      <c r="S26" s="1039"/>
    </row>
    <row r="27" spans="19:19" x14ac:dyDescent="0.25">
      <c r="S27" s="1039"/>
    </row>
    <row r="28" spans="19:19" x14ac:dyDescent="0.25">
      <c r="S28" s="1039"/>
    </row>
    <row r="29" spans="19:19" x14ac:dyDescent="0.25">
      <c r="S29" s="1039"/>
    </row>
    <row r="30" spans="19:19" x14ac:dyDescent="0.25">
      <c r="S30" s="1039"/>
    </row>
    <row r="31" spans="19:19" x14ac:dyDescent="0.25">
      <c r="S31" s="1039"/>
    </row>
    <row r="32" spans="19:19" x14ac:dyDescent="0.25">
      <c r="S32" s="1039"/>
    </row>
    <row r="33" spans="19:19" x14ac:dyDescent="0.25">
      <c r="S33" s="1039"/>
    </row>
    <row r="34" spans="19:19" x14ac:dyDescent="0.25">
      <c r="S34" s="1039"/>
    </row>
    <row r="35" spans="19:19" x14ac:dyDescent="0.25">
      <c r="S35" s="1039"/>
    </row>
    <row r="36" spans="19:19" x14ac:dyDescent="0.25">
      <c r="S36" s="1039"/>
    </row>
    <row r="37" spans="19:19" x14ac:dyDescent="0.25">
      <c r="S37" s="1039"/>
    </row>
    <row r="38" spans="19:19" x14ac:dyDescent="0.25">
      <c r="S38" s="1039"/>
    </row>
    <row r="39" spans="19:19" x14ac:dyDescent="0.25">
      <c r="S39" s="1039"/>
    </row>
    <row r="40" spans="19:19" x14ac:dyDescent="0.25">
      <c r="S40" s="1039"/>
    </row>
    <row r="41" spans="19:19" x14ac:dyDescent="0.25">
      <c r="S41" s="1039"/>
    </row>
    <row r="42" spans="19:19" x14ac:dyDescent="0.25">
      <c r="S42" s="1039"/>
    </row>
    <row r="43" spans="19:19" x14ac:dyDescent="0.25">
      <c r="S43" s="1039"/>
    </row>
    <row r="44" spans="19:19" x14ac:dyDescent="0.25">
      <c r="S44" s="1039"/>
    </row>
    <row r="45" spans="19:19" x14ac:dyDescent="0.25">
      <c r="S45" s="1039"/>
    </row>
    <row r="46" spans="19:19" x14ac:dyDescent="0.25">
      <c r="S46" s="1039"/>
    </row>
    <row r="47" spans="19:19" x14ac:dyDescent="0.25">
      <c r="S47" s="1039"/>
    </row>
    <row r="48" spans="19:19" x14ac:dyDescent="0.25">
      <c r="S48" s="1039"/>
    </row>
    <row r="49" spans="19:19" x14ac:dyDescent="0.25">
      <c r="S49" s="1039"/>
    </row>
    <row r="50" spans="19:19" x14ac:dyDescent="0.25">
      <c r="S50" s="1039"/>
    </row>
    <row r="51" spans="19:19" x14ac:dyDescent="0.25">
      <c r="S51" s="1039"/>
    </row>
    <row r="52" spans="19:19" x14ac:dyDescent="0.25">
      <c r="S52" s="1039"/>
    </row>
    <row r="53" spans="19:19" x14ac:dyDescent="0.25">
      <c r="S53" s="1039"/>
    </row>
    <row r="54" spans="19:19" x14ac:dyDescent="0.25">
      <c r="S54" s="1039"/>
    </row>
    <row r="55" spans="19:19" x14ac:dyDescent="0.25">
      <c r="S55" s="1039"/>
    </row>
    <row r="56" spans="19:19" x14ac:dyDescent="0.25">
      <c r="S56" s="1039"/>
    </row>
    <row r="57" spans="19:19" x14ac:dyDescent="0.25">
      <c r="S57" s="1039"/>
    </row>
    <row r="58" spans="19:19" x14ac:dyDescent="0.25">
      <c r="S58" s="1039"/>
    </row>
    <row r="59" spans="19:19" x14ac:dyDescent="0.25">
      <c r="S59" s="1039"/>
    </row>
    <row r="60" spans="19:19" x14ac:dyDescent="0.25">
      <c r="S60" s="1039"/>
    </row>
    <row r="61" spans="19:19" x14ac:dyDescent="0.25">
      <c r="S61" s="1039"/>
    </row>
    <row r="62" spans="19:19" x14ac:dyDescent="0.25">
      <c r="S62" s="1039"/>
    </row>
    <row r="63" spans="19:19" x14ac:dyDescent="0.25">
      <c r="S63" s="1039"/>
    </row>
    <row r="64" spans="19:19" x14ac:dyDescent="0.25">
      <c r="S64" s="1039"/>
    </row>
    <row r="65" spans="19:19" x14ac:dyDescent="0.25">
      <c r="S65" s="1039"/>
    </row>
    <row r="66" spans="19:19" x14ac:dyDescent="0.25">
      <c r="S66" s="1039"/>
    </row>
    <row r="67" spans="19:19" x14ac:dyDescent="0.25">
      <c r="S67" s="1039"/>
    </row>
    <row r="68" spans="19:19" x14ac:dyDescent="0.25">
      <c r="S68" s="1039"/>
    </row>
    <row r="69" spans="19:19" x14ac:dyDescent="0.25">
      <c r="S69" s="1039"/>
    </row>
    <row r="70" spans="19:19" x14ac:dyDescent="0.25">
      <c r="S70" s="1039"/>
    </row>
    <row r="71" spans="19:19" x14ac:dyDescent="0.25">
      <c r="S71" s="1039"/>
    </row>
    <row r="72" spans="19:19" x14ac:dyDescent="0.25">
      <c r="S72" s="1039"/>
    </row>
    <row r="73" spans="19:19" x14ac:dyDescent="0.25">
      <c r="S73" s="1039"/>
    </row>
    <row r="74" spans="19:19" x14ac:dyDescent="0.25">
      <c r="S74" s="1039"/>
    </row>
    <row r="75" spans="19:19" x14ac:dyDescent="0.25">
      <c r="S75" s="1039"/>
    </row>
  </sheetData>
  <pageMargins left="0.7" right="0.7" top="0.75" bottom="0.75" header="0.3" footer="0.3"/>
  <pageSetup orientation="portrait" r:id="rId1"/>
  <customProperties>
    <customPr name="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5F4B-5840-4860-8CBF-50F7869DCDDB}">
  <sheetPr codeName="Sheet19">
    <tabColor rgb="FFD8E2EC"/>
  </sheetPr>
  <dimension ref="A1:U44"/>
  <sheetViews>
    <sheetView zoomScale="150" zoomScaleNormal="150" workbookViewId="0">
      <selection activeCell="C6" sqref="C6"/>
    </sheetView>
  </sheetViews>
  <sheetFormatPr defaultColWidth="8.85546875" defaultRowHeight="15" x14ac:dyDescent="0.25"/>
  <cols>
    <col min="2" max="2" width="44.42578125" customWidth="1"/>
    <col min="3" max="3" width="13.85546875" bestFit="1" customWidth="1"/>
    <col min="4" max="4" width="3.28515625" customWidth="1"/>
    <col min="5" max="5" width="22.42578125" bestFit="1" customWidth="1"/>
    <col min="6" max="6" width="13.7109375" customWidth="1"/>
    <col min="7" max="7" width="4" customWidth="1"/>
    <col min="8" max="8" width="27" bestFit="1" customWidth="1"/>
    <col min="9" max="9" width="11.140625" bestFit="1" customWidth="1"/>
    <col min="10" max="10" width="3.85546875" customWidth="1"/>
    <col min="11" max="11" width="26.7109375" customWidth="1"/>
    <col min="12" max="12" width="12.7109375" customWidth="1"/>
    <col min="13" max="13" width="13.28515625" bestFit="1" customWidth="1"/>
    <col min="14" max="15" width="2" bestFit="1" customWidth="1"/>
    <col min="16" max="16" width="5.85546875" bestFit="1" customWidth="1"/>
    <col min="17" max="18" width="2" bestFit="1" customWidth="1"/>
    <col min="19" max="19" width="9.28515625" bestFit="1" customWidth="1"/>
  </cols>
  <sheetData>
    <row r="1" spans="1:21" x14ac:dyDescent="0.25">
      <c r="A1" s="699"/>
      <c r="B1" s="791"/>
      <c r="C1" s="791"/>
      <c r="D1" s="791"/>
      <c r="E1" s="699"/>
      <c r="F1" s="699"/>
      <c r="G1" s="699"/>
      <c r="H1" s="699"/>
      <c r="I1" s="699"/>
      <c r="J1" s="699"/>
      <c r="K1" s="699"/>
      <c r="L1" s="792"/>
      <c r="M1" s="792"/>
      <c r="N1" s="792"/>
      <c r="O1" s="792"/>
      <c r="P1" s="792"/>
      <c r="Q1" s="792"/>
      <c r="R1" s="792"/>
      <c r="S1" s="793"/>
      <c r="T1" s="793"/>
      <c r="U1" s="85"/>
    </row>
    <row r="2" spans="1:21" x14ac:dyDescent="0.25">
      <c r="A2" s="794"/>
      <c r="B2" s="795" t="s">
        <v>349</v>
      </c>
      <c r="C2" s="796"/>
      <c r="D2" s="797"/>
      <c r="E2" s="798"/>
      <c r="F2" s="799"/>
      <c r="G2" s="800"/>
      <c r="J2" s="798"/>
      <c r="K2" s="699"/>
      <c r="L2" s="792"/>
      <c r="M2" s="792"/>
      <c r="N2" s="792"/>
      <c r="O2" s="792"/>
      <c r="P2" s="792"/>
      <c r="Q2" s="792"/>
      <c r="R2" s="792"/>
      <c r="S2" s="793"/>
      <c r="T2" s="793"/>
      <c r="U2" s="85"/>
    </row>
    <row r="3" spans="1:21" x14ac:dyDescent="0.25">
      <c r="A3" s="802"/>
      <c r="B3" s="798"/>
      <c r="C3" s="798"/>
      <c r="D3" s="798"/>
      <c r="E3" s="798"/>
      <c r="F3" s="798"/>
      <c r="G3" s="798"/>
      <c r="H3" s="798"/>
      <c r="I3" s="801"/>
      <c r="J3" s="798"/>
      <c r="K3" s="802"/>
      <c r="L3" s="803"/>
      <c r="M3" s="803"/>
      <c r="N3" s="803"/>
      <c r="O3" s="803"/>
      <c r="P3" s="803"/>
      <c r="Q3" s="803"/>
      <c r="R3" s="803"/>
      <c r="S3" s="804"/>
      <c r="T3" s="804"/>
      <c r="U3" s="85"/>
    </row>
    <row r="4" spans="1:21" x14ac:dyDescent="0.25">
      <c r="A4" s="805"/>
      <c r="B4" s="840" t="s">
        <v>350</v>
      </c>
      <c r="C4" s="841"/>
      <c r="D4" s="806"/>
      <c r="E4" s="969"/>
      <c r="F4" s="969"/>
      <c r="H4" s="806"/>
      <c r="I4" s="807"/>
      <c r="J4" s="805"/>
      <c r="K4" s="805"/>
      <c r="L4" s="808"/>
      <c r="M4" s="808"/>
      <c r="N4" s="808"/>
      <c r="O4" s="808"/>
      <c r="P4" s="808"/>
      <c r="Q4" s="808"/>
      <c r="R4" s="808"/>
      <c r="S4" s="809"/>
      <c r="T4" s="809"/>
      <c r="U4" s="85"/>
    </row>
    <row r="5" spans="1:21" x14ac:dyDescent="0.25">
      <c r="A5" s="805"/>
      <c r="B5" s="838" t="s">
        <v>351</v>
      </c>
      <c r="C5" s="839">
        <f>sale_price</f>
        <v>0</v>
      </c>
      <c r="D5" s="806"/>
      <c r="E5" s="429"/>
      <c r="F5" s="862"/>
      <c r="G5" s="806"/>
      <c r="H5" s="806"/>
      <c r="I5" s="807"/>
      <c r="J5" s="805"/>
      <c r="K5" s="805"/>
      <c r="L5" s="808"/>
      <c r="M5" s="811"/>
      <c r="N5" s="808"/>
      <c r="O5" s="808"/>
      <c r="P5" s="808"/>
      <c r="Q5" s="808"/>
      <c r="R5" s="808"/>
      <c r="S5" s="809"/>
      <c r="T5" s="809"/>
      <c r="U5" s="85"/>
    </row>
    <row r="6" spans="1:21" x14ac:dyDescent="0.25">
      <c r="A6" s="805"/>
      <c r="B6" s="1051" t="s">
        <v>352</v>
      </c>
      <c r="C6" s="812"/>
      <c r="D6" s="806"/>
      <c r="E6" s="806"/>
      <c r="F6" s="862"/>
      <c r="G6" s="806"/>
      <c r="H6" s="806"/>
      <c r="I6" s="807"/>
      <c r="J6" s="805"/>
      <c r="K6" s="805"/>
      <c r="L6" s="808"/>
      <c r="M6" s="811"/>
      <c r="N6" s="808"/>
      <c r="O6" s="808"/>
      <c r="P6" s="808"/>
      <c r="Q6" s="808"/>
      <c r="R6" s="808"/>
      <c r="S6" s="809"/>
      <c r="T6" s="809"/>
      <c r="U6" s="85"/>
    </row>
    <row r="7" spans="1:21" x14ac:dyDescent="0.25">
      <c r="A7" s="805"/>
      <c r="B7" s="429" t="s">
        <v>353</v>
      </c>
      <c r="C7" s="810">
        <f>IFERROR(SED_Loan_Balance,0)</f>
        <v>0</v>
      </c>
      <c r="D7" s="806"/>
      <c r="E7" s="429"/>
      <c r="F7" s="862"/>
      <c r="G7" s="806"/>
      <c r="H7" s="806"/>
      <c r="I7" s="807"/>
      <c r="J7" s="805"/>
      <c r="K7" s="808"/>
      <c r="L7" s="808"/>
      <c r="M7" s="811"/>
      <c r="N7" s="808"/>
      <c r="O7" s="808"/>
      <c r="P7" s="808"/>
      <c r="Q7" s="808"/>
      <c r="R7" s="808"/>
      <c r="S7" s="809"/>
      <c r="T7" s="809"/>
      <c r="U7" s="85"/>
    </row>
    <row r="8" spans="1:21" x14ac:dyDescent="0.25">
      <c r="A8" s="805"/>
      <c r="B8" s="429" t="s">
        <v>354</v>
      </c>
      <c r="C8" s="810">
        <f>IFERROR(SED_Prepayment_Penalty,0)</f>
        <v>0</v>
      </c>
      <c r="D8" s="806"/>
      <c r="E8" s="861"/>
      <c r="F8" s="862"/>
      <c r="G8" s="806"/>
      <c r="H8" s="806"/>
      <c r="I8" s="807"/>
      <c r="J8" s="805"/>
      <c r="K8" s="808"/>
      <c r="L8" s="808"/>
      <c r="M8" s="808"/>
      <c r="N8" s="808"/>
      <c r="O8" s="808"/>
      <c r="P8" s="808"/>
      <c r="Q8" s="808"/>
      <c r="R8" s="808"/>
      <c r="S8" s="809"/>
      <c r="T8" s="809"/>
      <c r="U8" s="85"/>
    </row>
    <row r="9" spans="1:21" x14ac:dyDescent="0.25">
      <c r="A9" s="805"/>
      <c r="B9" s="429" t="s">
        <v>355</v>
      </c>
      <c r="C9" s="813">
        <f>C5-C6-C7-C8</f>
        <v>0</v>
      </c>
      <c r="D9" s="806"/>
      <c r="E9" s="429"/>
      <c r="F9" s="397"/>
      <c r="G9" s="806"/>
      <c r="H9" s="806"/>
      <c r="I9" s="807"/>
      <c r="J9" s="805"/>
      <c r="K9" s="808"/>
      <c r="L9" s="808"/>
      <c r="M9" s="811"/>
      <c r="N9" s="808"/>
      <c r="O9" s="808"/>
      <c r="P9" s="808"/>
      <c r="Q9" s="808"/>
      <c r="R9" s="808"/>
      <c r="S9" s="809"/>
      <c r="T9" s="809"/>
      <c r="U9" s="85"/>
    </row>
    <row r="10" spans="1:21" x14ac:dyDescent="0.25">
      <c r="A10" s="805"/>
      <c r="B10" s="875" t="s">
        <v>356</v>
      </c>
      <c r="C10" s="970" t="s">
        <v>286</v>
      </c>
      <c r="D10" s="806"/>
      <c r="E10" s="429"/>
      <c r="F10" s="397"/>
      <c r="G10" s="806"/>
      <c r="H10" s="806"/>
      <c r="I10" s="807"/>
      <c r="J10" s="805"/>
      <c r="K10" s="808"/>
      <c r="L10" s="808"/>
      <c r="M10" s="811"/>
      <c r="N10" s="808"/>
      <c r="O10" s="808"/>
      <c r="P10" s="808"/>
      <c r="Q10" s="808"/>
      <c r="R10" s="808"/>
      <c r="S10" s="809"/>
      <c r="T10" s="809"/>
      <c r="U10" s="85"/>
    </row>
    <row r="11" spans="1:21" x14ac:dyDescent="0.25">
      <c r="A11" s="802"/>
      <c r="B11" s="377"/>
      <c r="C11" s="377"/>
      <c r="D11" s="814"/>
      <c r="E11" s="814"/>
      <c r="F11" s="814"/>
      <c r="G11" s="814"/>
      <c r="H11" s="814"/>
      <c r="I11" s="815"/>
      <c r="J11" s="802"/>
      <c r="K11" s="803"/>
      <c r="L11" s="808"/>
      <c r="M11" s="811"/>
      <c r="N11" s="808"/>
      <c r="O11" s="803"/>
      <c r="P11" s="803"/>
      <c r="Q11" s="803"/>
      <c r="R11" s="803"/>
      <c r="S11" s="804"/>
      <c r="T11" s="804"/>
      <c r="U11" s="85"/>
    </row>
    <row r="12" spans="1:21" x14ac:dyDescent="0.25">
      <c r="A12" s="699"/>
      <c r="B12" s="1103" t="s">
        <v>357</v>
      </c>
      <c r="C12" s="1104"/>
      <c r="D12" s="816"/>
      <c r="E12" s="1103" t="s">
        <v>358</v>
      </c>
      <c r="F12" s="1104"/>
      <c r="G12" s="816"/>
      <c r="H12" s="1103" t="s">
        <v>359</v>
      </c>
      <c r="I12" s="1104"/>
      <c r="J12" s="816"/>
      <c r="K12" s="1093" t="s">
        <v>360</v>
      </c>
      <c r="L12" s="1093"/>
      <c r="M12" s="792"/>
      <c r="N12" s="817"/>
      <c r="O12" s="817"/>
      <c r="P12" s="817"/>
      <c r="Q12" s="817"/>
      <c r="R12" s="817"/>
      <c r="S12" s="818"/>
      <c r="T12" s="818"/>
      <c r="U12" s="85"/>
    </row>
    <row r="13" spans="1:21" x14ac:dyDescent="0.25">
      <c r="A13" s="819"/>
      <c r="B13" s="820" t="s">
        <v>361</v>
      </c>
      <c r="C13" s="821"/>
      <c r="D13" s="822"/>
      <c r="E13" s="820" t="s">
        <v>361</v>
      </c>
      <c r="F13" s="823" t="s">
        <v>362</v>
      </c>
      <c r="G13" s="822"/>
      <c r="H13" s="820" t="s">
        <v>361</v>
      </c>
      <c r="I13" s="823" t="s">
        <v>362</v>
      </c>
      <c r="J13" s="822"/>
      <c r="K13" s="752" t="s">
        <v>127</v>
      </c>
      <c r="L13" s="863">
        <f ca="1">OFFSET(ERO_SaleStart,1,1)</f>
        <v>0</v>
      </c>
      <c r="M13" s="792"/>
      <c r="N13" s="792"/>
      <c r="O13" s="792"/>
      <c r="P13" s="792"/>
      <c r="Q13" s="792"/>
      <c r="R13" s="792"/>
      <c r="S13" s="793"/>
      <c r="T13" s="793"/>
      <c r="U13" s="85"/>
    </row>
    <row r="14" spans="1:21" x14ac:dyDescent="0.25">
      <c r="A14" s="819"/>
      <c r="B14" s="824" t="s">
        <v>363</v>
      </c>
      <c r="C14" s="825"/>
      <c r="D14" s="822"/>
      <c r="E14" s="824" t="s">
        <v>363</v>
      </c>
      <c r="F14" s="826"/>
      <c r="G14" s="822"/>
      <c r="H14" s="824" t="s">
        <v>363</v>
      </c>
      <c r="I14" s="827">
        <f>$F$14</f>
        <v>0</v>
      </c>
      <c r="J14" s="822"/>
      <c r="K14" s="873" t="s">
        <v>364</v>
      </c>
      <c r="L14" s="600">
        <f ca="1">OFFSET(ERO_SaleStart,4,1)</f>
        <v>0</v>
      </c>
      <c r="M14" s="792"/>
      <c r="N14" s="792"/>
      <c r="O14" s="792"/>
      <c r="P14" s="792"/>
      <c r="Q14" s="792"/>
      <c r="R14" s="792"/>
      <c r="S14" s="793"/>
      <c r="T14" s="793"/>
      <c r="U14" s="85"/>
    </row>
    <row r="15" spans="1:21" x14ac:dyDescent="0.25">
      <c r="A15" s="819"/>
      <c r="B15" s="824" t="s">
        <v>365</v>
      </c>
      <c r="C15" s="825"/>
      <c r="D15" s="822"/>
      <c r="E15" s="824" t="s">
        <v>365</v>
      </c>
      <c r="F15" s="825"/>
      <c r="G15" s="822"/>
      <c r="H15" s="824" t="s">
        <v>365</v>
      </c>
      <c r="I15" s="828">
        <f>$F$15</f>
        <v>0</v>
      </c>
      <c r="J15" s="822"/>
      <c r="K15" s="874" t="s">
        <v>353</v>
      </c>
      <c r="L15" s="618">
        <f ca="1">OFFSET(ERO_SaleStart,3,1)</f>
        <v>0</v>
      </c>
      <c r="M15" s="792"/>
      <c r="N15" s="792"/>
      <c r="O15" s="792"/>
      <c r="P15" s="792"/>
      <c r="Q15" s="792"/>
      <c r="R15" s="792"/>
      <c r="S15" s="793"/>
      <c r="T15" s="793"/>
      <c r="U15" s="85"/>
    </row>
    <row r="16" spans="1:21" x14ac:dyDescent="0.25">
      <c r="A16" s="819"/>
      <c r="B16" s="820" t="s">
        <v>127</v>
      </c>
      <c r="C16" s="829"/>
      <c r="D16" s="822"/>
      <c r="E16" s="820" t="s">
        <v>127</v>
      </c>
      <c r="F16" s="830">
        <f ca="1">OFFSET(ERO_SaleStart,1,1)</f>
        <v>0</v>
      </c>
      <c r="G16" s="822"/>
      <c r="H16" s="820" t="s">
        <v>366</v>
      </c>
      <c r="I16" s="830">
        <f ca="1">OFFSET(ERO_SaleStart,1,1)</f>
        <v>0</v>
      </c>
      <c r="J16" s="822"/>
      <c r="K16" s="752" t="s">
        <v>367</v>
      </c>
      <c r="L16" s="863">
        <f ca="1">13:13-SUM(L14:L15)</f>
        <v>0</v>
      </c>
      <c r="M16" s="792"/>
      <c r="N16" s="792"/>
      <c r="O16" s="792"/>
      <c r="P16" s="792"/>
      <c r="Q16" s="792"/>
      <c r="R16" s="792"/>
      <c r="S16" s="793"/>
      <c r="T16" s="793"/>
      <c r="U16" s="85"/>
    </row>
    <row r="17" spans="1:21" x14ac:dyDescent="0.25">
      <c r="A17" s="819"/>
      <c r="B17" s="380" t="s">
        <v>368</v>
      </c>
      <c r="C17" s="831">
        <f>IF(C16=0,0,C24/C16)</f>
        <v>0</v>
      </c>
      <c r="D17" s="822"/>
      <c r="E17" s="380" t="s">
        <v>368</v>
      </c>
      <c r="F17" s="831">
        <f ca="1">IF(F16=0,0,F24/F16)</f>
        <v>0</v>
      </c>
      <c r="G17" s="822"/>
      <c r="H17" s="380" t="s">
        <v>210</v>
      </c>
      <c r="I17" s="832"/>
      <c r="J17" s="822"/>
      <c r="K17" s="864" t="s">
        <v>369</v>
      </c>
      <c r="L17" s="865"/>
      <c r="M17" s="792"/>
      <c r="N17" s="792"/>
      <c r="O17" s="792"/>
      <c r="P17" s="792"/>
      <c r="Q17" s="792"/>
      <c r="R17" s="792"/>
      <c r="S17" s="793"/>
      <c r="T17" s="793"/>
      <c r="U17" s="85"/>
    </row>
    <row r="18" spans="1:21" x14ac:dyDescent="0.25">
      <c r="A18" s="819"/>
      <c r="B18" s="380" t="s">
        <v>210</v>
      </c>
      <c r="C18" s="831">
        <f>IF(C16=0,0, C20/C16)</f>
        <v>0</v>
      </c>
      <c r="D18" s="822"/>
      <c r="E18" s="380" t="s">
        <v>210</v>
      </c>
      <c r="F18" s="831">
        <f ca="1">IF(F16=0,0, F20/F16)</f>
        <v>0</v>
      </c>
      <c r="G18" s="822"/>
      <c r="H18" s="380" t="s">
        <v>370</v>
      </c>
      <c r="I18" s="407">
        <f ca="1">OFFSET(ERO_SaleStart,3,1)</f>
        <v>0</v>
      </c>
      <c r="J18" s="822"/>
      <c r="K18" s="866"/>
      <c r="L18" s="753"/>
      <c r="M18" s="792"/>
      <c r="N18" s="792"/>
      <c r="O18" s="792"/>
      <c r="P18" s="792"/>
      <c r="Q18" s="792"/>
      <c r="R18" s="792"/>
      <c r="S18" s="793"/>
      <c r="T18" s="793"/>
      <c r="U18" s="85"/>
    </row>
    <row r="19" spans="1:21" x14ac:dyDescent="0.25">
      <c r="A19" s="819"/>
      <c r="B19" s="380" t="s">
        <v>371</v>
      </c>
      <c r="C19" s="407">
        <f ca="1">OFFSET(ERO_SaleStart,5,1)</f>
        <v>0</v>
      </c>
      <c r="D19" s="822"/>
      <c r="E19" s="380" t="s">
        <v>372</v>
      </c>
      <c r="F19" s="407">
        <f ca="1">F16-F20</f>
        <v>0</v>
      </c>
      <c r="G19" s="822"/>
      <c r="H19" s="380" t="s">
        <v>373</v>
      </c>
      <c r="I19" s="407">
        <f ca="1">I17*I16</f>
        <v>0</v>
      </c>
      <c r="J19" s="822"/>
      <c r="K19" s="866"/>
      <c r="L19" s="753"/>
      <c r="M19" s="792"/>
      <c r="N19" s="792"/>
      <c r="O19" s="792"/>
      <c r="P19" s="792"/>
      <c r="Q19" s="792"/>
      <c r="R19" s="792"/>
      <c r="S19" s="793"/>
      <c r="T19" s="793"/>
      <c r="U19" s="85"/>
    </row>
    <row r="20" spans="1:21" x14ac:dyDescent="0.25">
      <c r="A20" s="819"/>
      <c r="B20" s="380" t="s">
        <v>374</v>
      </c>
      <c r="C20" s="407">
        <f ca="1">C16-C19</f>
        <v>0</v>
      </c>
      <c r="D20" s="822"/>
      <c r="E20" s="380" t="s">
        <v>375</v>
      </c>
      <c r="F20" s="407">
        <f ca="1">OFFSET(ERO_SaleStart,3,1)</f>
        <v>0</v>
      </c>
      <c r="G20" s="822"/>
      <c r="H20" s="380" t="s">
        <v>376</v>
      </c>
      <c r="I20" s="407">
        <f ca="1">I19-I18</f>
        <v>0</v>
      </c>
      <c r="J20" s="822"/>
      <c r="K20" s="866"/>
      <c r="L20" s="753"/>
      <c r="M20" s="792"/>
      <c r="N20" s="792"/>
      <c r="O20" s="792"/>
      <c r="P20" s="792"/>
      <c r="Q20" s="792"/>
      <c r="R20" s="792"/>
      <c r="S20" s="793"/>
      <c r="T20" s="793"/>
      <c r="U20" s="85"/>
    </row>
    <row r="21" spans="1:21" x14ac:dyDescent="0.25">
      <c r="A21" s="819"/>
      <c r="B21" s="380" t="s">
        <v>213</v>
      </c>
      <c r="C21" s="832"/>
      <c r="D21" s="822"/>
      <c r="E21" s="380" t="s">
        <v>213</v>
      </c>
      <c r="F21" s="831" cm="1">
        <f t="array" ref="F21">Current_Interest_Rate</f>
        <v>0</v>
      </c>
      <c r="G21" s="822"/>
      <c r="H21" s="380" t="s">
        <v>213</v>
      </c>
      <c r="I21" s="832"/>
      <c r="J21" s="822"/>
      <c r="K21" s="867"/>
      <c r="L21" s="754">
        <f ca="1">SUM((L13*L18),(L13*L19),(L13*L20))</f>
        <v>0</v>
      </c>
      <c r="M21" s="792"/>
      <c r="N21" s="792"/>
      <c r="O21" s="792"/>
      <c r="P21" s="792"/>
      <c r="Q21" s="792"/>
      <c r="R21" s="792"/>
      <c r="S21" s="793"/>
      <c r="T21" s="793"/>
      <c r="U21" s="85"/>
    </row>
    <row r="22" spans="1:21" x14ac:dyDescent="0.25">
      <c r="A22" s="819"/>
      <c r="B22" s="380" t="s">
        <v>377</v>
      </c>
      <c r="C22" s="825"/>
      <c r="D22" s="822"/>
      <c r="E22" s="380" t="s">
        <v>377</v>
      </c>
      <c r="F22" s="828" cm="1">
        <f t="array" ref="F22">Current_Amort</f>
        <v>0</v>
      </c>
      <c r="G22" s="822"/>
      <c r="H22" s="380" t="s">
        <v>377</v>
      </c>
      <c r="I22" s="825"/>
      <c r="J22" s="822"/>
      <c r="K22" s="864" t="s">
        <v>378</v>
      </c>
      <c r="L22" s="865"/>
      <c r="M22" s="792"/>
      <c r="N22" s="792"/>
      <c r="O22" s="792"/>
      <c r="P22" s="792"/>
      <c r="Q22" s="792"/>
      <c r="R22" s="792"/>
      <c r="S22" s="793"/>
      <c r="T22" s="793"/>
      <c r="U22" s="85"/>
    </row>
    <row r="23" spans="1:21" x14ac:dyDescent="0.25">
      <c r="A23" s="819"/>
      <c r="B23" s="380" t="s">
        <v>379</v>
      </c>
      <c r="C23" s="825"/>
      <c r="D23" s="822"/>
      <c r="E23" s="380" t="s">
        <v>379</v>
      </c>
      <c r="F23" s="828" cm="1">
        <f t="array" ref="F23">Current_Term</f>
        <v>0</v>
      </c>
      <c r="G23" s="822"/>
      <c r="H23" s="380" t="s">
        <v>379</v>
      </c>
      <c r="I23" s="825"/>
      <c r="J23" s="822"/>
      <c r="K23" s="866"/>
      <c r="L23" s="753"/>
      <c r="M23" s="792"/>
      <c r="N23" s="792"/>
      <c r="O23" s="792"/>
      <c r="P23" s="792"/>
      <c r="Q23" s="792"/>
      <c r="R23" s="792"/>
      <c r="S23" s="793"/>
      <c r="T23" s="793"/>
      <c r="U23" s="85"/>
    </row>
    <row r="24" spans="1:21" x14ac:dyDescent="0.25">
      <c r="A24" s="819"/>
      <c r="B24" s="833" t="s">
        <v>380</v>
      </c>
      <c r="C24" s="834"/>
      <c r="D24" s="822"/>
      <c r="E24" s="833" t="s">
        <v>380</v>
      </c>
      <c r="F24" s="835">
        <f ca="1">OFFSET('Operating Statement'!Q41,0,-IFERROR(OS_YrsHist+2-MATCH(C10, ddl_OpColumns, 0),1)*2,1,1)</f>
        <v>0</v>
      </c>
      <c r="G24" s="822"/>
      <c r="H24" s="833" t="s">
        <v>380</v>
      </c>
      <c r="I24" s="1042"/>
      <c r="J24" s="822"/>
      <c r="K24" s="866"/>
      <c r="L24" s="753"/>
      <c r="M24" s="792"/>
      <c r="N24" s="792"/>
      <c r="O24" s="792"/>
      <c r="P24" s="792"/>
      <c r="Q24" s="792"/>
      <c r="R24" s="792"/>
      <c r="S24" s="793"/>
      <c r="T24" s="793"/>
      <c r="U24" s="85"/>
    </row>
    <row r="25" spans="1:21" x14ac:dyDescent="0.25">
      <c r="A25" s="819"/>
      <c r="B25" s="440" t="s">
        <v>381</v>
      </c>
      <c r="C25" s="618">
        <f>IF(C22=0,0,-PMT(C21/12,C22*12,20:20)*12)</f>
        <v>0</v>
      </c>
      <c r="D25" s="822"/>
      <c r="E25" s="440" t="s">
        <v>381</v>
      </c>
      <c r="F25" s="618">
        <f>IF(F22=0,0,-Current_PMT*12)</f>
        <v>0</v>
      </c>
      <c r="G25" s="822"/>
      <c r="H25" s="440" t="s">
        <v>381</v>
      </c>
      <c r="I25" s="618">
        <f>IF(I22=0,0,-PMT(I21/12,I22*12,I19)*12)</f>
        <v>0</v>
      </c>
      <c r="J25" s="822"/>
      <c r="K25" s="867"/>
      <c r="L25" s="754">
        <f ca="1">SUM((L23*(L13-L21)),(L24*(L13-L21)))</f>
        <v>0</v>
      </c>
      <c r="M25" s="792"/>
      <c r="N25" s="792"/>
      <c r="O25" s="792"/>
      <c r="P25" s="792"/>
      <c r="Q25" s="792"/>
      <c r="R25" s="792"/>
      <c r="S25" s="793"/>
      <c r="T25" s="793"/>
      <c r="U25" s="85"/>
    </row>
    <row r="26" spans="1:21" x14ac:dyDescent="0.25">
      <c r="A26" s="819"/>
      <c r="B26" s="847" t="s">
        <v>382</v>
      </c>
      <c r="C26" s="848">
        <f>C24-C25</f>
        <v>0</v>
      </c>
      <c r="D26" s="822"/>
      <c r="E26" s="847" t="s">
        <v>382</v>
      </c>
      <c r="F26" s="848">
        <f ca="1">F24-F25</f>
        <v>0</v>
      </c>
      <c r="G26" s="822"/>
      <c r="H26" s="847" t="s">
        <v>382</v>
      </c>
      <c r="I26" s="848">
        <f>I24-I25</f>
        <v>0</v>
      </c>
      <c r="J26" s="822"/>
      <c r="K26" s="868" t="s">
        <v>383</v>
      </c>
      <c r="L26" s="869">
        <f ca="1">L16-L21-L25</f>
        <v>0</v>
      </c>
      <c r="M26" s="792"/>
      <c r="N26" s="792"/>
      <c r="O26" s="792"/>
      <c r="P26" s="792"/>
      <c r="Q26" s="792"/>
      <c r="R26" s="792"/>
      <c r="S26" s="793"/>
      <c r="T26" s="793"/>
      <c r="U26" s="85"/>
    </row>
    <row r="27" spans="1:21" x14ac:dyDescent="0.25">
      <c r="A27" s="819"/>
      <c r="B27" s="849" t="s">
        <v>384</v>
      </c>
      <c r="C27" s="850" t="str">
        <f ca="1">IFERROR(C26/C19,"")</f>
        <v/>
      </c>
      <c r="D27" s="822"/>
      <c r="E27" s="849" t="s">
        <v>384</v>
      </c>
      <c r="F27" s="850" t="str">
        <f ca="1">IFERROR(F26/F19,"")</f>
        <v/>
      </c>
      <c r="G27" s="822"/>
      <c r="H27" s="849" t="s">
        <v>384</v>
      </c>
      <c r="I27" s="850">
        <f ca="1">IF(I16-I18=0,0,I26/(I16-I19))</f>
        <v>0</v>
      </c>
      <c r="J27" s="822"/>
      <c r="K27" s="755" t="s">
        <v>385</v>
      </c>
      <c r="L27" s="870">
        <f ca="1">L16-L21</f>
        <v>0</v>
      </c>
      <c r="M27" s="792"/>
      <c r="N27" s="792"/>
      <c r="O27" s="792"/>
      <c r="P27" s="792"/>
      <c r="Q27" s="792"/>
      <c r="R27" s="792"/>
      <c r="S27" s="793"/>
      <c r="T27" s="793"/>
      <c r="U27" s="85"/>
    </row>
    <row r="28" spans="1:21" x14ac:dyDescent="0.25">
      <c r="A28" s="699"/>
      <c r="B28" s="842"/>
      <c r="C28" s="843"/>
      <c r="D28" s="699"/>
      <c r="E28" s="844"/>
      <c r="F28" s="843"/>
      <c r="G28" s="699"/>
      <c r="H28" s="845"/>
      <c r="I28" s="846"/>
      <c r="J28" s="836"/>
      <c r="K28" s="792"/>
      <c r="L28" s="792"/>
      <c r="M28" s="792"/>
      <c r="N28" s="792"/>
      <c r="O28" s="792"/>
      <c r="P28" s="792"/>
      <c r="Q28" s="792"/>
      <c r="R28" s="792"/>
      <c r="S28" s="793"/>
      <c r="T28" s="793"/>
      <c r="U28" s="85"/>
    </row>
    <row r="29" spans="1:21" x14ac:dyDescent="0.25">
      <c r="A29" s="699"/>
      <c r="B29" s="85"/>
      <c r="C29" s="85"/>
      <c r="D29" s="85"/>
      <c r="E29" s="85"/>
      <c r="F29" s="85"/>
      <c r="G29" s="85"/>
      <c r="H29" s="85"/>
      <c r="I29" s="85"/>
      <c r="J29" s="699"/>
      <c r="K29" s="792"/>
      <c r="L29" s="792"/>
      <c r="M29" s="792"/>
      <c r="N29" s="792"/>
      <c r="O29" s="792"/>
      <c r="P29" s="792"/>
      <c r="Q29" s="792"/>
      <c r="R29" s="792"/>
      <c r="S29" s="793"/>
      <c r="T29" s="793"/>
      <c r="U29" s="85"/>
    </row>
    <row r="30" spans="1:21" x14ac:dyDescent="0.25">
      <c r="A30" s="699"/>
      <c r="B30" s="1094" t="s">
        <v>386</v>
      </c>
      <c r="C30" s="1095"/>
      <c r="D30" s="1095"/>
      <c r="E30" s="1095"/>
      <c r="F30" s="1095"/>
      <c r="G30" s="1095"/>
      <c r="H30" s="1095"/>
      <c r="I30" s="1096"/>
      <c r="J30" s="699"/>
      <c r="K30" s="792"/>
      <c r="L30" s="792"/>
      <c r="M30" s="792"/>
      <c r="N30" s="792"/>
      <c r="O30" s="792"/>
      <c r="P30" s="792"/>
      <c r="Q30" s="792"/>
      <c r="R30" s="792"/>
      <c r="S30" s="793"/>
      <c r="T30" s="793"/>
      <c r="U30" s="85"/>
    </row>
    <row r="31" spans="1:21" x14ac:dyDescent="0.25">
      <c r="A31" s="699"/>
      <c r="B31" s="1097"/>
      <c r="C31" s="1098"/>
      <c r="D31" s="1098"/>
      <c r="E31" s="1098"/>
      <c r="F31" s="1098"/>
      <c r="G31" s="1098"/>
      <c r="H31" s="1098"/>
      <c r="I31" s="1099"/>
      <c r="J31" s="699"/>
      <c r="K31" s="792"/>
      <c r="L31" s="792"/>
      <c r="M31" s="792"/>
      <c r="N31" s="792"/>
      <c r="O31" s="792"/>
      <c r="P31" s="792"/>
      <c r="Q31" s="792"/>
      <c r="R31" s="792"/>
      <c r="S31" s="793"/>
      <c r="T31" s="793"/>
      <c r="U31" s="85"/>
    </row>
    <row r="32" spans="1:21" x14ac:dyDescent="0.25">
      <c r="A32" s="699"/>
      <c r="B32" s="1097"/>
      <c r="C32" s="1098"/>
      <c r="D32" s="1098"/>
      <c r="E32" s="1098"/>
      <c r="F32" s="1098"/>
      <c r="G32" s="1098"/>
      <c r="H32" s="1098"/>
      <c r="I32" s="1099"/>
      <c r="J32" s="699"/>
      <c r="K32" s="792"/>
      <c r="L32" s="792"/>
      <c r="M32" s="792"/>
      <c r="N32" s="792"/>
      <c r="O32" s="792"/>
      <c r="P32" s="792"/>
      <c r="Q32" s="792"/>
      <c r="R32" s="792"/>
      <c r="S32" s="793"/>
      <c r="T32" s="793"/>
      <c r="U32" s="85"/>
    </row>
    <row r="33" spans="1:21" x14ac:dyDescent="0.25">
      <c r="A33" s="699"/>
      <c r="B33" s="1100"/>
      <c r="C33" s="1101"/>
      <c r="D33" s="1101"/>
      <c r="E33" s="1101"/>
      <c r="F33" s="1101"/>
      <c r="G33" s="1101"/>
      <c r="H33" s="1101"/>
      <c r="I33" s="1102"/>
      <c r="J33" s="699"/>
      <c r="K33" s="792"/>
      <c r="L33" s="792"/>
      <c r="M33" s="792"/>
      <c r="N33" s="792"/>
      <c r="O33" s="792"/>
      <c r="P33" s="792"/>
      <c r="Q33" s="792"/>
      <c r="R33" s="792"/>
      <c r="S33" s="793"/>
      <c r="T33" s="793"/>
      <c r="U33" s="85"/>
    </row>
    <row r="34" spans="1:21" x14ac:dyDescent="0.25">
      <c r="A34" s="699"/>
      <c r="C34" s="699"/>
      <c r="D34" s="699"/>
      <c r="E34" s="699"/>
      <c r="F34" s="699"/>
      <c r="G34" s="699"/>
      <c r="H34" s="699"/>
      <c r="I34" s="699"/>
      <c r="J34" s="699"/>
      <c r="K34" s="792"/>
      <c r="L34" s="792"/>
      <c r="M34" s="792"/>
      <c r="N34" s="792"/>
      <c r="O34" s="792"/>
      <c r="P34" s="792"/>
      <c r="Q34" s="792"/>
      <c r="R34" s="792"/>
      <c r="S34" s="793"/>
      <c r="T34" s="793"/>
      <c r="U34" s="85"/>
    </row>
    <row r="35" spans="1:21" x14ac:dyDescent="0.25">
      <c r="A35" s="699"/>
      <c r="B35" s="699"/>
      <c r="C35" s="699"/>
      <c r="D35" s="699"/>
      <c r="E35" s="699"/>
      <c r="F35" s="699"/>
      <c r="G35" s="699"/>
      <c r="H35" s="699"/>
      <c r="I35" s="699"/>
      <c r="J35" s="699"/>
      <c r="K35" s="792"/>
      <c r="L35" s="792"/>
      <c r="M35" s="792"/>
      <c r="N35" s="792"/>
      <c r="O35" s="792"/>
      <c r="P35" s="792"/>
      <c r="Q35" s="792"/>
      <c r="R35" s="792"/>
      <c r="S35" s="793"/>
      <c r="T35" s="793"/>
      <c r="U35" s="85"/>
    </row>
    <row r="36" spans="1:21" x14ac:dyDescent="0.25">
      <c r="A36" s="699"/>
      <c r="B36" s="699"/>
      <c r="C36" s="699"/>
      <c r="D36" s="699"/>
      <c r="E36" s="699"/>
      <c r="F36" s="699"/>
      <c r="G36" s="699"/>
      <c r="H36" s="699"/>
      <c r="I36" s="699"/>
      <c r="J36" s="699"/>
      <c r="K36" s="792"/>
      <c r="L36" s="792"/>
      <c r="M36" s="792"/>
      <c r="N36" s="792"/>
      <c r="O36" s="792"/>
      <c r="P36" s="792"/>
      <c r="Q36" s="792"/>
      <c r="R36" s="792"/>
      <c r="S36" s="793"/>
      <c r="T36" s="793"/>
      <c r="U36" s="85"/>
    </row>
    <row r="37" spans="1:21" x14ac:dyDescent="0.25">
      <c r="A37" s="85"/>
      <c r="B37" s="85"/>
      <c r="C37" s="85"/>
      <c r="D37" s="85"/>
      <c r="E37" s="85"/>
      <c r="F37" s="85"/>
      <c r="G37" s="85"/>
      <c r="H37" s="85"/>
      <c r="I37" s="85"/>
      <c r="J37" s="85"/>
      <c r="K37" s="85"/>
      <c r="L37" s="85"/>
      <c r="M37" s="85"/>
      <c r="N37" s="85"/>
      <c r="O37" s="85"/>
      <c r="P37" s="85"/>
      <c r="Q37" s="85"/>
      <c r="R37" s="85"/>
      <c r="S37" s="85"/>
      <c r="T37" s="85"/>
      <c r="U37" s="85"/>
    </row>
    <row r="38" spans="1:21" x14ac:dyDescent="0.25">
      <c r="A38" s="85"/>
      <c r="B38" s="85"/>
      <c r="C38" s="85"/>
      <c r="D38" s="85"/>
      <c r="E38" s="85"/>
      <c r="F38" s="85"/>
      <c r="G38" s="85"/>
      <c r="H38" s="85"/>
      <c r="I38" s="85"/>
      <c r="J38" s="85"/>
      <c r="K38" s="85"/>
      <c r="L38" s="85"/>
      <c r="M38" s="85"/>
      <c r="N38" s="85"/>
      <c r="O38" s="85"/>
      <c r="P38" s="85"/>
      <c r="Q38" s="85"/>
      <c r="R38" s="85"/>
      <c r="S38" s="85"/>
      <c r="T38" s="85"/>
      <c r="U38" s="85"/>
    </row>
    <row r="39" spans="1:21" x14ac:dyDescent="0.25">
      <c r="A39" s="85"/>
      <c r="B39" s="85"/>
      <c r="C39" s="85"/>
      <c r="D39" s="85"/>
      <c r="E39" s="85"/>
      <c r="F39" s="85"/>
      <c r="G39" s="85"/>
      <c r="H39" s="85"/>
      <c r="I39" s="85"/>
      <c r="J39" s="85"/>
      <c r="K39" s="85"/>
      <c r="L39" s="85"/>
      <c r="M39" s="85"/>
      <c r="N39" s="85"/>
      <c r="O39" s="85"/>
      <c r="P39" s="85"/>
      <c r="Q39" s="85"/>
      <c r="R39" s="85"/>
      <c r="S39" s="85"/>
      <c r="T39" s="85"/>
      <c r="U39" s="85"/>
    </row>
    <row r="40" spans="1:21" x14ac:dyDescent="0.25">
      <c r="A40" s="85"/>
      <c r="B40" s="85"/>
      <c r="C40" s="85"/>
      <c r="D40" s="85"/>
      <c r="E40" s="85"/>
      <c r="F40" s="85"/>
      <c r="G40" s="85"/>
      <c r="H40" s="85"/>
      <c r="I40" s="85"/>
      <c r="J40" s="85"/>
      <c r="K40" s="85"/>
      <c r="L40" s="85"/>
      <c r="M40" s="85"/>
      <c r="N40" s="85"/>
      <c r="O40" s="85"/>
      <c r="P40" s="85"/>
      <c r="Q40" s="85"/>
      <c r="R40" s="85"/>
      <c r="S40" s="85"/>
      <c r="T40" s="85"/>
      <c r="U40" s="85"/>
    </row>
    <row r="41" spans="1:21" x14ac:dyDescent="0.25">
      <c r="A41" s="85"/>
      <c r="B41" s="85"/>
      <c r="C41" s="85"/>
      <c r="D41" s="85"/>
      <c r="E41" s="85"/>
      <c r="F41" s="85"/>
      <c r="G41" s="85"/>
      <c r="H41" s="85"/>
      <c r="I41" s="85"/>
      <c r="J41" s="85"/>
      <c r="K41" s="85"/>
      <c r="L41" s="85"/>
      <c r="M41" s="85"/>
      <c r="N41" s="85"/>
      <c r="O41" s="85"/>
      <c r="P41" s="85"/>
      <c r="Q41" s="85"/>
      <c r="R41" s="85"/>
      <c r="S41" s="85"/>
      <c r="T41" s="85"/>
      <c r="U41" s="85"/>
    </row>
    <row r="42" spans="1:21" x14ac:dyDescent="0.25">
      <c r="A42" s="85"/>
      <c r="B42" s="85"/>
      <c r="C42" s="85"/>
      <c r="D42" s="85"/>
      <c r="E42" s="85"/>
      <c r="F42" s="85"/>
      <c r="G42" s="85"/>
      <c r="H42" s="85"/>
      <c r="I42" s="85"/>
      <c r="J42" s="85"/>
      <c r="K42" s="85"/>
      <c r="L42" s="85"/>
      <c r="M42" s="85"/>
      <c r="N42" s="85"/>
      <c r="O42" s="85"/>
      <c r="P42" s="85"/>
      <c r="Q42" s="85"/>
      <c r="R42" s="85"/>
      <c r="S42" s="85"/>
      <c r="T42" s="85"/>
      <c r="U42" s="85"/>
    </row>
    <row r="43" spans="1:21" x14ac:dyDescent="0.25">
      <c r="A43" s="85"/>
      <c r="B43" s="85"/>
      <c r="C43" s="85"/>
      <c r="D43" s="85"/>
      <c r="E43" s="85"/>
      <c r="F43" s="85"/>
      <c r="G43" s="85"/>
      <c r="H43" s="85"/>
      <c r="I43" s="85"/>
      <c r="J43" s="85"/>
      <c r="K43" s="85"/>
      <c r="L43" s="85"/>
      <c r="M43" s="85"/>
      <c r="N43" s="85"/>
      <c r="O43" s="85"/>
      <c r="P43" s="85"/>
      <c r="Q43" s="85"/>
      <c r="R43" s="85"/>
      <c r="S43" s="85"/>
      <c r="T43" s="85"/>
      <c r="U43" s="85"/>
    </row>
    <row r="44" spans="1:21" x14ac:dyDescent="0.25">
      <c r="A44" s="85"/>
      <c r="B44" s="85"/>
      <c r="C44" s="85"/>
      <c r="D44" s="85"/>
      <c r="E44" s="85"/>
      <c r="F44" s="85"/>
      <c r="G44" s="85"/>
      <c r="H44" s="85"/>
      <c r="I44" s="85"/>
      <c r="J44" s="85"/>
      <c r="K44" s="85"/>
      <c r="L44" s="85"/>
      <c r="M44" s="85"/>
      <c r="N44" s="85"/>
      <c r="O44" s="85"/>
      <c r="P44" s="85"/>
      <c r="Q44" s="85"/>
      <c r="R44" s="85"/>
      <c r="S44" s="85"/>
      <c r="T44" s="85"/>
      <c r="U44" s="85"/>
    </row>
  </sheetData>
  <mergeCells count="5">
    <mergeCell ref="K12:L12"/>
    <mergeCell ref="B30:I33"/>
    <mergeCell ref="B12:C12"/>
    <mergeCell ref="E12:F12"/>
    <mergeCell ref="H12:I12"/>
  </mergeCells>
  <dataValidations xWindow="850" yWindow="412" count="2">
    <dataValidation allowBlank="1" showErrorMessage="1" promptTitle="Equity Returns Options" sqref="E4" xr:uid="{364A4DDA-3683-4E1B-927C-65A084E4B7B8}"/>
    <dataValidation type="list" allowBlank="1" showInputMessage="1" showErrorMessage="1" sqref="C10" xr:uid="{CB82A9FA-4F89-4316-A51B-70A3FA8EB36F}">
      <formula1>ddl_OpColumns</formula1>
    </dataValidation>
  </dataValidations>
  <pageMargins left="0.7" right="0.7" top="0.75" bottom="0.75" header="0.3" footer="0.3"/>
  <pageSetup orientation="portrait" r:id="rId1"/>
  <customProperties>
    <customPr name="GU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64D28-A3B6-45EE-8D57-3CC65C46F47E}">
  <sheetPr codeName="Sheet6">
    <tabColor rgb="FF4D4D4D"/>
  </sheetPr>
  <dimension ref="A1:L34"/>
  <sheetViews>
    <sheetView workbookViewId="0">
      <selection activeCell="M1" sqref="M1:M1048576"/>
    </sheetView>
  </sheetViews>
  <sheetFormatPr defaultColWidth="8.85546875" defaultRowHeight="15" x14ac:dyDescent="0.25"/>
  <cols>
    <col min="1" max="1" width="23.7109375" bestFit="1" customWidth="1"/>
    <col min="2" max="2" width="28.42578125" bestFit="1" customWidth="1"/>
    <col min="3" max="3" width="34" customWidth="1"/>
    <col min="4" max="4" width="8.28515625" customWidth="1"/>
    <col min="5" max="5" width="28.42578125" bestFit="1" customWidth="1"/>
    <col min="7" max="7" width="26.85546875" bestFit="1" customWidth="1"/>
    <col min="8" max="8" width="24.85546875" bestFit="1" customWidth="1"/>
    <col min="12" max="12" width="17.85546875" customWidth="1"/>
  </cols>
  <sheetData>
    <row r="1" spans="1:12" x14ac:dyDescent="0.25">
      <c r="A1" t="s">
        <v>387</v>
      </c>
      <c r="B1" t="s">
        <v>191</v>
      </c>
      <c r="C1" t="str" cm="1">
        <f t="array" ref="C1:C34">_xlfn._xlws.SORT(TRANSPOSE(_xlfn._xlws.FILTER('Rent Roll Calculations'!2:2,'Rent Roll Calculations'!2:2&lt;&gt;"")))</f>
        <v>Avg Rent / SF / Mo - Current</v>
      </c>
      <c r="E1" t="str" cm="1">
        <f t="array" aca="1" ref="E1:E20" ca="1">_xlfn._xlws.SORT(TRANSPOSE(_xlfn._xlws.FILTER('Rent Roll Detail Calculations'!1:1,'Rent Roll Detail Calculations'!1:1&lt;&gt;"")))</f>
        <v>Bath</v>
      </c>
      <c r="G1" t="str" cm="1">
        <f t="array" aca="1" ref="G1:G20" ca="1">TRANSPOSE(_xlfn._xlws.FILTER('Rent Roll Detail Calculations'!1:1,'Rent Roll Detail Calculations'!1:1&lt;&gt;""))</f>
        <v>Bed</v>
      </c>
      <c r="H1" s="48" cm="1">
        <f t="array" aca="1" ref="H1:H20" ca="1">TRANSPOSE(_xlfn._xlws.FILTER(COLUMN('Rent Roll Detail Calculations'!1:1),'Rent Roll Detail Calculations'!1:1&lt;&gt;""))</f>
        <v>1</v>
      </c>
      <c r="J1" t="s">
        <v>388</v>
      </c>
      <c r="L1" t="s">
        <v>357</v>
      </c>
    </row>
    <row r="2" spans="1:12" x14ac:dyDescent="0.25">
      <c r="A2" t="s">
        <v>182</v>
      </c>
      <c r="B2" t="s">
        <v>389</v>
      </c>
      <c r="C2" t="str">
        <v>Avg Rent / SF / Mo - Potential</v>
      </c>
      <c r="E2" t="str">
        <f ca="1"/>
        <v>Bed</v>
      </c>
      <c r="G2" t="str">
        <f ca="1"/>
        <v>Bath</v>
      </c>
      <c r="H2" s="48">
        <f ca="1"/>
        <v>2</v>
      </c>
      <c r="J2">
        <v>1</v>
      </c>
      <c r="L2" t="s">
        <v>358</v>
      </c>
    </row>
    <row r="3" spans="1:12" x14ac:dyDescent="0.25">
      <c r="A3" t="s">
        <v>390</v>
      </c>
      <c r="B3" t="s">
        <v>391</v>
      </c>
      <c r="C3" t="str">
        <v>Avg Rent / SF / Mo - Reno</v>
      </c>
      <c r="E3" t="str">
        <f ca="1"/>
        <v>Current Rent / SF / Month</v>
      </c>
      <c r="G3" t="str">
        <f ca="1"/>
        <v>Unit No.</v>
      </c>
      <c r="H3" s="48">
        <f ca="1"/>
        <v>3</v>
      </c>
      <c r="J3">
        <v>2</v>
      </c>
      <c r="L3" t="s">
        <v>359</v>
      </c>
    </row>
    <row r="4" spans="1:12" x14ac:dyDescent="0.25">
      <c r="C4" t="str">
        <v>Avg Rent / SF / Mo - Scheduled</v>
      </c>
      <c r="E4" t="str">
        <f ca="1"/>
        <v>Current Rent / SF / Year</v>
      </c>
      <c r="G4" t="str">
        <f ca="1"/>
        <v>Unit Description</v>
      </c>
      <c r="H4" s="48">
        <f ca="1"/>
        <v>4</v>
      </c>
      <c r="J4">
        <v>3</v>
      </c>
      <c r="L4" t="s">
        <v>360</v>
      </c>
    </row>
    <row r="5" spans="1:12" x14ac:dyDescent="0.25">
      <c r="C5" t="str">
        <v>Avg Rent / SF / Yr - Current</v>
      </c>
      <c r="E5" t="str">
        <f ca="1"/>
        <v>Currrent Rent / Unit / Month</v>
      </c>
      <c r="G5" t="str">
        <f ca="1"/>
        <v>Units</v>
      </c>
      <c r="H5" s="48">
        <f ca="1"/>
        <v>5</v>
      </c>
    </row>
    <row r="6" spans="1:12" x14ac:dyDescent="0.25">
      <c r="C6" t="str">
        <v>Avg Rent / SF / Yr - Potential</v>
      </c>
      <c r="E6" t="str">
        <f ca="1"/>
        <v>Potential Rent / SF / Month</v>
      </c>
      <c r="G6" t="str">
        <f ca="1"/>
        <v>Square Feet</v>
      </c>
      <c r="H6" s="48">
        <f ca="1"/>
        <v>6</v>
      </c>
    </row>
    <row r="7" spans="1:12" x14ac:dyDescent="0.25">
      <c r="C7" t="str">
        <v>Avg Rent / SF / Yr - Reno</v>
      </c>
      <c r="E7" t="str">
        <f ca="1"/>
        <v>Potential Rent / SF / Year</v>
      </c>
      <c r="G7" t="str">
        <f ca="1"/>
        <v>Currrent Rent / Unit / Month</v>
      </c>
      <c r="H7" s="48">
        <f ca="1"/>
        <v>7</v>
      </c>
    </row>
    <row r="8" spans="1:12" x14ac:dyDescent="0.25">
      <c r="C8" t="str">
        <v>Avg Rent / SF / Yr - Scheduled</v>
      </c>
      <c r="E8" t="str">
        <f ca="1"/>
        <v>Potential Rent / Unit / Month</v>
      </c>
      <c r="G8" t="str">
        <f ca="1"/>
        <v>Potential Rent / Unit / Month</v>
      </c>
      <c r="H8" s="48">
        <f ca="1"/>
        <v>8</v>
      </c>
    </row>
    <row r="9" spans="1:12" x14ac:dyDescent="0.25">
      <c r="C9" t="str">
        <v>Avg Rent Mo - Current</v>
      </c>
      <c r="E9" t="str">
        <f ca="1"/>
        <v>Reno Rent / SF / Month</v>
      </c>
      <c r="G9" t="str">
        <f ca="1"/>
        <v>Reno Rent / Unit / Month</v>
      </c>
      <c r="H9" s="48">
        <f ca="1"/>
        <v>9</v>
      </c>
    </row>
    <row r="10" spans="1:12" x14ac:dyDescent="0.25">
      <c r="C10" t="str">
        <v>Avg Rent Mo - Potential</v>
      </c>
      <c r="E10" t="str">
        <f ca="1"/>
        <v>Reno Rent / SF / Year</v>
      </c>
      <c r="G10" t="str">
        <f ca="1"/>
        <v>Scheduled Rent / Unit / Month</v>
      </c>
      <c r="H10" s="48">
        <f ca="1"/>
        <v>10</v>
      </c>
    </row>
    <row r="11" spans="1:12" x14ac:dyDescent="0.25">
      <c r="C11" t="str">
        <v>Avg Rent Mo - Reno</v>
      </c>
      <c r="E11" t="str">
        <f ca="1"/>
        <v>Reno Rent / Unit / Month</v>
      </c>
      <c r="G11" t="str">
        <f ca="1"/>
        <v>Current Rent / SF / Month</v>
      </c>
      <c r="H11" s="48">
        <f ca="1"/>
        <v>11</v>
      </c>
    </row>
    <row r="12" spans="1:12" x14ac:dyDescent="0.25">
      <c r="C12" t="str">
        <v>Avg Rent Mo - Scheduled</v>
      </c>
      <c r="E12" t="str">
        <f ca="1"/>
        <v>Scheduled Rent / SF / Month</v>
      </c>
      <c r="G12" t="str">
        <f ca="1"/>
        <v>Potential Rent / SF / Month</v>
      </c>
      <c r="H12">
        <f ca="1"/>
        <v>12</v>
      </c>
    </row>
    <row r="13" spans="1:12" x14ac:dyDescent="0.25">
      <c r="C13" t="str">
        <v>Avg Rent Yr - Current</v>
      </c>
      <c r="E13" t="str">
        <f ca="1"/>
        <v>Scheduled Rent / SF / Year</v>
      </c>
      <c r="G13" t="str">
        <f ca="1"/>
        <v>Reno Rent / SF / Month</v>
      </c>
      <c r="H13">
        <f ca="1"/>
        <v>13</v>
      </c>
    </row>
    <row r="14" spans="1:12" x14ac:dyDescent="0.25">
      <c r="C14" t="str">
        <v>Avg Rent Yr - Potential</v>
      </c>
      <c r="E14" t="str">
        <f ca="1"/>
        <v>Scheduled Rent / Unit / Month</v>
      </c>
      <c r="G14" t="str">
        <f ca="1"/>
        <v>Scheduled Rent / SF / Month</v>
      </c>
      <c r="H14">
        <f ca="1"/>
        <v>14</v>
      </c>
    </row>
    <row r="15" spans="1:12" x14ac:dyDescent="0.25">
      <c r="C15" t="str">
        <v>Avg Rent Yr - Reno</v>
      </c>
      <c r="E15" t="str">
        <f ca="1"/>
        <v>Square Feet</v>
      </c>
      <c r="G15" t="str">
        <f ca="1"/>
        <v>Current Rent / SF / Year</v>
      </c>
      <c r="H15">
        <f ca="1"/>
        <v>15</v>
      </c>
    </row>
    <row r="16" spans="1:12" x14ac:dyDescent="0.25">
      <c r="C16" t="str">
        <v>Avg Rent Yr - Scheduled</v>
      </c>
      <c r="E16" t="str">
        <f ca="1"/>
        <v>Total Sq Ft</v>
      </c>
      <c r="G16" t="str">
        <f ca="1"/>
        <v>Potential Rent / SF / Year</v>
      </c>
      <c r="H16">
        <f ca="1"/>
        <v>16</v>
      </c>
    </row>
    <row r="17" spans="3:8" x14ac:dyDescent="0.25">
      <c r="C17" t="str">
        <v>Avg Sq Ft</v>
      </c>
      <c r="E17" t="str">
        <f ca="1"/>
        <v>Unit Description</v>
      </c>
      <c r="G17" t="str">
        <f ca="1"/>
        <v>Reno Rent / SF / Year</v>
      </c>
      <c r="H17">
        <f ca="1"/>
        <v>17</v>
      </c>
    </row>
    <row r="18" spans="3:8" x14ac:dyDescent="0.25">
      <c r="C18" t="str">
        <v>Max Rent - Current</v>
      </c>
      <c r="E18" t="str">
        <f ca="1"/>
        <v>Unit No.</v>
      </c>
      <c r="G18" t="str">
        <f ca="1"/>
        <v>Scheduled Rent / SF / Year</v>
      </c>
      <c r="H18">
        <f ca="1"/>
        <v>18</v>
      </c>
    </row>
    <row r="19" spans="3:8" x14ac:dyDescent="0.25">
      <c r="C19" t="str">
        <v>Max Rent - Scheduled</v>
      </c>
      <c r="E19" t="str">
        <f ca="1"/>
        <v>Unit Type</v>
      </c>
      <c r="G19" t="str">
        <f ca="1"/>
        <v>Total Sq Ft</v>
      </c>
      <c r="H19">
        <f ca="1"/>
        <v>19</v>
      </c>
    </row>
    <row r="20" spans="3:8" x14ac:dyDescent="0.25">
      <c r="C20" t="str">
        <v>Min Rent - Current</v>
      </c>
      <c r="E20" t="str">
        <f ca="1"/>
        <v>Units</v>
      </c>
      <c r="G20" t="str">
        <f ca="1"/>
        <v>Unit Type</v>
      </c>
      <c r="H20">
        <f ca="1"/>
        <v>20</v>
      </c>
    </row>
    <row r="21" spans="3:8" x14ac:dyDescent="0.25">
      <c r="C21" t="str">
        <v>Min Rent - Scheduled</v>
      </c>
    </row>
    <row r="22" spans="3:8" x14ac:dyDescent="0.25">
      <c r="C22" t="str">
        <v>Monthly Income - Current</v>
      </c>
    </row>
    <row r="23" spans="3:8" x14ac:dyDescent="0.25">
      <c r="C23" t="str">
        <v>Monthly Income - Potential</v>
      </c>
    </row>
    <row r="24" spans="3:8" x14ac:dyDescent="0.25">
      <c r="C24" t="str">
        <v>Monthly Income - Reno</v>
      </c>
    </row>
    <row r="25" spans="3:8" x14ac:dyDescent="0.25">
      <c r="C25" t="str">
        <v>Monthly Income - Scheduled</v>
      </c>
    </row>
    <row r="26" spans="3:8" x14ac:dyDescent="0.25">
      <c r="C26" t="str">
        <v>Rental Range - Current</v>
      </c>
    </row>
    <row r="27" spans="3:8" x14ac:dyDescent="0.25">
      <c r="C27" t="str">
        <v>Rental Range - Scheduled</v>
      </c>
    </row>
    <row r="28" spans="3:8" x14ac:dyDescent="0.25">
      <c r="C28" t="str">
        <v>Total Rent Mo - Reno</v>
      </c>
    </row>
    <row r="29" spans="3:8" x14ac:dyDescent="0.25">
      <c r="C29" t="str">
        <v>Total Sq Ft</v>
      </c>
    </row>
    <row r="30" spans="3:8" x14ac:dyDescent="0.25">
      <c r="C30" t="str">
        <v>Total Units</v>
      </c>
    </row>
    <row r="31" spans="3:8" x14ac:dyDescent="0.25">
      <c r="C31" t="str">
        <v>Unit Type</v>
      </c>
    </row>
    <row r="32" spans="3:8" x14ac:dyDescent="0.25">
      <c r="C32" t="str">
        <v>Yearly Income - Current</v>
      </c>
    </row>
    <row r="33" spans="3:3" x14ac:dyDescent="0.25">
      <c r="C33" t="str">
        <v>Yearly Income - Potential</v>
      </c>
    </row>
    <row r="34" spans="3:3" x14ac:dyDescent="0.25">
      <c r="C34" t="str">
        <v>Yearly Income - Scheduled</v>
      </c>
    </row>
  </sheetData>
  <pageMargins left="0.7" right="0.7" top="0.75" bottom="0.75" header="0.3" footer="0.3"/>
  <pageSetup orientation="portrait" r:id="rId1"/>
  <customProperties>
    <customPr name="GU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74DF-269B-40BE-BDF0-107DA4888E62}">
  <sheetPr codeName="Sheet7">
    <tabColor rgb="FF92D050"/>
    <pageSetUpPr fitToPage="1"/>
  </sheetPr>
  <dimension ref="A1:U379"/>
  <sheetViews>
    <sheetView zoomScaleNormal="100" workbookViewId="0">
      <selection activeCell="B4" sqref="B4"/>
    </sheetView>
  </sheetViews>
  <sheetFormatPr defaultColWidth="8.85546875" defaultRowHeight="15" x14ac:dyDescent="0.25"/>
  <cols>
    <col min="1" max="1" width="16.42578125" customWidth="1"/>
    <col min="2" max="2" width="12.140625" customWidth="1"/>
    <col min="3" max="3" width="33.7109375" customWidth="1"/>
    <col min="4" max="4" width="14.140625" customWidth="1"/>
    <col min="5" max="5" width="19.140625" customWidth="1"/>
    <col min="6" max="6" width="16.85546875" customWidth="1"/>
    <col min="7" max="7" width="17.85546875" customWidth="1"/>
    <col min="8" max="8" width="18.140625" customWidth="1"/>
    <col min="11" max="13" width="6.7109375" customWidth="1"/>
  </cols>
  <sheetData>
    <row r="1" spans="1:21" x14ac:dyDescent="0.25">
      <c r="A1" s="85"/>
      <c r="B1" s="85"/>
      <c r="C1" s="85"/>
      <c r="D1" s="85"/>
      <c r="E1" s="85"/>
      <c r="F1" s="85"/>
      <c r="G1" s="85"/>
      <c r="H1" s="85"/>
      <c r="I1" s="85"/>
      <c r="J1" s="85"/>
      <c r="K1" s="85"/>
      <c r="L1" s="85"/>
      <c r="M1" s="85"/>
      <c r="N1" s="85"/>
      <c r="O1" s="85"/>
      <c r="P1" s="85"/>
      <c r="Q1" s="85"/>
      <c r="R1" s="85"/>
      <c r="S1" s="85"/>
      <c r="T1" s="85"/>
      <c r="U1" s="85"/>
    </row>
    <row r="2" spans="1:21" x14ac:dyDescent="0.25">
      <c r="A2" s="85"/>
      <c r="B2" s="343" t="s">
        <v>392</v>
      </c>
      <c r="C2" s="527" t="s">
        <v>185</v>
      </c>
      <c r="D2" s="91"/>
      <c r="E2" s="91"/>
      <c r="F2" s="91"/>
      <c r="G2" s="91"/>
      <c r="H2" s="91"/>
      <c r="I2" s="91"/>
      <c r="J2" s="91"/>
      <c r="K2" s="91"/>
      <c r="L2" s="91"/>
      <c r="M2" s="91"/>
      <c r="N2" s="91"/>
      <c r="O2" s="91"/>
      <c r="P2" s="91"/>
      <c r="Q2" s="85"/>
      <c r="R2" s="85"/>
      <c r="S2" s="85"/>
      <c r="T2" s="85"/>
      <c r="U2" s="85"/>
    </row>
    <row r="3" spans="1:21" x14ac:dyDescent="0.25">
      <c r="A3" s="85"/>
      <c r="B3" s="91"/>
      <c r="C3" s="91"/>
      <c r="D3" s="91"/>
      <c r="E3" s="91"/>
      <c r="F3" s="91"/>
      <c r="G3" s="91"/>
      <c r="H3" s="91"/>
      <c r="I3" s="91"/>
      <c r="J3" s="91"/>
      <c r="K3" s="91"/>
      <c r="L3" s="91"/>
      <c r="M3" s="91"/>
      <c r="N3" s="91"/>
      <c r="O3" s="91"/>
      <c r="P3" s="91"/>
      <c r="Q3" s="85"/>
      <c r="R3" s="85"/>
      <c r="S3" s="85"/>
      <c r="T3" s="85"/>
      <c r="U3" s="85"/>
    </row>
    <row r="4" spans="1:21" ht="48" customHeight="1" x14ac:dyDescent="0.25">
      <c r="A4" s="126" t="s">
        <v>393</v>
      </c>
      <c r="B4" s="127" t="s">
        <v>239</v>
      </c>
      <c r="C4" s="127" t="s">
        <v>256</v>
      </c>
      <c r="D4" s="127" t="s">
        <v>242</v>
      </c>
      <c r="E4" s="127" t="s">
        <v>243</v>
      </c>
      <c r="F4" s="127" t="s">
        <v>247</v>
      </c>
      <c r="G4" s="127" t="s">
        <v>246</v>
      </c>
      <c r="H4" s="127" t="s">
        <v>250</v>
      </c>
      <c r="I4" s="127"/>
      <c r="J4" s="127"/>
      <c r="K4" s="127"/>
      <c r="L4" s="127"/>
      <c r="M4" s="127"/>
      <c r="N4" s="127"/>
      <c r="O4" s="127"/>
      <c r="P4" s="127"/>
      <c r="Q4" s="88"/>
      <c r="R4" s="85"/>
      <c r="S4" s="85"/>
      <c r="T4" s="85"/>
      <c r="U4" s="85"/>
    </row>
    <row r="5" spans="1:21" x14ac:dyDescent="0.25">
      <c r="A5" s="85"/>
      <c r="B5" s="120"/>
      <c r="C5" s="120"/>
      <c r="D5" s="120"/>
      <c r="E5" s="120"/>
      <c r="F5" s="120"/>
      <c r="G5" s="120"/>
      <c r="H5" s="120"/>
      <c r="I5" s="120"/>
      <c r="J5" s="120"/>
      <c r="K5" s="120"/>
      <c r="L5" s="120"/>
      <c r="M5" s="120"/>
      <c r="N5" s="120"/>
      <c r="O5" s="120"/>
      <c r="P5" s="120"/>
      <c r="Q5" s="85"/>
      <c r="R5" s="85"/>
      <c r="S5" s="85"/>
      <c r="T5" s="85"/>
      <c r="U5" s="85"/>
    </row>
    <row r="6" spans="1:21" x14ac:dyDescent="0.25">
      <c r="A6" s="85"/>
      <c r="B6" s="1050"/>
      <c r="C6" s="688"/>
      <c r="D6" s="688"/>
      <c r="E6" s="688"/>
      <c r="F6" s="688"/>
      <c r="G6" s="688"/>
      <c r="H6" s="688"/>
      <c r="I6" s="688"/>
      <c r="J6" s="688"/>
      <c r="K6" s="686"/>
      <c r="L6" s="119"/>
      <c r="M6" s="119"/>
      <c r="N6" s="119"/>
      <c r="O6" s="119"/>
      <c r="P6" s="119"/>
      <c r="Q6" s="85"/>
      <c r="R6" s="85"/>
      <c r="S6" s="85"/>
      <c r="T6" s="85"/>
      <c r="U6" s="85"/>
    </row>
    <row r="7" spans="1:21" ht="27" x14ac:dyDescent="0.25">
      <c r="A7" s="85"/>
      <c r="B7" s="689" t="str">
        <f>IF(B4 = "", "", B4)</f>
        <v>Unit No.</v>
      </c>
      <c r="C7" s="689" t="str">
        <f t="shared" ref="C7:I7" si="0">IF(C4 = "", "", C4)</f>
        <v>Unit Type</v>
      </c>
      <c r="D7" s="689" t="str">
        <f t="shared" si="0"/>
        <v>Square Feet</v>
      </c>
      <c r="E7" s="689" t="str">
        <f t="shared" si="0"/>
        <v>Currrent Rent / Unit / Month</v>
      </c>
      <c r="F7" s="689" t="str">
        <f t="shared" si="0"/>
        <v>Current Rent / SF / Month</v>
      </c>
      <c r="G7" s="689" t="str">
        <f t="shared" si="0"/>
        <v>Scheduled Rent / Unit / Month</v>
      </c>
      <c r="H7" s="689" t="str">
        <f t="shared" si="0"/>
        <v>Scheduled Rent / SF / Month</v>
      </c>
      <c r="I7" s="689" t="str">
        <f t="shared" si="0"/>
        <v/>
      </c>
      <c r="J7" s="689" t="str">
        <f t="shared" ref="J7:K7" si="1">IF(J4 = "", "", J4)</f>
        <v/>
      </c>
      <c r="K7" s="346" t="str">
        <f t="shared" si="1"/>
        <v/>
      </c>
      <c r="L7" s="346" t="str">
        <f t="shared" ref="L7:P7" si="2">IF(L4 = "", "", L4)</f>
        <v/>
      </c>
      <c r="M7" s="346" t="str">
        <f t="shared" si="2"/>
        <v/>
      </c>
      <c r="N7" s="346" t="str">
        <f t="shared" si="2"/>
        <v/>
      </c>
      <c r="O7" s="346" t="str">
        <f t="shared" si="2"/>
        <v/>
      </c>
      <c r="P7" s="346" t="str">
        <f t="shared" si="2"/>
        <v/>
      </c>
      <c r="Q7" s="88"/>
      <c r="R7" s="85"/>
      <c r="S7" s="85"/>
      <c r="T7" s="85"/>
      <c r="U7" s="85"/>
    </row>
    <row r="8" spans="1:21" x14ac:dyDescent="0.25">
      <c r="A8" s="85"/>
      <c r="B8" s="115" t="str" cm="1">
        <f t="array" aca="1" ref="B8" ca="1">IFERROR(INDEX(_xlfn._xlws.SORT(Rent_Roll_Input_Total,1), 0,MATCH(B4,Rent_Roll_Input_Headers,0)),"")</f>
        <v/>
      </c>
      <c r="C8" s="115" t="str" cm="1">
        <f t="array" aca="1" ref="C8" ca="1">IFERROR(INDEX(_xlfn._xlws.SORT(Rent_Roll_Input_Total,1), 0,MATCH(C4,Rent_Roll_Input_Headers,0)),"")</f>
        <v/>
      </c>
      <c r="D8" s="303" t="str" cm="1">
        <f t="array" aca="1" ref="D8" ca="1">IFERROR(INDEX(_xlfn._xlws.SORT(Rent_Roll_Input_Total,1), 0,MATCH(D4,Rent_Roll_Input_Headers,0)),"")</f>
        <v/>
      </c>
      <c r="E8" s="117" t="str" cm="1">
        <f t="array" aca="1" ref="E8" ca="1">IFERROR(INDEX(_xlfn._xlws.SORT(Rent_Roll_Input_Total,1), 0,MATCH(E4,Rent_Roll_Input_Headers,0)),"")</f>
        <v/>
      </c>
      <c r="F8" s="117" t="str" cm="1">
        <f t="array" aca="1" ref="F8" ca="1">IFERROR(INDEX(_xlfn._xlws.SORT(Rent_Roll_Input_Total,1), 0,MATCH(F4,Rent_Roll_Input_Headers,0)),"")</f>
        <v/>
      </c>
      <c r="G8" s="116" t="str" cm="1">
        <f t="array" aca="1" ref="G8" ca="1">IFERROR(INDEX(_xlfn._xlws.SORT(Rent_Roll_Input_Total,1), 0,MATCH(G4,Rent_Roll_Input_Headers,0)),"")</f>
        <v/>
      </c>
      <c r="H8" s="117" t="str" cm="1">
        <f t="array" aca="1" ref="H8" ca="1">IFERROR(INDEX(_xlfn._xlws.SORT(Rent_Roll_Input_Total,1), 0,MATCH(H4,Rent_Roll_Input_Headers,0)),"")</f>
        <v/>
      </c>
      <c r="I8" s="123" t="str" cm="1">
        <f t="array" aca="1" ref="I8" ca="1">IFERROR(INDEX(_xlfn._xlws.SORT(Rent_Roll_Input_Total,1), 0,MATCH(I4,Rent_Roll_Input_Headers,0)),"")</f>
        <v/>
      </c>
      <c r="J8" s="115" t="str" cm="1">
        <f t="array" aca="1" ref="J8" ca="1">IFERROR(INDEX(_xlfn._xlws.SORT(Rent_Roll_Input_Total,1), 0,MATCH(J4,Rent_Roll_Input_Headers,0)),"")</f>
        <v/>
      </c>
      <c r="K8" s="684" t="str" cm="1">
        <f t="array" aca="1" ref="K8" ca="1">IFERROR(INDEX(_xlfn._xlws.SORT(Rent_Roll_Input_Total,1), 0,MATCH(K4,Rent_Roll_Input_Headers,0)),"")</f>
        <v/>
      </c>
      <c r="L8" s="118" t="str" cm="1">
        <f t="array" aca="1" ref="L8" ca="1">IFERROR(INDEX(_xlfn._xlws.SORT(Rent_Roll_Input_Total,1), 0,MATCH(L4,Rent_Roll_Input_Headers,0)),"")</f>
        <v/>
      </c>
      <c r="M8" s="118" t="str" cm="1">
        <f t="array" aca="1" ref="M8" ca="1">IFERROR(INDEX(_xlfn._xlws.SORT(Rent_Roll_Input_Total,1), 0,MATCH(M4,Rent_Roll_Input_Headers,0)),"")</f>
        <v/>
      </c>
      <c r="N8" s="118" t="str" cm="1">
        <f t="array" aca="1" ref="N8" ca="1">IFERROR(INDEX(_xlfn._xlws.SORT(Rent_Roll_Input_Total,1), 0,MATCH(N4,Rent_Roll_Input_Headers,0)),"")</f>
        <v/>
      </c>
      <c r="O8" s="118" t="str" cm="1">
        <f t="array" aca="1" ref="O8" ca="1">IFERROR(INDEX(_xlfn._xlws.SORT(Rent_Roll_Input_Total,1), 0,MATCH(O4,Rent_Roll_Input_Headers,0)),"")</f>
        <v/>
      </c>
      <c r="P8" s="118" t="str" cm="1">
        <f t="array" aca="1" ref="P8" ca="1">IFERROR(INDEX(_xlfn._xlws.SORT(Rent_Roll_Input_Total,1), 0,MATCH(P4,Rent_Roll_Input_Headers,0)),"")</f>
        <v/>
      </c>
      <c r="Q8" s="344"/>
      <c r="R8" s="85"/>
      <c r="S8" s="85"/>
      <c r="T8" s="85"/>
      <c r="U8" s="85"/>
    </row>
    <row r="9" spans="1:21" x14ac:dyDescent="0.25">
      <c r="A9" s="85"/>
      <c r="B9" s="115"/>
      <c r="C9" s="115"/>
      <c r="D9" s="303"/>
      <c r="E9" s="117"/>
      <c r="F9" s="117"/>
      <c r="G9" s="116"/>
      <c r="H9" s="117"/>
      <c r="I9" s="123"/>
      <c r="J9" s="115"/>
      <c r="K9" s="687"/>
      <c r="L9" s="115"/>
      <c r="M9" s="117"/>
      <c r="N9" s="115"/>
      <c r="O9" s="117"/>
      <c r="P9" s="115"/>
      <c r="Q9" s="85"/>
      <c r="R9" s="85"/>
      <c r="S9" s="85"/>
      <c r="T9" s="85"/>
      <c r="U9" s="85"/>
    </row>
    <row r="10" spans="1:21" x14ac:dyDescent="0.25">
      <c r="A10" s="85"/>
      <c r="B10" s="115"/>
      <c r="C10" s="115"/>
      <c r="D10" s="303"/>
      <c r="E10" s="117"/>
      <c r="F10" s="117"/>
      <c r="G10" s="116"/>
      <c r="H10" s="117"/>
      <c r="I10" s="123"/>
      <c r="J10" s="115"/>
      <c r="K10" s="687"/>
      <c r="L10" s="115"/>
      <c r="M10" s="117"/>
      <c r="N10" s="115"/>
      <c r="O10" s="117"/>
      <c r="P10" s="115"/>
      <c r="Q10" s="85"/>
      <c r="R10" s="85"/>
      <c r="S10" s="85"/>
      <c r="T10" s="85"/>
      <c r="U10" s="85"/>
    </row>
    <row r="11" spans="1:21" x14ac:dyDescent="0.25">
      <c r="A11" s="85"/>
      <c r="B11" s="115"/>
      <c r="C11" s="115"/>
      <c r="D11" s="303"/>
      <c r="E11" s="117"/>
      <c r="F11" s="117"/>
      <c r="G11" s="116"/>
      <c r="H11" s="117"/>
      <c r="I11" s="123"/>
      <c r="J11" s="115"/>
      <c r="K11" s="687"/>
      <c r="L11" s="115"/>
      <c r="M11" s="117"/>
      <c r="N11" s="115"/>
      <c r="O11" s="117"/>
      <c r="P11" s="115"/>
      <c r="Q11" s="85"/>
      <c r="R11" s="85"/>
      <c r="S11" s="85"/>
      <c r="T11" s="85"/>
      <c r="U11" s="85"/>
    </row>
    <row r="12" spans="1:21" x14ac:dyDescent="0.25">
      <c r="A12" s="85"/>
      <c r="B12" s="115"/>
      <c r="C12" s="115"/>
      <c r="D12" s="303"/>
      <c r="E12" s="117"/>
      <c r="F12" s="117"/>
      <c r="G12" s="116"/>
      <c r="H12" s="117"/>
      <c r="I12" s="123"/>
      <c r="J12" s="115"/>
      <c r="K12" s="687"/>
      <c r="L12" s="115"/>
      <c r="M12" s="117"/>
      <c r="N12" s="115"/>
      <c r="O12" s="117"/>
      <c r="P12" s="115"/>
      <c r="Q12" s="85"/>
      <c r="R12" s="85"/>
      <c r="S12" s="85"/>
      <c r="T12" s="85"/>
      <c r="U12" s="85"/>
    </row>
    <row r="13" spans="1:21" x14ac:dyDescent="0.25">
      <c r="A13" s="85"/>
      <c r="B13" s="115"/>
      <c r="C13" s="115"/>
      <c r="D13" s="303"/>
      <c r="E13" s="117"/>
      <c r="F13" s="117"/>
      <c r="G13" s="116"/>
      <c r="H13" s="117"/>
      <c r="I13" s="123"/>
      <c r="J13" s="115"/>
      <c r="K13" s="687"/>
      <c r="L13" s="115"/>
      <c r="M13" s="117"/>
      <c r="N13" s="115"/>
      <c r="O13" s="117"/>
      <c r="P13" s="115"/>
      <c r="Q13" s="85"/>
      <c r="R13" s="85"/>
      <c r="S13" s="85"/>
      <c r="T13" s="85"/>
      <c r="U13" s="85"/>
    </row>
    <row r="14" spans="1:21" x14ac:dyDescent="0.25">
      <c r="A14" s="85"/>
      <c r="B14" s="115"/>
      <c r="C14" s="115"/>
      <c r="D14" s="303"/>
      <c r="E14" s="117"/>
      <c r="F14" s="117"/>
      <c r="G14" s="116"/>
      <c r="H14" s="117"/>
      <c r="I14" s="123"/>
      <c r="J14" s="115"/>
      <c r="K14" s="687"/>
      <c r="L14" s="115"/>
      <c r="M14" s="117"/>
      <c r="N14" s="115"/>
      <c r="O14" s="117"/>
      <c r="P14" s="115"/>
      <c r="Q14" s="85"/>
      <c r="R14" s="85"/>
      <c r="S14" s="85"/>
      <c r="T14" s="85"/>
      <c r="U14" s="85"/>
    </row>
    <row r="15" spans="1:21" x14ac:dyDescent="0.25">
      <c r="A15" s="85"/>
      <c r="B15" s="115"/>
      <c r="C15" s="115"/>
      <c r="D15" s="303"/>
      <c r="E15" s="117"/>
      <c r="F15" s="117"/>
      <c r="G15" s="116"/>
      <c r="H15" s="117"/>
      <c r="I15" s="123"/>
      <c r="J15" s="115"/>
      <c r="K15" s="687"/>
      <c r="L15" s="115"/>
      <c r="M15" s="117"/>
      <c r="N15" s="115"/>
      <c r="O15" s="117"/>
      <c r="P15" s="115"/>
      <c r="Q15" s="85"/>
      <c r="R15" s="85"/>
      <c r="S15" s="85"/>
      <c r="T15" s="85"/>
      <c r="U15" s="85"/>
    </row>
    <row r="16" spans="1:21" x14ac:dyDescent="0.25">
      <c r="A16" s="85"/>
      <c r="B16" s="115"/>
      <c r="C16" s="115"/>
      <c r="D16" s="303"/>
      <c r="E16" s="117"/>
      <c r="F16" s="117"/>
      <c r="G16" s="116"/>
      <c r="H16" s="117"/>
      <c r="I16" s="123"/>
      <c r="J16" s="115"/>
      <c r="K16" s="685"/>
      <c r="L16" s="115"/>
      <c r="M16" s="115"/>
      <c r="N16" s="115"/>
      <c r="O16" s="115"/>
      <c r="P16" s="115"/>
      <c r="Q16" s="85"/>
      <c r="R16" s="85"/>
      <c r="S16" s="85"/>
      <c r="T16" s="85"/>
      <c r="U16" s="85"/>
    </row>
    <row r="17" spans="1:21" x14ac:dyDescent="0.25">
      <c r="A17" s="85"/>
      <c r="B17" s="115"/>
      <c r="C17" s="115"/>
      <c r="D17" s="303"/>
      <c r="E17" s="117"/>
      <c r="F17" s="117"/>
      <c r="G17" s="116"/>
      <c r="H17" s="117"/>
      <c r="I17" s="123"/>
      <c r="J17" s="115"/>
      <c r="K17" s="685"/>
      <c r="L17" s="115"/>
      <c r="M17" s="115"/>
      <c r="N17" s="115"/>
      <c r="O17" s="115"/>
      <c r="P17" s="115"/>
      <c r="Q17" s="85"/>
      <c r="R17" s="85"/>
      <c r="S17" s="85"/>
      <c r="T17" s="85"/>
      <c r="U17" s="85"/>
    </row>
    <row r="18" spans="1:21" x14ac:dyDescent="0.25">
      <c r="A18" s="85"/>
      <c r="B18" s="115"/>
      <c r="C18" s="115"/>
      <c r="D18" s="303"/>
      <c r="E18" s="117"/>
      <c r="F18" s="117"/>
      <c r="G18" s="116"/>
      <c r="H18" s="117"/>
      <c r="I18" s="123"/>
      <c r="J18" s="115"/>
      <c r="K18" s="685"/>
      <c r="L18" s="115"/>
      <c r="M18" s="115"/>
      <c r="N18" s="115"/>
      <c r="O18" s="115"/>
      <c r="P18" s="115"/>
      <c r="Q18" s="85"/>
      <c r="R18" s="85"/>
      <c r="S18" s="85"/>
      <c r="T18" s="85"/>
      <c r="U18" s="85"/>
    </row>
    <row r="19" spans="1:21" x14ac:dyDescent="0.25">
      <c r="A19" s="85"/>
      <c r="B19" s="115"/>
      <c r="C19" s="115"/>
      <c r="D19" s="303"/>
      <c r="E19" s="117"/>
      <c r="F19" s="117"/>
      <c r="G19" s="116"/>
      <c r="H19" s="117"/>
      <c r="I19" s="123"/>
      <c r="J19" s="115"/>
      <c r="K19" s="685"/>
      <c r="L19" s="115"/>
      <c r="M19" s="115"/>
      <c r="N19" s="115"/>
      <c r="O19" s="115"/>
      <c r="P19" s="115"/>
      <c r="Q19" s="85"/>
      <c r="R19" s="85"/>
      <c r="S19" s="85"/>
      <c r="T19" s="85"/>
      <c r="U19" s="85"/>
    </row>
    <row r="20" spans="1:21" x14ac:dyDescent="0.25">
      <c r="A20" s="85"/>
      <c r="B20" s="115"/>
      <c r="C20" s="115"/>
      <c r="D20" s="303"/>
      <c r="E20" s="117"/>
      <c r="F20" s="117"/>
      <c r="G20" s="116"/>
      <c r="H20" s="117"/>
      <c r="I20" s="123"/>
      <c r="J20" s="115"/>
      <c r="K20" s="685"/>
      <c r="L20" s="115"/>
      <c r="M20" s="115"/>
      <c r="N20" s="115"/>
      <c r="O20" s="115"/>
      <c r="P20" s="115"/>
      <c r="Q20" s="85"/>
      <c r="R20" s="85"/>
      <c r="S20" s="85"/>
      <c r="T20" s="85"/>
      <c r="U20" s="85"/>
    </row>
    <row r="21" spans="1:21" x14ac:dyDescent="0.25">
      <c r="A21" s="85"/>
      <c r="B21" s="115"/>
      <c r="C21" s="115"/>
      <c r="D21" s="303"/>
      <c r="E21" s="117"/>
      <c r="F21" s="117"/>
      <c r="G21" s="116"/>
      <c r="H21" s="117"/>
      <c r="I21" s="123"/>
      <c r="J21" s="115"/>
      <c r="K21" s="685"/>
      <c r="L21" s="115"/>
      <c r="M21" s="115"/>
      <c r="N21" s="115"/>
      <c r="O21" s="115"/>
      <c r="P21" s="115"/>
      <c r="Q21" s="85"/>
      <c r="R21" s="85"/>
      <c r="S21" s="85"/>
      <c r="T21" s="85"/>
      <c r="U21" s="85"/>
    </row>
    <row r="22" spans="1:21" x14ac:dyDescent="0.25">
      <c r="A22" s="85"/>
      <c r="B22" s="115"/>
      <c r="C22" s="115"/>
      <c r="D22" s="303"/>
      <c r="E22" s="117"/>
      <c r="F22" s="117"/>
      <c r="G22" s="116"/>
      <c r="H22" s="117"/>
      <c r="I22" s="123"/>
      <c r="J22" s="115"/>
      <c r="K22" s="685"/>
      <c r="L22" s="115"/>
      <c r="M22" s="115"/>
      <c r="N22" s="115"/>
      <c r="O22" s="115"/>
      <c r="P22" s="115"/>
      <c r="Q22" s="85"/>
      <c r="R22" s="85"/>
      <c r="S22" s="85"/>
      <c r="T22" s="85"/>
      <c r="U22" s="85"/>
    </row>
    <row r="23" spans="1:21" x14ac:dyDescent="0.25">
      <c r="A23" s="85"/>
      <c r="B23" s="115"/>
      <c r="C23" s="115"/>
      <c r="D23" s="303"/>
      <c r="E23" s="117"/>
      <c r="F23" s="117"/>
      <c r="G23" s="116"/>
      <c r="H23" s="117"/>
      <c r="I23" s="115"/>
      <c r="J23" s="115"/>
      <c r="K23" s="685"/>
      <c r="L23" s="115"/>
      <c r="M23" s="115"/>
      <c r="N23" s="115"/>
      <c r="O23" s="115"/>
      <c r="P23" s="115"/>
      <c r="Q23" s="85"/>
      <c r="R23" s="85"/>
      <c r="S23" s="85"/>
      <c r="T23" s="85"/>
      <c r="U23" s="85"/>
    </row>
    <row r="24" spans="1:21" x14ac:dyDescent="0.25">
      <c r="A24" s="85"/>
      <c r="B24" s="115"/>
      <c r="C24" s="115"/>
      <c r="D24" s="303"/>
      <c r="E24" s="117"/>
      <c r="F24" s="117"/>
      <c r="G24" s="116"/>
      <c r="H24" s="117"/>
      <c r="I24" s="115"/>
      <c r="J24" s="115"/>
      <c r="K24" s="685"/>
      <c r="L24" s="115"/>
      <c r="M24" s="115"/>
      <c r="N24" s="115"/>
      <c r="O24" s="115"/>
      <c r="P24" s="115"/>
      <c r="Q24" s="85"/>
      <c r="R24" s="85"/>
      <c r="S24" s="85"/>
      <c r="T24" s="85"/>
      <c r="U24" s="85"/>
    </row>
    <row r="25" spans="1:21" x14ac:dyDescent="0.25">
      <c r="A25" s="85"/>
      <c r="B25" s="115"/>
      <c r="C25" s="115"/>
      <c r="D25" s="303"/>
      <c r="E25" s="117"/>
      <c r="F25" s="117"/>
      <c r="G25" s="116"/>
      <c r="H25" s="117"/>
      <c r="I25" s="115"/>
      <c r="J25" s="115"/>
      <c r="K25" s="685"/>
      <c r="L25" s="115"/>
      <c r="M25" s="115"/>
      <c r="N25" s="115"/>
      <c r="O25" s="115"/>
      <c r="P25" s="115"/>
      <c r="Q25" s="85"/>
      <c r="R25" s="85"/>
      <c r="S25" s="85"/>
      <c r="T25" s="85"/>
      <c r="U25" s="85"/>
    </row>
    <row r="26" spans="1:21" x14ac:dyDescent="0.25">
      <c r="A26" s="85"/>
      <c r="B26" s="115"/>
      <c r="C26" s="115"/>
      <c r="D26" s="303"/>
      <c r="E26" s="117"/>
      <c r="F26" s="117"/>
      <c r="G26" s="116"/>
      <c r="H26" s="117"/>
      <c r="I26" s="115"/>
      <c r="J26" s="115"/>
      <c r="K26" s="685"/>
      <c r="L26" s="115"/>
      <c r="M26" s="115"/>
      <c r="N26" s="115"/>
      <c r="O26" s="115"/>
      <c r="P26" s="115"/>
      <c r="Q26" s="85"/>
      <c r="R26" s="85"/>
      <c r="S26" s="85"/>
      <c r="T26" s="85"/>
      <c r="U26" s="85"/>
    </row>
    <row r="27" spans="1:21" x14ac:dyDescent="0.25">
      <c r="A27" s="85"/>
      <c r="B27" s="115"/>
      <c r="C27" s="115"/>
      <c r="D27" s="303"/>
      <c r="E27" s="117"/>
      <c r="F27" s="117"/>
      <c r="G27" s="116"/>
      <c r="H27" s="117"/>
      <c r="I27" s="115"/>
      <c r="J27" s="115"/>
      <c r="K27" s="685"/>
      <c r="L27" s="115"/>
      <c r="M27" s="115"/>
      <c r="N27" s="115"/>
      <c r="O27" s="115"/>
      <c r="P27" s="115"/>
      <c r="Q27" s="85"/>
      <c r="R27" s="85"/>
      <c r="S27" s="85"/>
      <c r="T27" s="85"/>
      <c r="U27" s="85"/>
    </row>
    <row r="28" spans="1:21" x14ac:dyDescent="0.25">
      <c r="A28" s="85"/>
      <c r="B28" s="115"/>
      <c r="C28" s="115"/>
      <c r="D28" s="303"/>
      <c r="E28" s="117"/>
      <c r="F28" s="117"/>
      <c r="G28" s="116"/>
      <c r="H28" s="117"/>
      <c r="I28" s="115"/>
      <c r="J28" s="115"/>
      <c r="K28" s="685"/>
      <c r="L28" s="115"/>
      <c r="M28" s="115"/>
      <c r="N28" s="115"/>
      <c r="O28" s="115"/>
      <c r="P28" s="115"/>
      <c r="Q28" s="85"/>
      <c r="R28" s="85"/>
      <c r="S28" s="85"/>
      <c r="T28" s="85"/>
      <c r="U28" s="85"/>
    </row>
    <row r="29" spans="1:21" x14ac:dyDescent="0.25">
      <c r="A29" s="85"/>
      <c r="B29" s="115"/>
      <c r="C29" s="115"/>
      <c r="D29" s="303"/>
      <c r="E29" s="117"/>
      <c r="F29" s="117"/>
      <c r="G29" s="116"/>
      <c r="H29" s="117"/>
      <c r="I29" s="115"/>
      <c r="J29" s="115"/>
      <c r="K29" s="685"/>
      <c r="L29" s="115"/>
      <c r="M29" s="115"/>
      <c r="N29" s="115"/>
      <c r="O29" s="115"/>
      <c r="P29" s="115"/>
      <c r="Q29" s="85"/>
      <c r="R29" s="85"/>
      <c r="S29" s="85"/>
      <c r="T29" s="85"/>
      <c r="U29" s="85"/>
    </row>
    <row r="30" spans="1:21" x14ac:dyDescent="0.25">
      <c r="A30" s="85"/>
      <c r="B30" s="115"/>
      <c r="C30" s="115"/>
      <c r="D30" s="303"/>
      <c r="E30" s="117"/>
      <c r="F30" s="117"/>
      <c r="G30" s="116"/>
      <c r="H30" s="117"/>
      <c r="I30" s="115"/>
      <c r="J30" s="115"/>
      <c r="K30" s="685"/>
      <c r="L30" s="115"/>
      <c r="M30" s="115"/>
      <c r="N30" s="115"/>
      <c r="O30" s="115"/>
      <c r="P30" s="115"/>
      <c r="Q30" s="85"/>
      <c r="R30" s="85"/>
      <c r="S30" s="85"/>
      <c r="T30" s="85"/>
      <c r="U30" s="85"/>
    </row>
    <row r="31" spans="1:21" x14ac:dyDescent="0.25">
      <c r="A31" s="85"/>
      <c r="B31" s="115"/>
      <c r="C31" s="115"/>
      <c r="D31" s="303"/>
      <c r="E31" s="117"/>
      <c r="F31" s="117"/>
      <c r="G31" s="116"/>
      <c r="H31" s="117"/>
      <c r="I31" s="115"/>
      <c r="J31" s="115"/>
      <c r="K31" s="685"/>
      <c r="L31" s="115"/>
      <c r="M31" s="115"/>
      <c r="N31" s="115"/>
      <c r="O31" s="115"/>
      <c r="P31" s="115"/>
      <c r="Q31" s="85"/>
      <c r="R31" s="85"/>
      <c r="S31" s="85"/>
      <c r="T31" s="85"/>
      <c r="U31" s="85"/>
    </row>
    <row r="32" spans="1:21" x14ac:dyDescent="0.25">
      <c r="A32" s="85"/>
      <c r="B32" s="115"/>
      <c r="C32" s="115"/>
      <c r="D32" s="303"/>
      <c r="E32" s="117"/>
      <c r="F32" s="117"/>
      <c r="G32" s="116"/>
      <c r="H32" s="117"/>
      <c r="I32" s="115"/>
      <c r="J32" s="115"/>
      <c r="K32" s="685"/>
      <c r="L32" s="115"/>
      <c r="M32" s="115"/>
      <c r="N32" s="115"/>
      <c r="O32" s="115"/>
      <c r="P32" s="115"/>
      <c r="Q32" s="85"/>
      <c r="R32" s="85"/>
      <c r="S32" s="85"/>
      <c r="T32" s="85"/>
      <c r="U32" s="85"/>
    </row>
    <row r="33" spans="1:21" x14ac:dyDescent="0.25">
      <c r="A33" s="85"/>
      <c r="B33" s="115"/>
      <c r="C33" s="115"/>
      <c r="D33" s="303"/>
      <c r="E33" s="117"/>
      <c r="F33" s="117"/>
      <c r="G33" s="116"/>
      <c r="H33" s="117"/>
      <c r="I33" s="115"/>
      <c r="J33" s="115"/>
      <c r="K33" s="685"/>
      <c r="L33" s="115"/>
      <c r="M33" s="115"/>
      <c r="N33" s="115"/>
      <c r="O33" s="115"/>
      <c r="P33" s="115"/>
      <c r="Q33" s="85"/>
      <c r="R33" s="85"/>
      <c r="S33" s="85"/>
      <c r="T33" s="85"/>
      <c r="U33" s="85"/>
    </row>
    <row r="34" spans="1:21" x14ac:dyDescent="0.25">
      <c r="A34" s="85"/>
      <c r="B34" s="115"/>
      <c r="C34" s="115"/>
      <c r="D34" s="303"/>
      <c r="E34" s="117"/>
      <c r="F34" s="117"/>
      <c r="G34" s="116"/>
      <c r="H34" s="117"/>
      <c r="I34" s="115"/>
      <c r="J34" s="115"/>
      <c r="K34" s="685"/>
      <c r="L34" s="115"/>
      <c r="M34" s="115"/>
      <c r="N34" s="115"/>
      <c r="O34" s="115"/>
      <c r="P34" s="115"/>
      <c r="Q34" s="85"/>
      <c r="R34" s="85"/>
      <c r="S34" s="85"/>
      <c r="T34" s="85"/>
      <c r="U34" s="85"/>
    </row>
    <row r="35" spans="1:21" x14ac:dyDescent="0.25">
      <c r="A35" s="85"/>
      <c r="B35" s="115"/>
      <c r="C35" s="115"/>
      <c r="D35" s="303"/>
      <c r="E35" s="117"/>
      <c r="F35" s="117"/>
      <c r="G35" s="116"/>
      <c r="H35" s="117"/>
      <c r="I35" s="115"/>
      <c r="J35" s="115"/>
      <c r="K35" s="685"/>
      <c r="L35" s="115"/>
      <c r="M35" s="115"/>
      <c r="N35" s="115"/>
      <c r="O35" s="115"/>
      <c r="P35" s="115"/>
      <c r="Q35" s="85"/>
      <c r="R35" s="85"/>
      <c r="S35" s="85"/>
      <c r="T35" s="85"/>
      <c r="U35" s="85"/>
    </row>
    <row r="36" spans="1:21" x14ac:dyDescent="0.25">
      <c r="A36" s="85"/>
      <c r="B36" s="115"/>
      <c r="C36" s="115"/>
      <c r="D36" s="303"/>
      <c r="E36" s="117"/>
      <c r="F36" s="117"/>
      <c r="G36" s="116"/>
      <c r="H36" s="117"/>
      <c r="I36" s="115"/>
      <c r="J36" s="115"/>
      <c r="K36" s="685"/>
      <c r="L36" s="115"/>
      <c r="M36" s="115"/>
      <c r="N36" s="115"/>
      <c r="O36" s="115"/>
      <c r="P36" s="115"/>
      <c r="Q36" s="85"/>
      <c r="R36" s="85"/>
      <c r="S36" s="85"/>
      <c r="T36" s="85"/>
      <c r="U36" s="85"/>
    </row>
    <row r="37" spans="1:21" x14ac:dyDescent="0.25">
      <c r="A37" s="85"/>
      <c r="B37" s="115"/>
      <c r="C37" s="115"/>
      <c r="D37" s="303"/>
      <c r="E37" s="117"/>
      <c r="F37" s="117"/>
      <c r="G37" s="116"/>
      <c r="H37" s="117"/>
      <c r="I37" s="115"/>
      <c r="J37" s="115"/>
      <c r="K37" s="685"/>
      <c r="L37" s="115"/>
      <c r="M37" s="115"/>
      <c r="N37" s="115"/>
      <c r="O37" s="115"/>
      <c r="P37" s="115"/>
      <c r="Q37" s="85"/>
      <c r="R37" s="85"/>
      <c r="S37" s="85"/>
      <c r="T37" s="85"/>
      <c r="U37" s="85"/>
    </row>
    <row r="38" spans="1:21" x14ac:dyDescent="0.25">
      <c r="A38" s="85"/>
      <c r="B38" s="115"/>
      <c r="C38" s="115"/>
      <c r="D38" s="303"/>
      <c r="E38" s="117"/>
      <c r="F38" s="117"/>
      <c r="G38" s="116"/>
      <c r="H38" s="117"/>
      <c r="I38" s="115"/>
      <c r="J38" s="115"/>
      <c r="K38" s="685"/>
      <c r="L38" s="115"/>
      <c r="M38" s="115"/>
      <c r="N38" s="115"/>
      <c r="O38" s="115"/>
      <c r="P38" s="115"/>
      <c r="Q38" s="85"/>
      <c r="R38" s="85"/>
      <c r="S38" s="85"/>
      <c r="T38" s="85"/>
      <c r="U38" s="85"/>
    </row>
    <row r="39" spans="1:21" x14ac:dyDescent="0.25">
      <c r="A39" s="85"/>
      <c r="B39" s="115"/>
      <c r="C39" s="115"/>
      <c r="D39" s="303"/>
      <c r="E39" s="117"/>
      <c r="F39" s="117"/>
      <c r="G39" s="116"/>
      <c r="H39" s="117"/>
      <c r="I39" s="115"/>
      <c r="J39" s="115"/>
      <c r="K39" s="685"/>
      <c r="L39" s="115"/>
      <c r="M39" s="115"/>
      <c r="N39" s="115"/>
      <c r="O39" s="115"/>
      <c r="P39" s="115"/>
      <c r="Q39" s="85"/>
      <c r="R39" s="85"/>
      <c r="S39" s="85"/>
      <c r="T39" s="85"/>
      <c r="U39" s="85"/>
    </row>
    <row r="40" spans="1:21" x14ac:dyDescent="0.25">
      <c r="A40" s="85"/>
      <c r="B40" s="115"/>
      <c r="C40" s="115"/>
      <c r="D40" s="303"/>
      <c r="E40" s="117"/>
      <c r="F40" s="117"/>
      <c r="G40" s="116"/>
      <c r="H40" s="117"/>
      <c r="I40" s="115"/>
      <c r="J40" s="115"/>
      <c r="K40" s="685"/>
      <c r="L40" s="115"/>
      <c r="M40" s="115"/>
      <c r="N40" s="115"/>
      <c r="O40" s="115"/>
      <c r="P40" s="115"/>
      <c r="Q40" s="85"/>
      <c r="R40" s="85"/>
      <c r="S40" s="85"/>
      <c r="T40" s="85"/>
      <c r="U40" s="85"/>
    </row>
    <row r="41" spans="1:21" x14ac:dyDescent="0.25">
      <c r="A41" s="85"/>
      <c r="B41" s="115"/>
      <c r="C41" s="115"/>
      <c r="D41" s="303"/>
      <c r="E41" s="117"/>
      <c r="F41" s="117"/>
      <c r="G41" s="116"/>
      <c r="H41" s="117"/>
      <c r="I41" s="115"/>
      <c r="J41" s="115"/>
      <c r="K41" s="685"/>
      <c r="L41" s="115"/>
      <c r="M41" s="115"/>
      <c r="N41" s="115"/>
      <c r="O41" s="115"/>
      <c r="P41" s="115"/>
      <c r="Q41" s="85"/>
      <c r="R41" s="85"/>
      <c r="S41" s="85"/>
      <c r="T41" s="85"/>
      <c r="U41" s="85"/>
    </row>
    <row r="42" spans="1:21" x14ac:dyDescent="0.25">
      <c r="A42" s="85"/>
      <c r="B42" s="115"/>
      <c r="C42" s="115"/>
      <c r="D42" s="303"/>
      <c r="E42" s="117"/>
      <c r="F42" s="117"/>
      <c r="G42" s="116"/>
      <c r="H42" s="117"/>
      <c r="I42" s="115"/>
      <c r="J42" s="115"/>
      <c r="K42" s="685"/>
      <c r="L42" s="115"/>
      <c r="M42" s="115"/>
      <c r="N42" s="115"/>
      <c r="O42" s="115"/>
      <c r="P42" s="115"/>
      <c r="Q42" s="85"/>
      <c r="R42" s="85"/>
      <c r="S42" s="85"/>
      <c r="T42" s="85"/>
      <c r="U42" s="85"/>
    </row>
    <row r="43" spans="1:21" x14ac:dyDescent="0.25">
      <c r="A43" s="85"/>
      <c r="B43" s="115"/>
      <c r="C43" s="115"/>
      <c r="D43" s="303"/>
      <c r="E43" s="117"/>
      <c r="F43" s="117"/>
      <c r="G43" s="116"/>
      <c r="H43" s="117"/>
      <c r="I43" s="115"/>
      <c r="J43" s="115"/>
      <c r="K43" s="685"/>
      <c r="L43" s="115"/>
      <c r="M43" s="115"/>
      <c r="N43" s="115"/>
      <c r="O43" s="115"/>
      <c r="P43" s="115"/>
      <c r="Q43" s="85"/>
      <c r="R43" s="85"/>
      <c r="S43" s="85"/>
      <c r="T43" s="85"/>
      <c r="U43" s="85"/>
    </row>
    <row r="44" spans="1:21" x14ac:dyDescent="0.25">
      <c r="A44" s="85"/>
      <c r="B44" s="115"/>
      <c r="C44" s="115"/>
      <c r="D44" s="303"/>
      <c r="E44" s="117"/>
      <c r="F44" s="117"/>
      <c r="G44" s="116"/>
      <c r="H44" s="117"/>
      <c r="I44" s="115"/>
      <c r="J44" s="115"/>
      <c r="K44" s="685"/>
      <c r="L44" s="115"/>
      <c r="M44" s="115"/>
      <c r="N44" s="115"/>
      <c r="O44" s="115"/>
      <c r="P44" s="115"/>
      <c r="Q44" s="85"/>
      <c r="R44" s="85"/>
      <c r="S44" s="85"/>
      <c r="T44" s="85"/>
      <c r="U44" s="85"/>
    </row>
    <row r="45" spans="1:21" x14ac:dyDescent="0.25">
      <c r="A45" s="85"/>
      <c r="B45" s="115"/>
      <c r="C45" s="115"/>
      <c r="D45" s="303"/>
      <c r="E45" s="117"/>
      <c r="F45" s="117"/>
      <c r="G45" s="116"/>
      <c r="H45" s="117"/>
      <c r="I45" s="115"/>
      <c r="J45" s="115"/>
      <c r="K45" s="685"/>
      <c r="L45" s="115"/>
      <c r="M45" s="115"/>
      <c r="N45" s="115"/>
      <c r="O45" s="115"/>
      <c r="P45" s="115"/>
      <c r="Q45" s="85"/>
      <c r="R45" s="85"/>
      <c r="S45" s="85"/>
      <c r="T45" s="85"/>
      <c r="U45" s="85"/>
    </row>
    <row r="46" spans="1:21" x14ac:dyDescent="0.25">
      <c r="A46" s="85"/>
      <c r="B46" s="115"/>
      <c r="C46" s="115"/>
      <c r="D46" s="303"/>
      <c r="E46" s="117"/>
      <c r="F46" s="117"/>
      <c r="G46" s="116"/>
      <c r="H46" s="117"/>
      <c r="I46" s="115"/>
      <c r="J46" s="115"/>
      <c r="K46" s="685"/>
      <c r="L46" s="115"/>
      <c r="M46" s="115"/>
      <c r="N46" s="115"/>
      <c r="O46" s="115"/>
      <c r="P46" s="115"/>
      <c r="Q46" s="85"/>
      <c r="R46" s="85"/>
      <c r="S46" s="85"/>
      <c r="T46" s="85"/>
      <c r="U46" s="85"/>
    </row>
    <row r="47" spans="1:21" x14ac:dyDescent="0.25">
      <c r="A47" s="85"/>
      <c r="B47" s="115"/>
      <c r="C47" s="115"/>
      <c r="D47" s="303"/>
      <c r="E47" s="117"/>
      <c r="F47" s="117"/>
      <c r="G47" s="116"/>
      <c r="H47" s="117"/>
      <c r="I47" s="115"/>
      <c r="J47" s="115"/>
      <c r="K47" s="685"/>
      <c r="L47" s="115"/>
      <c r="M47" s="115"/>
      <c r="N47" s="115"/>
      <c r="O47" s="115"/>
      <c r="P47" s="115"/>
      <c r="Q47" s="85"/>
      <c r="R47" s="85"/>
      <c r="S47" s="85"/>
      <c r="T47" s="85"/>
      <c r="U47" s="85"/>
    </row>
    <row r="48" spans="1:21" x14ac:dyDescent="0.25">
      <c r="A48" s="85"/>
      <c r="B48" s="115"/>
      <c r="C48" s="115"/>
      <c r="D48" s="303"/>
      <c r="E48" s="117"/>
      <c r="F48" s="117"/>
      <c r="G48" s="116"/>
      <c r="H48" s="117"/>
      <c r="I48" s="115"/>
      <c r="J48" s="115"/>
      <c r="K48" s="685"/>
      <c r="L48" s="115"/>
      <c r="M48" s="115"/>
      <c r="N48" s="115"/>
      <c r="O48" s="115"/>
      <c r="P48" s="115"/>
      <c r="Q48" s="85"/>
      <c r="R48" s="85"/>
      <c r="S48" s="85"/>
      <c r="T48" s="85"/>
      <c r="U48" s="85"/>
    </row>
    <row r="49" spans="1:21" x14ac:dyDescent="0.25">
      <c r="A49" s="85"/>
      <c r="B49" s="115"/>
      <c r="C49" s="115"/>
      <c r="D49" s="303"/>
      <c r="E49" s="117"/>
      <c r="F49" s="117"/>
      <c r="G49" s="116"/>
      <c r="H49" s="117"/>
      <c r="I49" s="115"/>
      <c r="J49" s="115"/>
      <c r="K49" s="685"/>
      <c r="L49" s="115"/>
      <c r="M49" s="115"/>
      <c r="N49" s="115"/>
      <c r="O49" s="115"/>
      <c r="P49" s="115"/>
      <c r="Q49" s="85"/>
      <c r="R49" s="85"/>
      <c r="S49" s="85"/>
      <c r="T49" s="85"/>
      <c r="U49" s="85"/>
    </row>
    <row r="50" spans="1:21" x14ac:dyDescent="0.25">
      <c r="A50" s="85"/>
      <c r="B50" s="115"/>
      <c r="C50" s="115"/>
      <c r="D50" s="303"/>
      <c r="E50" s="117"/>
      <c r="F50" s="117"/>
      <c r="G50" s="116"/>
      <c r="H50" s="117"/>
      <c r="I50" s="115"/>
      <c r="J50" s="115"/>
      <c r="K50" s="685"/>
      <c r="L50" s="115"/>
      <c r="M50" s="115"/>
      <c r="N50" s="115"/>
      <c r="O50" s="115"/>
      <c r="P50" s="115"/>
      <c r="Q50" s="85"/>
      <c r="R50" s="85"/>
      <c r="S50" s="85"/>
      <c r="T50" s="85"/>
      <c r="U50" s="85"/>
    </row>
    <row r="51" spans="1:21" x14ac:dyDescent="0.25">
      <c r="A51" s="85"/>
      <c r="B51" s="115"/>
      <c r="C51" s="115"/>
      <c r="D51" s="303"/>
      <c r="E51" s="117"/>
      <c r="F51" s="117"/>
      <c r="G51" s="116"/>
      <c r="H51" s="117"/>
      <c r="I51" s="115"/>
      <c r="J51" s="115"/>
      <c r="K51" s="685"/>
      <c r="L51" s="115"/>
      <c r="M51" s="115"/>
      <c r="N51" s="115"/>
      <c r="O51" s="115"/>
      <c r="P51" s="115"/>
      <c r="Q51" s="85"/>
      <c r="R51" s="85"/>
      <c r="S51" s="85"/>
      <c r="T51" s="85"/>
      <c r="U51" s="85"/>
    </row>
    <row r="52" spans="1:21" x14ac:dyDescent="0.25">
      <c r="A52" s="85"/>
      <c r="B52" s="115"/>
      <c r="C52" s="115"/>
      <c r="D52" s="303"/>
      <c r="E52" s="117"/>
      <c r="F52" s="117"/>
      <c r="G52" s="116"/>
      <c r="H52" s="117"/>
      <c r="I52" s="115"/>
      <c r="J52" s="115"/>
      <c r="K52" s="685"/>
      <c r="L52" s="115"/>
      <c r="M52" s="115"/>
      <c r="N52" s="115"/>
      <c r="O52" s="115"/>
      <c r="P52" s="115"/>
      <c r="Q52" s="85"/>
      <c r="R52" s="85"/>
      <c r="S52" s="85"/>
      <c r="T52" s="85"/>
      <c r="U52" s="85"/>
    </row>
    <row r="53" spans="1:21" x14ac:dyDescent="0.25">
      <c r="A53" s="85"/>
      <c r="B53" s="115"/>
      <c r="C53" s="115"/>
      <c r="D53" s="303"/>
      <c r="E53" s="117"/>
      <c r="F53" s="117"/>
      <c r="G53" s="116"/>
      <c r="H53" s="117"/>
      <c r="I53" s="115"/>
      <c r="J53" s="115"/>
      <c r="K53" s="685"/>
      <c r="L53" s="115"/>
      <c r="M53" s="115"/>
      <c r="N53" s="115"/>
      <c r="O53" s="115"/>
      <c r="P53" s="115"/>
      <c r="Q53" s="85"/>
      <c r="R53" s="85"/>
      <c r="S53" s="85"/>
      <c r="T53" s="85"/>
      <c r="U53" s="85"/>
    </row>
    <row r="54" spans="1:21" x14ac:dyDescent="0.25">
      <c r="A54" s="85"/>
      <c r="B54" s="115"/>
      <c r="C54" s="115"/>
      <c r="D54" s="303"/>
      <c r="E54" s="117"/>
      <c r="F54" s="117"/>
      <c r="G54" s="116"/>
      <c r="H54" s="117"/>
      <c r="I54" s="115"/>
      <c r="J54" s="115"/>
      <c r="K54" s="685"/>
      <c r="L54" s="115"/>
      <c r="M54" s="115"/>
      <c r="N54" s="115"/>
      <c r="O54" s="115"/>
      <c r="P54" s="115"/>
      <c r="Q54" s="85"/>
      <c r="R54" s="85"/>
      <c r="S54" s="85"/>
      <c r="T54" s="85"/>
      <c r="U54" s="85"/>
    </row>
    <row r="55" spans="1:21" x14ac:dyDescent="0.25">
      <c r="A55" s="85"/>
      <c r="B55" s="115"/>
      <c r="C55" s="115"/>
      <c r="D55" s="303"/>
      <c r="E55" s="117"/>
      <c r="F55" s="117"/>
      <c r="G55" s="116"/>
      <c r="H55" s="117"/>
      <c r="I55" s="115"/>
      <c r="J55" s="115"/>
      <c r="K55" s="685"/>
      <c r="L55" s="115"/>
      <c r="M55" s="115"/>
      <c r="N55" s="115"/>
      <c r="O55" s="115"/>
      <c r="P55" s="115"/>
      <c r="Q55" s="85"/>
      <c r="R55" s="85"/>
      <c r="S55" s="85"/>
      <c r="T55" s="85"/>
      <c r="U55" s="85"/>
    </row>
    <row r="56" spans="1:21" x14ac:dyDescent="0.25">
      <c r="A56" s="85"/>
      <c r="B56" s="115"/>
      <c r="C56" s="115"/>
      <c r="D56" s="303"/>
      <c r="E56" s="117"/>
      <c r="F56" s="117"/>
      <c r="G56" s="116"/>
      <c r="H56" s="117"/>
      <c r="I56" s="115"/>
      <c r="J56" s="115"/>
      <c r="K56" s="685"/>
      <c r="L56" s="115"/>
      <c r="M56" s="115"/>
      <c r="N56" s="115"/>
      <c r="O56" s="115"/>
      <c r="P56" s="115"/>
      <c r="Q56" s="85"/>
      <c r="R56" s="85"/>
      <c r="S56" s="85"/>
      <c r="T56" s="85"/>
      <c r="U56" s="85"/>
    </row>
    <row r="57" spans="1:21" x14ac:dyDescent="0.25">
      <c r="A57" s="85"/>
      <c r="B57" s="115"/>
      <c r="C57" s="115"/>
      <c r="D57" s="303"/>
      <c r="E57" s="117"/>
      <c r="F57" s="117"/>
      <c r="G57" s="116"/>
      <c r="H57" s="117"/>
      <c r="I57" s="115"/>
      <c r="J57" s="115"/>
      <c r="K57" s="685"/>
      <c r="L57" s="115"/>
      <c r="M57" s="115"/>
      <c r="N57" s="115"/>
      <c r="O57" s="115"/>
      <c r="P57" s="115"/>
      <c r="Q57" s="85"/>
      <c r="R57" s="85"/>
      <c r="S57" s="85"/>
      <c r="T57" s="85"/>
      <c r="U57" s="85"/>
    </row>
    <row r="58" spans="1:21" x14ac:dyDescent="0.25">
      <c r="A58" s="85"/>
      <c r="B58" s="115"/>
      <c r="C58" s="115"/>
      <c r="D58" s="303"/>
      <c r="E58" s="117"/>
      <c r="F58" s="117"/>
      <c r="G58" s="116"/>
      <c r="H58" s="117"/>
      <c r="I58" s="115"/>
      <c r="J58" s="115"/>
      <c r="K58" s="685"/>
      <c r="L58" s="115"/>
      <c r="M58" s="115"/>
      <c r="N58" s="115"/>
      <c r="O58" s="115"/>
      <c r="P58" s="115"/>
      <c r="Q58" s="85"/>
      <c r="R58" s="85"/>
      <c r="S58" s="85"/>
      <c r="T58" s="85"/>
      <c r="U58" s="85"/>
    </row>
    <row r="59" spans="1:21" x14ac:dyDescent="0.25">
      <c r="A59" s="85"/>
      <c r="B59" s="115"/>
      <c r="C59" s="115"/>
      <c r="D59" s="303"/>
      <c r="E59" s="117"/>
      <c r="F59" s="117"/>
      <c r="G59" s="117"/>
      <c r="H59" s="117"/>
      <c r="I59" s="115"/>
      <c r="J59" s="115"/>
      <c r="K59" s="685"/>
      <c r="L59" s="115"/>
      <c r="M59" s="115"/>
      <c r="N59" s="115"/>
      <c r="O59" s="115"/>
      <c r="P59" s="115"/>
      <c r="Q59" s="85"/>
      <c r="R59" s="85"/>
      <c r="S59" s="85"/>
      <c r="T59" s="85"/>
      <c r="U59" s="85"/>
    </row>
    <row r="60" spans="1:21" x14ac:dyDescent="0.25">
      <c r="A60" s="85"/>
      <c r="B60" s="115"/>
      <c r="C60" s="115"/>
      <c r="D60" s="303"/>
      <c r="E60" s="117"/>
      <c r="F60" s="117"/>
      <c r="G60" s="117"/>
      <c r="H60" s="117"/>
      <c r="I60" s="115"/>
      <c r="J60" s="115"/>
      <c r="K60" s="685"/>
      <c r="L60" s="115"/>
      <c r="M60" s="115"/>
      <c r="N60" s="115"/>
      <c r="O60" s="115"/>
      <c r="P60" s="115"/>
      <c r="Q60" s="85"/>
      <c r="R60" s="85"/>
      <c r="S60" s="85"/>
      <c r="T60" s="85"/>
      <c r="U60" s="85"/>
    </row>
    <row r="61" spans="1:21" x14ac:dyDescent="0.25">
      <c r="A61" s="85"/>
      <c r="B61" s="115"/>
      <c r="C61" s="115"/>
      <c r="D61" s="303"/>
      <c r="E61" s="117"/>
      <c r="F61" s="117"/>
      <c r="G61" s="117"/>
      <c r="H61" s="117"/>
      <c r="I61" s="115"/>
      <c r="J61" s="115"/>
      <c r="K61" s="685"/>
      <c r="L61" s="115"/>
      <c r="M61" s="115"/>
      <c r="N61" s="115"/>
      <c r="O61" s="115"/>
      <c r="P61" s="115"/>
      <c r="Q61" s="85"/>
      <c r="R61" s="85"/>
      <c r="S61" s="85"/>
      <c r="T61" s="85"/>
      <c r="U61" s="85"/>
    </row>
    <row r="62" spans="1:21" x14ac:dyDescent="0.25">
      <c r="A62" s="85"/>
      <c r="B62" s="115"/>
      <c r="C62" s="115"/>
      <c r="D62" s="303"/>
      <c r="E62" s="117"/>
      <c r="F62" s="117"/>
      <c r="G62" s="117"/>
      <c r="H62" s="117"/>
      <c r="I62" s="115"/>
      <c r="J62" s="115"/>
      <c r="K62" s="685"/>
      <c r="L62" s="115"/>
      <c r="M62" s="115"/>
      <c r="N62" s="115"/>
      <c r="O62" s="115"/>
      <c r="P62" s="115"/>
      <c r="Q62" s="85"/>
      <c r="R62" s="85"/>
      <c r="S62" s="85"/>
      <c r="T62" s="85"/>
      <c r="U62" s="85"/>
    </row>
    <row r="63" spans="1:21" x14ac:dyDescent="0.25">
      <c r="A63" s="85"/>
      <c r="B63" s="115"/>
      <c r="C63" s="115"/>
      <c r="D63" s="303"/>
      <c r="E63" s="117"/>
      <c r="F63" s="117"/>
      <c r="G63" s="117"/>
      <c r="H63" s="117"/>
      <c r="I63" s="115"/>
      <c r="J63" s="115"/>
      <c r="K63" s="115"/>
      <c r="L63" s="115"/>
      <c r="M63" s="115"/>
      <c r="N63" s="115"/>
      <c r="O63" s="115"/>
      <c r="P63" s="115"/>
      <c r="Q63" s="85"/>
      <c r="R63" s="85"/>
      <c r="S63" s="85"/>
      <c r="T63" s="85"/>
      <c r="U63" s="85"/>
    </row>
    <row r="64" spans="1:21" x14ac:dyDescent="0.25">
      <c r="A64" s="85"/>
      <c r="B64" s="115"/>
      <c r="C64" s="115"/>
      <c r="D64" s="115"/>
      <c r="E64" s="117"/>
      <c r="F64" s="117"/>
      <c r="G64" s="117"/>
      <c r="H64" s="117"/>
      <c r="I64" s="115"/>
      <c r="J64" s="115"/>
      <c r="K64" s="115"/>
      <c r="L64" s="115"/>
      <c r="M64" s="115"/>
      <c r="N64" s="115"/>
      <c r="O64" s="115"/>
      <c r="P64" s="115"/>
      <c r="Q64" s="85"/>
      <c r="R64" s="85"/>
      <c r="S64" s="85"/>
      <c r="T64" s="85"/>
      <c r="U64" s="85"/>
    </row>
    <row r="65" spans="1:21" x14ac:dyDescent="0.25">
      <c r="A65" s="85"/>
      <c r="B65" s="115"/>
      <c r="C65" s="115"/>
      <c r="D65" s="115"/>
      <c r="E65" s="117"/>
      <c r="F65" s="117"/>
      <c r="G65" s="117"/>
      <c r="H65" s="117"/>
      <c r="I65" s="115"/>
      <c r="J65" s="115"/>
      <c r="K65" s="115"/>
      <c r="L65" s="115"/>
      <c r="M65" s="115"/>
      <c r="N65" s="115"/>
      <c r="O65" s="115"/>
      <c r="P65" s="115"/>
      <c r="Q65" s="85"/>
      <c r="R65" s="85"/>
      <c r="S65" s="85"/>
      <c r="T65" s="85"/>
      <c r="U65" s="85"/>
    </row>
    <row r="66" spans="1:21" x14ac:dyDescent="0.25">
      <c r="A66" s="85"/>
      <c r="B66" s="115"/>
      <c r="C66" s="115"/>
      <c r="D66" s="115"/>
      <c r="E66" s="117"/>
      <c r="F66" s="117"/>
      <c r="G66" s="117"/>
      <c r="H66" s="117"/>
      <c r="I66" s="115"/>
      <c r="J66" s="115"/>
      <c r="K66" s="115"/>
      <c r="L66" s="115"/>
      <c r="M66" s="115"/>
      <c r="N66" s="115"/>
      <c r="O66" s="115"/>
      <c r="P66" s="115"/>
      <c r="Q66" s="85"/>
      <c r="R66" s="85"/>
      <c r="S66" s="85"/>
      <c r="T66" s="85"/>
      <c r="U66" s="85"/>
    </row>
    <row r="67" spans="1:21" x14ac:dyDescent="0.25">
      <c r="A67" s="85"/>
      <c r="B67" s="115"/>
      <c r="C67" s="115"/>
      <c r="D67" s="115"/>
      <c r="E67" s="117"/>
      <c r="F67" s="117"/>
      <c r="G67" s="117"/>
      <c r="H67" s="117"/>
      <c r="I67" s="115"/>
      <c r="J67" s="115"/>
      <c r="K67" s="115"/>
      <c r="L67" s="115"/>
      <c r="M67" s="115"/>
      <c r="N67" s="115"/>
      <c r="O67" s="115"/>
      <c r="P67" s="115"/>
      <c r="Q67" s="85"/>
      <c r="R67" s="85"/>
      <c r="S67" s="85"/>
      <c r="T67" s="85"/>
      <c r="U67" s="85"/>
    </row>
    <row r="68" spans="1:21" x14ac:dyDescent="0.25">
      <c r="A68" s="85"/>
      <c r="B68" s="115"/>
      <c r="C68" s="115"/>
      <c r="D68" s="115"/>
      <c r="E68" s="117"/>
      <c r="F68" s="117"/>
      <c r="G68" s="117"/>
      <c r="H68" s="117"/>
      <c r="I68" s="115"/>
      <c r="J68" s="115"/>
      <c r="K68" s="115"/>
      <c r="L68" s="115"/>
      <c r="M68" s="115"/>
      <c r="N68" s="115"/>
      <c r="O68" s="115"/>
      <c r="P68" s="115"/>
      <c r="Q68" s="85"/>
      <c r="R68" s="85"/>
      <c r="S68" s="85"/>
      <c r="T68" s="85"/>
      <c r="U68" s="85"/>
    </row>
    <row r="69" spans="1:21" x14ac:dyDescent="0.25">
      <c r="A69" s="85"/>
      <c r="B69" s="115"/>
      <c r="C69" s="115"/>
      <c r="D69" s="115"/>
      <c r="E69" s="117"/>
      <c r="F69" s="117"/>
      <c r="G69" s="117"/>
      <c r="H69" s="117"/>
      <c r="I69" s="115"/>
      <c r="J69" s="115"/>
      <c r="K69" s="115"/>
      <c r="L69" s="115"/>
      <c r="M69" s="115"/>
      <c r="N69" s="115"/>
      <c r="O69" s="115"/>
      <c r="P69" s="115"/>
      <c r="Q69" s="85"/>
      <c r="R69" s="85"/>
      <c r="S69" s="85"/>
      <c r="T69" s="85"/>
      <c r="U69" s="85"/>
    </row>
    <row r="70" spans="1:21" x14ac:dyDescent="0.25">
      <c r="A70" s="85"/>
      <c r="B70" s="115"/>
      <c r="C70" s="115"/>
      <c r="D70" s="115"/>
      <c r="E70" s="117"/>
      <c r="F70" s="117"/>
      <c r="G70" s="117"/>
      <c r="H70" s="117"/>
      <c r="I70" s="115"/>
      <c r="J70" s="115"/>
      <c r="K70" s="115"/>
      <c r="L70" s="115"/>
      <c r="M70" s="115"/>
      <c r="N70" s="115"/>
      <c r="O70" s="115"/>
      <c r="P70" s="115"/>
      <c r="Q70" s="85"/>
      <c r="R70" s="85"/>
      <c r="S70" s="85"/>
      <c r="T70" s="85"/>
      <c r="U70" s="85"/>
    </row>
    <row r="71" spans="1:21" x14ac:dyDescent="0.25">
      <c r="A71" s="85"/>
      <c r="B71" s="115"/>
      <c r="C71" s="115"/>
      <c r="D71" s="115"/>
      <c r="E71" s="117"/>
      <c r="F71" s="117"/>
      <c r="G71" s="117"/>
      <c r="H71" s="117"/>
      <c r="I71" s="115"/>
      <c r="J71" s="115"/>
      <c r="K71" s="115"/>
      <c r="L71" s="115"/>
      <c r="M71" s="115"/>
      <c r="N71" s="115"/>
      <c r="O71" s="115"/>
      <c r="P71" s="115"/>
      <c r="Q71" s="85"/>
      <c r="R71" s="85"/>
      <c r="S71" s="85"/>
      <c r="T71" s="85"/>
      <c r="U71" s="85"/>
    </row>
    <row r="72" spans="1:21" x14ac:dyDescent="0.25">
      <c r="A72" s="85"/>
      <c r="B72" s="115"/>
      <c r="C72" s="115"/>
      <c r="D72" s="115"/>
      <c r="E72" s="117"/>
      <c r="F72" s="117"/>
      <c r="G72" s="117"/>
      <c r="H72" s="117"/>
      <c r="I72" s="115"/>
      <c r="J72" s="115"/>
      <c r="K72" s="115"/>
      <c r="L72" s="115"/>
      <c r="M72" s="115"/>
      <c r="N72" s="115"/>
      <c r="O72" s="115"/>
      <c r="P72" s="115"/>
      <c r="Q72" s="85"/>
      <c r="R72" s="85"/>
      <c r="S72" s="85"/>
      <c r="T72" s="85"/>
      <c r="U72" s="85"/>
    </row>
    <row r="73" spans="1:21" x14ac:dyDescent="0.25">
      <c r="A73" s="85"/>
      <c r="B73" s="115"/>
      <c r="C73" s="115"/>
      <c r="D73" s="115"/>
      <c r="E73" s="117"/>
      <c r="F73" s="117"/>
      <c r="G73" s="117"/>
      <c r="H73" s="117"/>
      <c r="I73" s="115"/>
      <c r="J73" s="115"/>
      <c r="K73" s="115"/>
      <c r="L73" s="115"/>
      <c r="M73" s="115"/>
      <c r="N73" s="115"/>
      <c r="O73" s="115"/>
      <c r="P73" s="115"/>
      <c r="Q73" s="85"/>
      <c r="R73" s="85"/>
      <c r="S73" s="85"/>
      <c r="T73" s="85"/>
      <c r="U73" s="85"/>
    </row>
    <row r="74" spans="1:21" x14ac:dyDescent="0.25">
      <c r="A74" s="85"/>
      <c r="B74" s="115"/>
      <c r="C74" s="115"/>
      <c r="D74" s="115"/>
      <c r="E74" s="117"/>
      <c r="F74" s="117"/>
      <c r="G74" s="117"/>
      <c r="H74" s="117"/>
      <c r="I74" s="115"/>
      <c r="J74" s="115"/>
      <c r="K74" s="115"/>
      <c r="L74" s="115"/>
      <c r="M74" s="115"/>
      <c r="N74" s="115"/>
      <c r="O74" s="115"/>
      <c r="P74" s="115"/>
      <c r="Q74" s="85"/>
      <c r="R74" s="85"/>
      <c r="S74" s="85"/>
      <c r="T74" s="85"/>
      <c r="U74" s="85"/>
    </row>
    <row r="75" spans="1:21" x14ac:dyDescent="0.25">
      <c r="A75" s="85"/>
      <c r="B75" s="115"/>
      <c r="C75" s="115"/>
      <c r="D75" s="115"/>
      <c r="E75" s="117"/>
      <c r="F75" s="117"/>
      <c r="G75" s="117"/>
      <c r="H75" s="117"/>
      <c r="I75" s="115"/>
      <c r="J75" s="115"/>
      <c r="K75" s="115"/>
      <c r="L75" s="115"/>
      <c r="M75" s="115"/>
      <c r="N75" s="115"/>
      <c r="O75" s="115"/>
      <c r="P75" s="115"/>
      <c r="Q75" s="85"/>
      <c r="R75" s="85"/>
      <c r="S75" s="85"/>
      <c r="T75" s="85"/>
      <c r="U75" s="85"/>
    </row>
    <row r="76" spans="1:21" x14ac:dyDescent="0.25">
      <c r="A76" s="85"/>
      <c r="B76" s="115"/>
      <c r="C76" s="115"/>
      <c r="D76" s="115"/>
      <c r="E76" s="117"/>
      <c r="F76" s="117"/>
      <c r="G76" s="117"/>
      <c r="H76" s="117"/>
      <c r="I76" s="115"/>
      <c r="J76" s="115"/>
      <c r="K76" s="115"/>
      <c r="L76" s="115"/>
      <c r="M76" s="115"/>
      <c r="N76" s="115"/>
      <c r="O76" s="115"/>
      <c r="P76" s="115"/>
      <c r="Q76" s="85"/>
      <c r="R76" s="85"/>
      <c r="S76" s="85"/>
      <c r="T76" s="85"/>
      <c r="U76" s="85"/>
    </row>
    <row r="77" spans="1:21" x14ac:dyDescent="0.25">
      <c r="A77" s="85"/>
      <c r="B77" s="115"/>
      <c r="C77" s="115"/>
      <c r="D77" s="115"/>
      <c r="E77" s="117"/>
      <c r="F77" s="117"/>
      <c r="G77" s="117"/>
      <c r="H77" s="117"/>
      <c r="I77" s="115"/>
      <c r="J77" s="115"/>
      <c r="K77" s="115"/>
      <c r="L77" s="115"/>
      <c r="M77" s="115"/>
      <c r="N77" s="115"/>
      <c r="O77" s="115"/>
      <c r="P77" s="115"/>
      <c r="Q77" s="85"/>
      <c r="R77" s="85"/>
      <c r="S77" s="85"/>
      <c r="T77" s="85"/>
      <c r="U77" s="85"/>
    </row>
    <row r="78" spans="1:21" x14ac:dyDescent="0.25">
      <c r="A78" s="85"/>
      <c r="B78" s="115"/>
      <c r="C78" s="115"/>
      <c r="D78" s="115"/>
      <c r="E78" s="117"/>
      <c r="F78" s="117"/>
      <c r="G78" s="117"/>
      <c r="H78" s="117"/>
      <c r="I78" s="115"/>
      <c r="J78" s="115"/>
      <c r="K78" s="115"/>
      <c r="L78" s="115"/>
      <c r="M78" s="115"/>
      <c r="N78" s="115"/>
      <c r="O78" s="115"/>
      <c r="P78" s="115"/>
      <c r="Q78" s="85"/>
      <c r="R78" s="85"/>
      <c r="S78" s="85"/>
      <c r="T78" s="85"/>
      <c r="U78" s="85"/>
    </row>
    <row r="79" spans="1:21" x14ac:dyDescent="0.25">
      <c r="A79" s="85"/>
      <c r="B79" s="115"/>
      <c r="C79" s="115"/>
      <c r="D79" s="115"/>
      <c r="E79" s="117"/>
      <c r="F79" s="117"/>
      <c r="G79" s="117"/>
      <c r="H79" s="117"/>
      <c r="I79" s="115"/>
      <c r="J79" s="115"/>
      <c r="K79" s="115"/>
      <c r="L79" s="115"/>
      <c r="M79" s="115"/>
      <c r="N79" s="115"/>
      <c r="O79" s="115"/>
      <c r="P79" s="115"/>
      <c r="Q79" s="85"/>
      <c r="R79" s="85"/>
      <c r="S79" s="85"/>
      <c r="T79" s="85"/>
      <c r="U79" s="85"/>
    </row>
    <row r="80" spans="1:21" x14ac:dyDescent="0.25">
      <c r="A80" s="85"/>
      <c r="B80" s="115"/>
      <c r="C80" s="115"/>
      <c r="D80" s="115"/>
      <c r="E80" s="117"/>
      <c r="F80" s="117"/>
      <c r="G80" s="117"/>
      <c r="H80" s="117"/>
      <c r="I80" s="115"/>
      <c r="J80" s="115"/>
      <c r="K80" s="115"/>
      <c r="L80" s="115"/>
      <c r="M80" s="115"/>
      <c r="N80" s="115"/>
      <c r="O80" s="115"/>
      <c r="P80" s="115"/>
      <c r="Q80" s="85"/>
      <c r="R80" s="85"/>
      <c r="S80" s="85"/>
      <c r="T80" s="85"/>
      <c r="U80" s="85"/>
    </row>
    <row r="81" spans="1:21" x14ac:dyDescent="0.25">
      <c r="A81" s="85"/>
      <c r="B81" s="115"/>
      <c r="C81" s="115"/>
      <c r="D81" s="115"/>
      <c r="E81" s="117"/>
      <c r="F81" s="117"/>
      <c r="G81" s="117"/>
      <c r="H81" s="117"/>
      <c r="I81" s="115"/>
      <c r="J81" s="115"/>
      <c r="K81" s="115"/>
      <c r="L81" s="115"/>
      <c r="M81" s="115"/>
      <c r="N81" s="115"/>
      <c r="O81" s="115"/>
      <c r="P81" s="115"/>
      <c r="Q81" s="85"/>
      <c r="R81" s="85"/>
      <c r="S81" s="85"/>
      <c r="T81" s="85"/>
      <c r="U81" s="85"/>
    </row>
    <row r="82" spans="1:21" x14ac:dyDescent="0.25">
      <c r="A82" s="85"/>
      <c r="B82" s="115"/>
      <c r="C82" s="115"/>
      <c r="D82" s="115"/>
      <c r="E82" s="117"/>
      <c r="F82" s="117"/>
      <c r="G82" s="117"/>
      <c r="H82" s="117"/>
      <c r="I82" s="115"/>
      <c r="J82" s="115"/>
      <c r="K82" s="115"/>
      <c r="L82" s="115"/>
      <c r="M82" s="115"/>
      <c r="N82" s="115"/>
      <c r="O82" s="115"/>
      <c r="P82" s="115"/>
      <c r="Q82" s="85"/>
      <c r="R82" s="85"/>
      <c r="S82" s="85"/>
      <c r="T82" s="85"/>
      <c r="U82" s="85"/>
    </row>
    <row r="83" spans="1:21" x14ac:dyDescent="0.25">
      <c r="A83" s="85"/>
      <c r="B83" s="115"/>
      <c r="C83" s="115"/>
      <c r="D83" s="115"/>
      <c r="E83" s="117"/>
      <c r="F83" s="117"/>
      <c r="G83" s="117"/>
      <c r="H83" s="117"/>
      <c r="I83" s="115"/>
      <c r="J83" s="115"/>
      <c r="K83" s="115"/>
      <c r="L83" s="115"/>
      <c r="M83" s="115"/>
      <c r="N83" s="115"/>
      <c r="O83" s="115"/>
      <c r="P83" s="115"/>
      <c r="Q83" s="85"/>
      <c r="R83" s="85"/>
      <c r="S83" s="85"/>
      <c r="T83" s="85"/>
      <c r="U83" s="85"/>
    </row>
    <row r="84" spans="1:21" x14ac:dyDescent="0.25">
      <c r="A84" s="85"/>
      <c r="B84" s="115"/>
      <c r="C84" s="115"/>
      <c r="D84" s="115"/>
      <c r="E84" s="117"/>
      <c r="F84" s="117"/>
      <c r="G84" s="117"/>
      <c r="H84" s="117"/>
      <c r="I84" s="115"/>
      <c r="J84" s="115"/>
      <c r="K84" s="115"/>
      <c r="L84" s="115"/>
      <c r="M84" s="115"/>
      <c r="N84" s="115"/>
      <c r="O84" s="115"/>
      <c r="P84" s="115"/>
      <c r="Q84" s="85"/>
      <c r="R84" s="85"/>
      <c r="S84" s="85"/>
      <c r="T84" s="85"/>
      <c r="U84" s="85"/>
    </row>
    <row r="85" spans="1:21" x14ac:dyDescent="0.25">
      <c r="A85" s="85"/>
      <c r="B85" s="115"/>
      <c r="C85" s="115"/>
      <c r="D85" s="115"/>
      <c r="E85" s="117"/>
      <c r="F85" s="117"/>
      <c r="G85" s="117"/>
      <c r="H85" s="117"/>
      <c r="I85" s="115"/>
      <c r="J85" s="115"/>
      <c r="K85" s="115"/>
      <c r="L85" s="115"/>
      <c r="M85" s="115"/>
      <c r="N85" s="115"/>
      <c r="O85" s="115"/>
      <c r="P85" s="115"/>
      <c r="Q85" s="85"/>
      <c r="R85" s="85"/>
      <c r="S85" s="85"/>
      <c r="T85" s="85"/>
      <c r="U85" s="85"/>
    </row>
    <row r="86" spans="1:21" x14ac:dyDescent="0.25">
      <c r="A86" s="85"/>
      <c r="B86" s="115"/>
      <c r="C86" s="115"/>
      <c r="D86" s="115"/>
      <c r="E86" s="117"/>
      <c r="F86" s="117"/>
      <c r="G86" s="117"/>
      <c r="H86" s="117"/>
      <c r="I86" s="115"/>
      <c r="J86" s="115"/>
      <c r="K86" s="115"/>
      <c r="L86" s="115"/>
      <c r="M86" s="115"/>
      <c r="N86" s="115"/>
      <c r="O86" s="115"/>
      <c r="P86" s="115"/>
      <c r="Q86" s="85"/>
      <c r="R86" s="85"/>
      <c r="S86" s="85"/>
      <c r="T86" s="85"/>
      <c r="U86" s="85"/>
    </row>
    <row r="87" spans="1:21" x14ac:dyDescent="0.25">
      <c r="A87" s="85"/>
      <c r="B87" s="115"/>
      <c r="C87" s="115"/>
      <c r="D87" s="115"/>
      <c r="E87" s="117"/>
      <c r="F87" s="117"/>
      <c r="G87" s="117"/>
      <c r="H87" s="117"/>
      <c r="I87" s="115"/>
      <c r="J87" s="115"/>
      <c r="K87" s="115"/>
      <c r="L87" s="115"/>
      <c r="M87" s="115"/>
      <c r="N87" s="115"/>
      <c r="O87" s="115"/>
      <c r="P87" s="115"/>
      <c r="Q87" s="85"/>
      <c r="R87" s="85"/>
      <c r="S87" s="85"/>
      <c r="T87" s="85"/>
      <c r="U87" s="85"/>
    </row>
    <row r="88" spans="1:21" x14ac:dyDescent="0.25">
      <c r="A88" s="85"/>
      <c r="B88" s="115"/>
      <c r="C88" s="115"/>
      <c r="D88" s="115"/>
      <c r="E88" s="117"/>
      <c r="F88" s="117"/>
      <c r="G88" s="117"/>
      <c r="H88" s="117"/>
      <c r="I88" s="115"/>
      <c r="J88" s="115"/>
      <c r="K88" s="115"/>
      <c r="L88" s="115"/>
      <c r="M88" s="115"/>
      <c r="N88" s="115"/>
      <c r="O88" s="115"/>
      <c r="P88" s="115"/>
      <c r="Q88" s="85"/>
      <c r="R88" s="85"/>
      <c r="S88" s="85"/>
      <c r="T88" s="85"/>
      <c r="U88" s="85"/>
    </row>
    <row r="89" spans="1:21" x14ac:dyDescent="0.25">
      <c r="A89" s="85"/>
      <c r="B89" s="115"/>
      <c r="C89" s="115"/>
      <c r="D89" s="115"/>
      <c r="E89" s="117"/>
      <c r="F89" s="117"/>
      <c r="G89" s="117"/>
      <c r="H89" s="117"/>
      <c r="I89" s="115"/>
      <c r="J89" s="115"/>
      <c r="K89" s="115"/>
      <c r="L89" s="115"/>
      <c r="M89" s="115"/>
      <c r="N89" s="115"/>
      <c r="O89" s="115"/>
      <c r="P89" s="115"/>
      <c r="Q89" s="85"/>
      <c r="R89" s="85"/>
      <c r="S89" s="85"/>
      <c r="T89" s="85"/>
      <c r="U89" s="85"/>
    </row>
    <row r="90" spans="1:21" x14ac:dyDescent="0.25">
      <c r="A90" s="85"/>
      <c r="B90" s="115"/>
      <c r="C90" s="115"/>
      <c r="D90" s="115"/>
      <c r="E90" s="117"/>
      <c r="F90" s="117"/>
      <c r="G90" s="117"/>
      <c r="H90" s="117"/>
      <c r="I90" s="115"/>
      <c r="J90" s="115"/>
      <c r="K90" s="115"/>
      <c r="L90" s="115"/>
      <c r="M90" s="115"/>
      <c r="N90" s="115"/>
      <c r="O90" s="115"/>
      <c r="P90" s="115"/>
      <c r="Q90" s="85"/>
      <c r="R90" s="85"/>
      <c r="S90" s="85"/>
      <c r="T90" s="85"/>
      <c r="U90" s="85"/>
    </row>
    <row r="91" spans="1:21" x14ac:dyDescent="0.25">
      <c r="A91" s="85"/>
      <c r="B91" s="115"/>
      <c r="C91" s="115"/>
      <c r="D91" s="115"/>
      <c r="E91" s="117"/>
      <c r="F91" s="117"/>
      <c r="G91" s="117"/>
      <c r="H91" s="117"/>
      <c r="I91" s="115"/>
      <c r="J91" s="115"/>
      <c r="K91" s="115"/>
      <c r="L91" s="115"/>
      <c r="M91" s="115"/>
      <c r="N91" s="115"/>
      <c r="O91" s="115"/>
      <c r="P91" s="115"/>
      <c r="Q91" s="85"/>
      <c r="R91" s="85"/>
      <c r="S91" s="85"/>
      <c r="T91" s="85"/>
      <c r="U91" s="85"/>
    </row>
    <row r="92" spans="1:21" x14ac:dyDescent="0.25">
      <c r="A92" s="85"/>
      <c r="B92" s="115"/>
      <c r="C92" s="115"/>
      <c r="D92" s="115"/>
      <c r="E92" s="117"/>
      <c r="F92" s="117"/>
      <c r="G92" s="117"/>
      <c r="H92" s="117"/>
      <c r="I92" s="115"/>
      <c r="J92" s="115"/>
      <c r="K92" s="115"/>
      <c r="L92" s="115"/>
      <c r="M92" s="115"/>
      <c r="N92" s="115"/>
      <c r="O92" s="115"/>
      <c r="P92" s="115"/>
      <c r="Q92" s="85"/>
      <c r="R92" s="85"/>
      <c r="S92" s="85"/>
      <c r="T92" s="85"/>
      <c r="U92" s="85"/>
    </row>
    <row r="93" spans="1:21" x14ac:dyDescent="0.25">
      <c r="A93" s="85"/>
      <c r="B93" s="115"/>
      <c r="C93" s="115"/>
      <c r="D93" s="115"/>
      <c r="E93" s="117"/>
      <c r="F93" s="117"/>
      <c r="G93" s="117"/>
      <c r="H93" s="117"/>
      <c r="I93" s="115"/>
      <c r="J93" s="115"/>
      <c r="K93" s="115"/>
      <c r="L93" s="115"/>
      <c r="M93" s="115"/>
      <c r="N93" s="115"/>
      <c r="O93" s="115"/>
      <c r="P93" s="115"/>
      <c r="Q93" s="85"/>
      <c r="R93" s="85"/>
      <c r="S93" s="85"/>
      <c r="T93" s="85"/>
      <c r="U93" s="85"/>
    </row>
    <row r="94" spans="1:21" x14ac:dyDescent="0.25">
      <c r="A94" s="85"/>
      <c r="B94" s="115"/>
      <c r="C94" s="115"/>
      <c r="D94" s="115"/>
      <c r="E94" s="117"/>
      <c r="F94" s="117"/>
      <c r="G94" s="117"/>
      <c r="H94" s="117"/>
      <c r="I94" s="115"/>
      <c r="J94" s="115"/>
      <c r="K94" s="115"/>
      <c r="L94" s="115"/>
      <c r="M94" s="115"/>
      <c r="N94" s="115"/>
      <c r="O94" s="115"/>
      <c r="P94" s="115"/>
      <c r="Q94" s="85"/>
      <c r="R94" s="85"/>
      <c r="S94" s="85"/>
      <c r="T94" s="85"/>
      <c r="U94" s="85"/>
    </row>
    <row r="95" spans="1:21" x14ac:dyDescent="0.25">
      <c r="A95" s="85"/>
      <c r="B95" s="115"/>
      <c r="C95" s="115"/>
      <c r="D95" s="115"/>
      <c r="E95" s="117"/>
      <c r="F95" s="117"/>
      <c r="G95" s="117"/>
      <c r="H95" s="117"/>
      <c r="I95" s="115"/>
      <c r="J95" s="115"/>
      <c r="K95" s="115"/>
      <c r="L95" s="115"/>
      <c r="M95" s="115"/>
      <c r="N95" s="115"/>
      <c r="O95" s="115"/>
      <c r="P95" s="115"/>
      <c r="Q95" s="85"/>
      <c r="R95" s="85"/>
      <c r="S95" s="85"/>
      <c r="T95" s="85"/>
      <c r="U95" s="85"/>
    </row>
    <row r="96" spans="1:21" x14ac:dyDescent="0.25">
      <c r="A96" s="85"/>
      <c r="B96" s="115"/>
      <c r="C96" s="115"/>
      <c r="D96" s="115"/>
      <c r="E96" s="117"/>
      <c r="F96" s="117"/>
      <c r="G96" s="117"/>
      <c r="H96" s="117"/>
      <c r="I96" s="115"/>
      <c r="J96" s="115"/>
      <c r="K96" s="115"/>
      <c r="L96" s="115"/>
      <c r="M96" s="115"/>
      <c r="N96" s="115"/>
      <c r="O96" s="115"/>
      <c r="P96" s="115"/>
      <c r="Q96" s="85"/>
      <c r="R96" s="85"/>
      <c r="S96" s="85"/>
      <c r="T96" s="85"/>
      <c r="U96" s="85"/>
    </row>
    <row r="97" spans="1:21" x14ac:dyDescent="0.25">
      <c r="A97" s="85"/>
      <c r="B97" s="115"/>
      <c r="C97" s="115"/>
      <c r="D97" s="115"/>
      <c r="E97" s="117"/>
      <c r="F97" s="117"/>
      <c r="G97" s="117"/>
      <c r="H97" s="117"/>
      <c r="I97" s="115"/>
      <c r="J97" s="115"/>
      <c r="K97" s="115"/>
      <c r="L97" s="115"/>
      <c r="M97" s="115"/>
      <c r="N97" s="115"/>
      <c r="O97" s="115"/>
      <c r="P97" s="115"/>
      <c r="Q97" s="85"/>
      <c r="R97" s="85"/>
      <c r="S97" s="85"/>
      <c r="T97" s="85"/>
      <c r="U97" s="85"/>
    </row>
    <row r="98" spans="1:21" x14ac:dyDescent="0.25">
      <c r="A98" s="85"/>
      <c r="B98" s="115"/>
      <c r="C98" s="115"/>
      <c r="D98" s="115"/>
      <c r="E98" s="117"/>
      <c r="F98" s="117"/>
      <c r="G98" s="117"/>
      <c r="H98" s="117"/>
      <c r="I98" s="115"/>
      <c r="J98" s="115"/>
      <c r="K98" s="115"/>
      <c r="L98" s="115"/>
      <c r="M98" s="115"/>
      <c r="N98" s="115"/>
      <c r="O98" s="115"/>
      <c r="P98" s="115"/>
      <c r="Q98" s="85"/>
      <c r="R98" s="85"/>
      <c r="S98" s="85"/>
      <c r="T98" s="85"/>
      <c r="U98" s="85"/>
    </row>
    <row r="99" spans="1:21" x14ac:dyDescent="0.25">
      <c r="A99" s="85"/>
      <c r="B99" s="115"/>
      <c r="C99" s="115"/>
      <c r="D99" s="115"/>
      <c r="E99" s="115"/>
      <c r="F99" s="115"/>
      <c r="G99" s="115"/>
      <c r="H99" s="115"/>
      <c r="I99" s="115"/>
      <c r="J99" s="115"/>
      <c r="K99" s="115"/>
      <c r="L99" s="115"/>
      <c r="M99" s="115"/>
      <c r="N99" s="115"/>
      <c r="O99" s="115"/>
      <c r="P99" s="115"/>
      <c r="Q99" s="85"/>
      <c r="R99" s="85"/>
      <c r="S99" s="85"/>
      <c r="T99" s="85"/>
      <c r="U99" s="85"/>
    </row>
    <row r="100" spans="1:21" x14ac:dyDescent="0.25">
      <c r="A100" s="85"/>
      <c r="B100" s="115"/>
      <c r="C100" s="115"/>
      <c r="D100" s="115"/>
      <c r="E100" s="115"/>
      <c r="F100" s="115"/>
      <c r="G100" s="115"/>
      <c r="H100" s="115"/>
      <c r="I100" s="115"/>
      <c r="J100" s="115"/>
      <c r="K100" s="115"/>
      <c r="L100" s="115"/>
      <c r="M100" s="115"/>
      <c r="N100" s="115"/>
      <c r="O100" s="115"/>
      <c r="P100" s="115"/>
      <c r="Q100" s="85"/>
      <c r="R100" s="85"/>
      <c r="S100" s="85"/>
      <c r="T100" s="85"/>
      <c r="U100" s="85"/>
    </row>
    <row r="101" spans="1:21" x14ac:dyDescent="0.25">
      <c r="A101" s="85"/>
      <c r="B101" s="115"/>
      <c r="C101" s="115"/>
      <c r="D101" s="115"/>
      <c r="E101" s="115"/>
      <c r="F101" s="115"/>
      <c r="G101" s="115"/>
      <c r="H101" s="115"/>
      <c r="I101" s="115"/>
      <c r="J101" s="115"/>
      <c r="K101" s="115"/>
      <c r="L101" s="115"/>
      <c r="M101" s="115"/>
      <c r="N101" s="115"/>
      <c r="O101" s="115"/>
      <c r="P101" s="115"/>
      <c r="Q101" s="85"/>
      <c r="R101" s="85"/>
      <c r="S101" s="85"/>
      <c r="T101" s="85"/>
      <c r="U101" s="85"/>
    </row>
    <row r="102" spans="1:21" x14ac:dyDescent="0.25">
      <c r="A102" s="85"/>
      <c r="B102" s="115"/>
      <c r="C102" s="115"/>
      <c r="D102" s="115"/>
      <c r="E102" s="115"/>
      <c r="F102" s="115"/>
      <c r="G102" s="115"/>
      <c r="H102" s="115"/>
      <c r="I102" s="115"/>
      <c r="J102" s="115"/>
      <c r="K102" s="115"/>
      <c r="L102" s="115"/>
      <c r="M102" s="115"/>
      <c r="N102" s="115"/>
      <c r="O102" s="115"/>
      <c r="P102" s="115"/>
      <c r="Q102" s="85"/>
      <c r="R102" s="85"/>
      <c r="S102" s="85"/>
      <c r="T102" s="85"/>
      <c r="U102" s="85"/>
    </row>
    <row r="103" spans="1:21" x14ac:dyDescent="0.25">
      <c r="A103" s="85"/>
      <c r="B103" s="115"/>
      <c r="C103" s="115"/>
      <c r="D103" s="115"/>
      <c r="E103" s="115"/>
      <c r="F103" s="115"/>
      <c r="G103" s="115"/>
      <c r="H103" s="115"/>
      <c r="I103" s="115"/>
      <c r="J103" s="115"/>
      <c r="K103" s="115"/>
      <c r="L103" s="115"/>
      <c r="M103" s="115"/>
      <c r="N103" s="115"/>
      <c r="O103" s="115"/>
      <c r="P103" s="115"/>
      <c r="Q103" s="85"/>
      <c r="R103" s="85"/>
      <c r="S103" s="85"/>
      <c r="T103" s="85"/>
      <c r="U103" s="85"/>
    </row>
    <row r="104" spans="1:21" x14ac:dyDescent="0.25">
      <c r="A104" s="85"/>
      <c r="B104" s="115"/>
      <c r="C104" s="115"/>
      <c r="D104" s="115"/>
      <c r="E104" s="115"/>
      <c r="F104" s="115"/>
      <c r="G104" s="115"/>
      <c r="H104" s="115"/>
      <c r="I104" s="115"/>
      <c r="J104" s="115"/>
      <c r="K104" s="115"/>
      <c r="L104" s="115"/>
      <c r="M104" s="115"/>
      <c r="N104" s="115"/>
      <c r="O104" s="115"/>
      <c r="P104" s="115"/>
      <c r="Q104" s="85"/>
      <c r="R104" s="85"/>
      <c r="S104" s="85"/>
      <c r="T104" s="85"/>
      <c r="U104" s="85"/>
    </row>
    <row r="105" spans="1:21" x14ac:dyDescent="0.25">
      <c r="A105" s="85"/>
      <c r="B105" s="115"/>
      <c r="C105" s="115"/>
      <c r="D105" s="115"/>
      <c r="E105" s="115"/>
      <c r="F105" s="115"/>
      <c r="G105" s="115"/>
      <c r="H105" s="115"/>
      <c r="I105" s="115"/>
      <c r="J105" s="115"/>
      <c r="K105" s="115"/>
      <c r="L105" s="115"/>
      <c r="M105" s="115"/>
      <c r="N105" s="115"/>
      <c r="O105" s="115"/>
      <c r="P105" s="115"/>
      <c r="Q105" s="85"/>
      <c r="R105" s="85"/>
      <c r="S105" s="85"/>
      <c r="T105" s="85"/>
      <c r="U105" s="85"/>
    </row>
    <row r="106" spans="1:21" x14ac:dyDescent="0.25">
      <c r="A106" s="85"/>
      <c r="B106" s="115"/>
      <c r="C106" s="115"/>
      <c r="D106" s="115"/>
      <c r="E106" s="115"/>
      <c r="F106" s="115"/>
      <c r="G106" s="115"/>
      <c r="H106" s="115"/>
      <c r="I106" s="115"/>
      <c r="J106" s="115"/>
      <c r="K106" s="115"/>
      <c r="L106" s="115"/>
      <c r="M106" s="115"/>
      <c r="N106" s="115"/>
      <c r="O106" s="115"/>
      <c r="P106" s="115"/>
      <c r="Q106" s="85"/>
      <c r="R106" s="85"/>
      <c r="S106" s="85"/>
      <c r="T106" s="85"/>
      <c r="U106" s="85"/>
    </row>
    <row r="107" spans="1:21" x14ac:dyDescent="0.25">
      <c r="A107" s="85"/>
      <c r="B107" s="115"/>
      <c r="C107" s="115"/>
      <c r="D107" s="115"/>
      <c r="E107" s="115"/>
      <c r="F107" s="115"/>
      <c r="G107" s="115"/>
      <c r="H107" s="115"/>
      <c r="I107" s="115"/>
      <c r="J107" s="115"/>
      <c r="K107" s="115"/>
      <c r="L107" s="115"/>
      <c r="M107" s="115"/>
      <c r="N107" s="115"/>
      <c r="O107" s="115"/>
      <c r="P107" s="115"/>
      <c r="Q107" s="85"/>
      <c r="R107" s="85"/>
      <c r="S107" s="85"/>
      <c r="T107" s="85"/>
      <c r="U107" s="85"/>
    </row>
    <row r="108" spans="1:21" ht="15.75" thickBot="1" x14ac:dyDescent="0.3">
      <c r="B108" s="114"/>
      <c r="C108" s="114"/>
      <c r="D108" s="114"/>
      <c r="E108" s="114"/>
      <c r="F108" s="114"/>
      <c r="G108" s="114"/>
      <c r="H108" s="114"/>
      <c r="I108" s="114"/>
      <c r="J108" s="114"/>
      <c r="K108" s="114"/>
      <c r="L108" s="114"/>
      <c r="M108" s="114"/>
      <c r="N108" s="114"/>
      <c r="O108" s="114"/>
      <c r="P108" s="114"/>
    </row>
    <row r="109" spans="1:21" ht="15.75" thickBot="1" x14ac:dyDescent="0.3">
      <c r="B109" s="108"/>
      <c r="C109" s="108"/>
      <c r="D109" s="108"/>
      <c r="E109" s="108"/>
      <c r="F109" s="108"/>
      <c r="G109" s="108"/>
      <c r="H109" s="108"/>
      <c r="I109" s="108"/>
      <c r="J109" s="108"/>
      <c r="K109" s="108"/>
      <c r="L109" s="108"/>
      <c r="M109" s="108"/>
      <c r="N109" s="108"/>
      <c r="O109" s="108"/>
      <c r="P109" s="108"/>
    </row>
    <row r="110" spans="1:21" ht="15.75" thickBot="1" x14ac:dyDescent="0.3">
      <c r="B110" s="108"/>
      <c r="C110" s="108"/>
      <c r="D110" s="108"/>
      <c r="E110" s="108"/>
      <c r="F110" s="108"/>
      <c r="G110" s="108"/>
      <c r="H110" s="108"/>
      <c r="I110" s="108"/>
      <c r="J110" s="108"/>
      <c r="K110" s="108"/>
      <c r="L110" s="108"/>
      <c r="M110" s="108"/>
      <c r="N110" s="108"/>
      <c r="O110" s="108"/>
      <c r="P110" s="108"/>
    </row>
    <row r="111" spans="1:21" ht="15.75" thickBot="1" x14ac:dyDescent="0.3">
      <c r="B111" s="108"/>
      <c r="C111" s="108"/>
      <c r="D111" s="108"/>
      <c r="E111" s="108"/>
      <c r="F111" s="108"/>
      <c r="G111" s="108"/>
      <c r="H111" s="108"/>
      <c r="I111" s="108"/>
      <c r="J111" s="108"/>
      <c r="K111" s="108"/>
      <c r="L111" s="108"/>
      <c r="M111" s="108"/>
      <c r="N111" s="108"/>
      <c r="O111" s="108"/>
      <c r="P111" s="108"/>
    </row>
    <row r="112" spans="1:21" ht="15.75" thickBot="1" x14ac:dyDescent="0.3">
      <c r="B112" s="108"/>
      <c r="C112" s="108"/>
      <c r="D112" s="108"/>
      <c r="E112" s="108"/>
      <c r="F112" s="108"/>
      <c r="G112" s="108"/>
      <c r="H112" s="108"/>
      <c r="I112" s="108"/>
      <c r="J112" s="108"/>
      <c r="K112" s="108"/>
      <c r="L112" s="108"/>
      <c r="M112" s="108"/>
      <c r="N112" s="108"/>
      <c r="O112" s="108"/>
      <c r="P112" s="108"/>
    </row>
    <row r="113" spans="2:16" ht="15.75" thickBot="1" x14ac:dyDescent="0.3">
      <c r="B113" s="108"/>
      <c r="C113" s="108"/>
      <c r="D113" s="108"/>
      <c r="E113" s="108"/>
      <c r="F113" s="108"/>
      <c r="G113" s="108"/>
      <c r="H113" s="108"/>
      <c r="I113" s="108"/>
      <c r="J113" s="108"/>
      <c r="K113" s="108"/>
      <c r="L113" s="108"/>
      <c r="M113" s="108"/>
      <c r="N113" s="108"/>
      <c r="O113" s="108"/>
      <c r="P113" s="108"/>
    </row>
    <row r="114" spans="2:16" ht="15.75" thickBot="1" x14ac:dyDescent="0.3">
      <c r="B114" s="108"/>
      <c r="C114" s="108"/>
      <c r="D114" s="108"/>
      <c r="E114" s="108"/>
      <c r="F114" s="108"/>
      <c r="G114" s="108"/>
      <c r="H114" s="108"/>
      <c r="I114" s="108"/>
      <c r="J114" s="108"/>
      <c r="K114" s="108"/>
      <c r="L114" s="108"/>
      <c r="M114" s="108"/>
      <c r="N114" s="108"/>
      <c r="O114" s="108"/>
      <c r="P114" s="108"/>
    </row>
    <row r="115" spans="2:16" ht="15.75" thickBot="1" x14ac:dyDescent="0.3">
      <c r="B115" s="108"/>
      <c r="C115" s="108"/>
      <c r="D115" s="108"/>
      <c r="E115" s="108"/>
      <c r="F115" s="108"/>
      <c r="G115" s="108"/>
      <c r="H115" s="108"/>
      <c r="I115" s="108"/>
      <c r="J115" s="108"/>
      <c r="K115" s="108"/>
      <c r="L115" s="108"/>
      <c r="M115" s="108"/>
      <c r="N115" s="108"/>
      <c r="O115" s="108"/>
      <c r="P115" s="108"/>
    </row>
    <row r="116" spans="2:16" ht="15.75" thickBot="1" x14ac:dyDescent="0.3">
      <c r="B116" s="108"/>
      <c r="C116" s="108"/>
      <c r="D116" s="108"/>
      <c r="E116" s="108"/>
      <c r="F116" s="108"/>
      <c r="G116" s="108"/>
      <c r="H116" s="108"/>
      <c r="I116" s="108"/>
      <c r="J116" s="108"/>
      <c r="K116" s="108"/>
      <c r="L116" s="108"/>
      <c r="M116" s="108"/>
      <c r="N116" s="108"/>
      <c r="O116" s="108"/>
      <c r="P116" s="108"/>
    </row>
    <row r="117" spans="2:16" ht="15.75" thickBot="1" x14ac:dyDescent="0.3">
      <c r="B117" s="108"/>
      <c r="C117" s="108"/>
      <c r="D117" s="108"/>
      <c r="E117" s="108"/>
      <c r="F117" s="108"/>
      <c r="G117" s="108"/>
      <c r="H117" s="108"/>
      <c r="I117" s="108"/>
      <c r="J117" s="108"/>
      <c r="K117" s="108"/>
      <c r="L117" s="108"/>
      <c r="M117" s="108"/>
      <c r="N117" s="108"/>
      <c r="O117" s="108"/>
      <c r="P117" s="108"/>
    </row>
    <row r="118" spans="2:16" ht="15.75" thickBot="1" x14ac:dyDescent="0.3">
      <c r="B118" s="108"/>
      <c r="C118" s="108"/>
      <c r="D118" s="108"/>
      <c r="E118" s="108"/>
      <c r="F118" s="108"/>
      <c r="G118" s="108"/>
      <c r="H118" s="108"/>
      <c r="I118" s="108"/>
      <c r="J118" s="108"/>
      <c r="K118" s="108"/>
      <c r="L118" s="108"/>
      <c r="M118" s="108"/>
      <c r="N118" s="108"/>
      <c r="O118" s="108"/>
      <c r="P118" s="108"/>
    </row>
    <row r="119" spans="2:16" ht="15.75" thickBot="1" x14ac:dyDescent="0.3">
      <c r="B119" s="108"/>
      <c r="C119" s="108"/>
      <c r="D119" s="108"/>
      <c r="E119" s="108"/>
      <c r="F119" s="108"/>
      <c r="G119" s="108"/>
      <c r="H119" s="108"/>
      <c r="I119" s="108"/>
      <c r="J119" s="108"/>
      <c r="K119" s="108"/>
      <c r="L119" s="108"/>
      <c r="M119" s="108"/>
      <c r="N119" s="108"/>
      <c r="O119" s="108"/>
      <c r="P119" s="108"/>
    </row>
    <row r="120" spans="2:16" ht="15.75" thickBot="1" x14ac:dyDescent="0.3">
      <c r="B120" s="108"/>
      <c r="C120" s="108"/>
      <c r="D120" s="108"/>
      <c r="E120" s="108"/>
      <c r="F120" s="108"/>
      <c r="G120" s="108"/>
      <c r="H120" s="108"/>
      <c r="I120" s="108"/>
      <c r="J120" s="108"/>
      <c r="K120" s="108"/>
      <c r="L120" s="108"/>
      <c r="M120" s="108"/>
      <c r="N120" s="108"/>
      <c r="O120" s="108"/>
      <c r="P120" s="108"/>
    </row>
    <row r="121" spans="2:16" ht="15.75" thickBot="1" x14ac:dyDescent="0.3">
      <c r="B121" s="108"/>
      <c r="C121" s="108"/>
      <c r="D121" s="108"/>
      <c r="E121" s="108"/>
      <c r="F121" s="108"/>
      <c r="G121" s="108"/>
      <c r="H121" s="108"/>
      <c r="I121" s="108"/>
      <c r="J121" s="108"/>
      <c r="K121" s="108"/>
      <c r="L121" s="108"/>
      <c r="M121" s="108"/>
      <c r="N121" s="108"/>
      <c r="O121" s="108"/>
      <c r="P121" s="108"/>
    </row>
    <row r="122" spans="2:16" ht="15.75" thickBot="1" x14ac:dyDescent="0.3">
      <c r="B122" s="108"/>
      <c r="C122" s="108"/>
      <c r="D122" s="108"/>
      <c r="E122" s="108"/>
      <c r="F122" s="108"/>
      <c r="G122" s="108"/>
      <c r="H122" s="108"/>
      <c r="I122" s="108"/>
      <c r="J122" s="108"/>
      <c r="K122" s="108"/>
      <c r="L122" s="108"/>
      <c r="M122" s="108"/>
      <c r="N122" s="108"/>
      <c r="O122" s="108"/>
      <c r="P122" s="108"/>
    </row>
    <row r="123" spans="2:16" ht="15.75" thickBot="1" x14ac:dyDescent="0.3">
      <c r="B123" s="108"/>
      <c r="C123" s="108"/>
      <c r="D123" s="108"/>
      <c r="E123" s="108"/>
      <c r="F123" s="108"/>
      <c r="G123" s="108"/>
      <c r="H123" s="108"/>
      <c r="I123" s="108"/>
      <c r="J123" s="108"/>
      <c r="K123" s="108"/>
      <c r="L123" s="108"/>
      <c r="M123" s="108"/>
      <c r="N123" s="108"/>
      <c r="O123" s="108"/>
      <c r="P123" s="108"/>
    </row>
    <row r="124" spans="2:16" ht="15.75" thickBot="1" x14ac:dyDescent="0.3">
      <c r="B124" s="108"/>
      <c r="C124" s="108"/>
      <c r="D124" s="108"/>
      <c r="E124" s="108"/>
      <c r="F124" s="108"/>
      <c r="G124" s="108"/>
      <c r="H124" s="108"/>
      <c r="I124" s="108"/>
      <c r="J124" s="108"/>
      <c r="K124" s="108"/>
      <c r="L124" s="108"/>
      <c r="M124" s="108"/>
      <c r="N124" s="108"/>
      <c r="O124" s="108"/>
      <c r="P124" s="108"/>
    </row>
    <row r="125" spans="2:16" ht="15.75" thickBot="1" x14ac:dyDescent="0.3">
      <c r="B125" s="108"/>
      <c r="C125" s="108"/>
      <c r="D125" s="108"/>
      <c r="E125" s="108"/>
      <c r="F125" s="108"/>
      <c r="G125" s="108"/>
      <c r="H125" s="108"/>
      <c r="I125" s="108"/>
      <c r="J125" s="108"/>
      <c r="K125" s="108"/>
      <c r="L125" s="108"/>
      <c r="M125" s="108"/>
      <c r="N125" s="108"/>
      <c r="O125" s="108"/>
      <c r="P125" s="108"/>
    </row>
    <row r="126" spans="2:16" ht="15.75" thickBot="1" x14ac:dyDescent="0.3">
      <c r="B126" s="108"/>
      <c r="C126" s="108"/>
      <c r="D126" s="108"/>
      <c r="E126" s="108"/>
      <c r="F126" s="108"/>
      <c r="G126" s="108"/>
      <c r="H126" s="108"/>
      <c r="I126" s="108"/>
      <c r="J126" s="108"/>
      <c r="K126" s="108"/>
      <c r="L126" s="108"/>
      <c r="M126" s="108"/>
      <c r="N126" s="108"/>
      <c r="O126" s="108"/>
      <c r="P126" s="108"/>
    </row>
    <row r="127" spans="2:16" ht="15.75" thickBot="1" x14ac:dyDescent="0.3">
      <c r="B127" s="108"/>
      <c r="C127" s="108"/>
      <c r="D127" s="108"/>
      <c r="E127" s="108"/>
      <c r="F127" s="108"/>
      <c r="G127" s="108"/>
      <c r="H127" s="108"/>
      <c r="I127" s="108"/>
      <c r="J127" s="108"/>
      <c r="K127" s="108"/>
      <c r="L127" s="108"/>
      <c r="M127" s="108"/>
      <c r="N127" s="108"/>
      <c r="O127" s="108"/>
      <c r="P127" s="108"/>
    </row>
    <row r="128" spans="2:16" ht="15.75" thickBot="1" x14ac:dyDescent="0.3">
      <c r="B128" s="108"/>
      <c r="C128" s="108"/>
      <c r="D128" s="108"/>
      <c r="E128" s="108"/>
      <c r="F128" s="108"/>
      <c r="G128" s="108"/>
      <c r="H128" s="108"/>
      <c r="I128" s="108"/>
      <c r="J128" s="108"/>
      <c r="K128" s="108"/>
      <c r="L128" s="108"/>
      <c r="M128" s="108"/>
      <c r="N128" s="108"/>
      <c r="O128" s="108"/>
      <c r="P128" s="108"/>
    </row>
    <row r="129" spans="2:16" ht="15.75" thickBot="1" x14ac:dyDescent="0.3">
      <c r="B129" s="108"/>
      <c r="C129" s="108"/>
      <c r="D129" s="108"/>
      <c r="E129" s="108"/>
      <c r="F129" s="108"/>
      <c r="G129" s="108"/>
      <c r="H129" s="108"/>
      <c r="I129" s="108"/>
      <c r="J129" s="108"/>
      <c r="K129" s="108"/>
      <c r="L129" s="108"/>
      <c r="M129" s="108"/>
      <c r="N129" s="108"/>
      <c r="O129" s="108"/>
      <c r="P129" s="108"/>
    </row>
    <row r="130" spans="2:16" ht="15.75" thickBot="1" x14ac:dyDescent="0.3">
      <c r="B130" s="108"/>
      <c r="C130" s="108"/>
      <c r="D130" s="108"/>
      <c r="E130" s="108"/>
      <c r="F130" s="108"/>
      <c r="G130" s="108"/>
      <c r="H130" s="108"/>
      <c r="I130" s="108"/>
      <c r="J130" s="108"/>
      <c r="K130" s="108"/>
      <c r="L130" s="108"/>
      <c r="M130" s="108"/>
      <c r="N130" s="108"/>
      <c r="O130" s="108"/>
      <c r="P130" s="108"/>
    </row>
    <row r="131" spans="2:16" ht="15.75" thickBot="1" x14ac:dyDescent="0.3">
      <c r="B131" s="108"/>
      <c r="C131" s="108"/>
      <c r="D131" s="108"/>
      <c r="E131" s="108"/>
      <c r="F131" s="108"/>
      <c r="G131" s="108"/>
      <c r="H131" s="108"/>
      <c r="I131" s="108"/>
      <c r="J131" s="108"/>
      <c r="K131" s="108"/>
      <c r="L131" s="108"/>
      <c r="M131" s="108"/>
      <c r="N131" s="108"/>
      <c r="O131" s="108"/>
      <c r="P131" s="108"/>
    </row>
    <row r="132" spans="2:16" ht="15.75" thickBot="1" x14ac:dyDescent="0.3">
      <c r="B132" s="108"/>
      <c r="C132" s="108"/>
      <c r="D132" s="108"/>
      <c r="E132" s="108"/>
      <c r="F132" s="108"/>
      <c r="G132" s="108"/>
      <c r="H132" s="108"/>
      <c r="I132" s="108"/>
      <c r="J132" s="108"/>
      <c r="K132" s="108"/>
      <c r="L132" s="108"/>
      <c r="M132" s="108"/>
      <c r="N132" s="108"/>
      <c r="O132" s="108"/>
      <c r="P132" s="108"/>
    </row>
    <row r="133" spans="2:16" ht="15.75" thickBot="1" x14ac:dyDescent="0.3">
      <c r="B133" s="108"/>
      <c r="C133" s="108"/>
      <c r="D133" s="108"/>
      <c r="E133" s="108"/>
      <c r="F133" s="108"/>
      <c r="G133" s="108"/>
      <c r="H133" s="108"/>
      <c r="I133" s="108"/>
      <c r="J133" s="108"/>
      <c r="K133" s="108"/>
      <c r="L133" s="108"/>
      <c r="M133" s="108"/>
      <c r="N133" s="108"/>
      <c r="O133" s="108"/>
      <c r="P133" s="108"/>
    </row>
    <row r="134" spans="2:16" ht="15.75" thickBot="1" x14ac:dyDescent="0.3">
      <c r="B134" s="108"/>
      <c r="C134" s="108"/>
      <c r="D134" s="108"/>
      <c r="E134" s="108"/>
      <c r="F134" s="108"/>
      <c r="G134" s="108"/>
      <c r="H134" s="108"/>
      <c r="I134" s="108"/>
      <c r="J134" s="108"/>
      <c r="K134" s="108"/>
      <c r="L134" s="108"/>
      <c r="M134" s="108"/>
      <c r="N134" s="108"/>
      <c r="O134" s="108"/>
      <c r="P134" s="108"/>
    </row>
    <row r="135" spans="2:16" ht="15.75" thickBot="1" x14ac:dyDescent="0.3">
      <c r="B135" s="108"/>
      <c r="C135" s="108"/>
      <c r="D135" s="108"/>
      <c r="E135" s="108"/>
      <c r="F135" s="108"/>
      <c r="G135" s="108"/>
      <c r="H135" s="108"/>
      <c r="I135" s="108"/>
      <c r="J135" s="108"/>
      <c r="K135" s="108"/>
      <c r="L135" s="108"/>
      <c r="M135" s="108"/>
      <c r="N135" s="108"/>
      <c r="O135" s="108"/>
      <c r="P135" s="108"/>
    </row>
    <row r="136" spans="2:16" ht="15.75" thickBot="1" x14ac:dyDescent="0.3">
      <c r="B136" s="108"/>
      <c r="C136" s="108"/>
      <c r="D136" s="108"/>
      <c r="E136" s="108"/>
      <c r="F136" s="108"/>
      <c r="G136" s="108"/>
      <c r="H136" s="108"/>
      <c r="I136" s="108"/>
      <c r="J136" s="108"/>
      <c r="K136" s="108"/>
      <c r="L136" s="108"/>
      <c r="M136" s="108"/>
      <c r="N136" s="108"/>
      <c r="O136" s="108"/>
      <c r="P136" s="108"/>
    </row>
    <row r="137" spans="2:16" ht="15.75" thickBot="1" x14ac:dyDescent="0.3">
      <c r="B137" s="108"/>
      <c r="C137" s="108"/>
      <c r="D137" s="108"/>
      <c r="E137" s="108"/>
      <c r="F137" s="108"/>
      <c r="G137" s="108"/>
      <c r="H137" s="108"/>
      <c r="I137" s="108"/>
      <c r="J137" s="108"/>
      <c r="K137" s="108"/>
      <c r="L137" s="108"/>
      <c r="M137" s="108"/>
      <c r="N137" s="108"/>
      <c r="O137" s="108"/>
      <c r="P137" s="108"/>
    </row>
    <row r="138" spans="2:16" ht="15.75" thickBot="1" x14ac:dyDescent="0.3">
      <c r="B138" s="108"/>
      <c r="C138" s="108"/>
      <c r="D138" s="108"/>
      <c r="E138" s="108"/>
      <c r="F138" s="108"/>
      <c r="G138" s="108"/>
      <c r="H138" s="108"/>
      <c r="I138" s="108"/>
      <c r="J138" s="108"/>
      <c r="K138" s="108"/>
      <c r="L138" s="108"/>
      <c r="M138" s="108"/>
      <c r="N138" s="108"/>
      <c r="O138" s="108"/>
      <c r="P138" s="108"/>
    </row>
    <row r="139" spans="2:16" ht="15.75" thickBot="1" x14ac:dyDescent="0.3">
      <c r="B139" s="108"/>
      <c r="C139" s="108"/>
      <c r="D139" s="108"/>
      <c r="E139" s="108"/>
      <c r="F139" s="108"/>
      <c r="G139" s="108"/>
      <c r="H139" s="108"/>
      <c r="I139" s="108"/>
      <c r="J139" s="108"/>
      <c r="K139" s="108"/>
      <c r="L139" s="108"/>
      <c r="M139" s="108"/>
      <c r="N139" s="108"/>
      <c r="O139" s="108"/>
      <c r="P139" s="108"/>
    </row>
    <row r="140" spans="2:16" ht="15.75" thickBot="1" x14ac:dyDescent="0.3">
      <c r="B140" s="108"/>
      <c r="C140" s="108"/>
      <c r="D140" s="108"/>
      <c r="E140" s="108"/>
      <c r="F140" s="108"/>
      <c r="G140" s="108"/>
      <c r="H140" s="108"/>
      <c r="I140" s="108"/>
      <c r="J140" s="108"/>
      <c r="K140" s="108"/>
      <c r="L140" s="108"/>
      <c r="M140" s="108"/>
      <c r="N140" s="108"/>
      <c r="O140" s="108"/>
      <c r="P140" s="108"/>
    </row>
    <row r="141" spans="2:16" ht="15.75" thickBot="1" x14ac:dyDescent="0.3">
      <c r="B141" s="108"/>
      <c r="C141" s="108"/>
      <c r="D141" s="108"/>
      <c r="E141" s="108"/>
      <c r="F141" s="108"/>
      <c r="G141" s="108"/>
      <c r="H141" s="108"/>
      <c r="I141" s="108"/>
      <c r="J141" s="108"/>
      <c r="K141" s="108"/>
      <c r="L141" s="108"/>
      <c r="M141" s="108"/>
      <c r="N141" s="108"/>
      <c r="O141" s="108"/>
      <c r="P141" s="108"/>
    </row>
    <row r="142" spans="2:16" ht="15.75" thickBot="1" x14ac:dyDescent="0.3">
      <c r="B142" s="108"/>
      <c r="C142" s="108"/>
      <c r="D142" s="108"/>
      <c r="E142" s="108"/>
      <c r="F142" s="108"/>
      <c r="G142" s="108"/>
      <c r="H142" s="108"/>
      <c r="I142" s="108"/>
      <c r="J142" s="108"/>
      <c r="K142" s="108"/>
      <c r="L142" s="108"/>
      <c r="M142" s="108"/>
      <c r="N142" s="108"/>
      <c r="O142" s="108"/>
      <c r="P142" s="108"/>
    </row>
    <row r="143" spans="2:16" ht="15.75" thickBot="1" x14ac:dyDescent="0.3">
      <c r="B143" s="108"/>
      <c r="C143" s="108"/>
      <c r="D143" s="108"/>
      <c r="E143" s="108"/>
      <c r="F143" s="108"/>
      <c r="G143" s="108"/>
      <c r="H143" s="108"/>
      <c r="I143" s="108"/>
      <c r="J143" s="108"/>
      <c r="K143" s="108"/>
      <c r="L143" s="108"/>
      <c r="M143" s="108"/>
      <c r="N143" s="108"/>
      <c r="O143" s="108"/>
      <c r="P143" s="108"/>
    </row>
    <row r="144" spans="2:16" ht="15.75" thickBot="1" x14ac:dyDescent="0.3">
      <c r="B144" s="108"/>
      <c r="C144" s="108"/>
      <c r="D144" s="108"/>
      <c r="E144" s="108"/>
      <c r="F144" s="108"/>
      <c r="G144" s="108"/>
      <c r="H144" s="108"/>
      <c r="I144" s="108"/>
      <c r="J144" s="108"/>
      <c r="K144" s="108"/>
      <c r="L144" s="108"/>
      <c r="M144" s="108"/>
      <c r="N144" s="108"/>
      <c r="O144" s="108"/>
      <c r="P144" s="108"/>
    </row>
    <row r="145" spans="2:16" ht="15.75" thickBot="1" x14ac:dyDescent="0.3">
      <c r="B145" s="108"/>
      <c r="C145" s="108"/>
      <c r="D145" s="108"/>
      <c r="E145" s="108"/>
      <c r="F145" s="108"/>
      <c r="G145" s="108"/>
      <c r="H145" s="108"/>
      <c r="I145" s="108"/>
      <c r="J145" s="108"/>
      <c r="K145" s="108"/>
      <c r="L145" s="108"/>
      <c r="M145" s="108"/>
      <c r="N145" s="108"/>
      <c r="O145" s="108"/>
      <c r="P145" s="108"/>
    </row>
    <row r="146" spans="2:16" ht="15.75" thickBot="1" x14ac:dyDescent="0.3">
      <c r="B146" s="108"/>
      <c r="C146" s="108"/>
      <c r="D146" s="108"/>
      <c r="E146" s="108"/>
      <c r="F146" s="108"/>
      <c r="G146" s="108"/>
      <c r="H146" s="108"/>
      <c r="I146" s="108"/>
      <c r="J146" s="108"/>
      <c r="K146" s="108"/>
      <c r="L146" s="108"/>
      <c r="M146" s="108"/>
      <c r="N146" s="108"/>
      <c r="O146" s="108"/>
      <c r="P146" s="108"/>
    </row>
    <row r="147" spans="2:16" ht="15.75" thickBot="1" x14ac:dyDescent="0.3">
      <c r="B147" s="108"/>
      <c r="C147" s="108"/>
      <c r="D147" s="108"/>
      <c r="E147" s="108"/>
      <c r="F147" s="108"/>
      <c r="G147" s="108"/>
      <c r="H147" s="108"/>
      <c r="I147" s="108"/>
      <c r="J147" s="108"/>
      <c r="K147" s="108"/>
      <c r="L147" s="108"/>
      <c r="M147" s="108"/>
      <c r="N147" s="108"/>
      <c r="O147" s="108"/>
      <c r="P147" s="108"/>
    </row>
    <row r="148" spans="2:16" ht="15.75" thickBot="1" x14ac:dyDescent="0.3">
      <c r="B148" s="108"/>
      <c r="C148" s="108"/>
      <c r="D148" s="108"/>
      <c r="E148" s="108"/>
      <c r="F148" s="108"/>
      <c r="G148" s="108"/>
      <c r="H148" s="108"/>
      <c r="I148" s="108"/>
      <c r="J148" s="108"/>
      <c r="K148" s="108"/>
      <c r="L148" s="108"/>
      <c r="M148" s="108"/>
      <c r="N148" s="108"/>
      <c r="O148" s="108"/>
      <c r="P148" s="108"/>
    </row>
    <row r="149" spans="2:16" ht="15.75" thickBot="1" x14ac:dyDescent="0.3">
      <c r="B149" s="108"/>
      <c r="C149" s="108"/>
      <c r="D149" s="108"/>
      <c r="E149" s="108"/>
      <c r="F149" s="108"/>
      <c r="G149" s="108"/>
      <c r="H149" s="108"/>
      <c r="I149" s="108"/>
      <c r="J149" s="108"/>
      <c r="K149" s="108"/>
      <c r="L149" s="108"/>
      <c r="M149" s="108"/>
      <c r="N149" s="108"/>
      <c r="O149" s="108"/>
      <c r="P149" s="108"/>
    </row>
    <row r="150" spans="2:16" ht="15.75" thickBot="1" x14ac:dyDescent="0.3">
      <c r="B150" s="108"/>
      <c r="C150" s="108"/>
      <c r="D150" s="108"/>
      <c r="E150" s="108"/>
      <c r="F150" s="108"/>
      <c r="G150" s="108"/>
      <c r="H150" s="108"/>
      <c r="I150" s="108"/>
      <c r="J150" s="108"/>
      <c r="K150" s="108"/>
      <c r="L150" s="108"/>
      <c r="M150" s="108"/>
      <c r="N150" s="108"/>
      <c r="O150" s="108"/>
      <c r="P150" s="108"/>
    </row>
    <row r="151" spans="2:16" ht="15.75" thickBot="1" x14ac:dyDescent="0.3">
      <c r="B151" s="108"/>
      <c r="C151" s="108"/>
      <c r="D151" s="108"/>
      <c r="E151" s="108"/>
      <c r="F151" s="108"/>
      <c r="G151" s="108"/>
      <c r="H151" s="108"/>
      <c r="I151" s="108"/>
      <c r="J151" s="108"/>
      <c r="K151" s="108"/>
      <c r="L151" s="108"/>
      <c r="M151" s="108"/>
      <c r="N151" s="108"/>
      <c r="O151" s="108"/>
      <c r="P151" s="108"/>
    </row>
    <row r="152" spans="2:16" ht="15.75" thickBot="1" x14ac:dyDescent="0.3">
      <c r="B152" s="108"/>
      <c r="C152" s="108"/>
      <c r="D152" s="108"/>
      <c r="E152" s="108"/>
      <c r="F152" s="108"/>
      <c r="G152" s="108"/>
      <c r="H152" s="108"/>
      <c r="I152" s="108"/>
      <c r="J152" s="108"/>
      <c r="K152" s="108"/>
      <c r="L152" s="108"/>
      <c r="M152" s="108"/>
      <c r="N152" s="108"/>
      <c r="O152" s="108"/>
      <c r="P152" s="108"/>
    </row>
    <row r="153" spans="2:16" ht="15.75" thickBot="1" x14ac:dyDescent="0.3">
      <c r="B153" s="108"/>
      <c r="C153" s="108"/>
      <c r="D153" s="108"/>
      <c r="E153" s="108"/>
      <c r="F153" s="108"/>
      <c r="G153" s="108"/>
      <c r="H153" s="108"/>
      <c r="I153" s="108"/>
      <c r="J153" s="108"/>
      <c r="K153" s="108"/>
      <c r="L153" s="108"/>
      <c r="M153" s="108"/>
      <c r="N153" s="108"/>
      <c r="O153" s="108"/>
      <c r="P153" s="108"/>
    </row>
    <row r="154" spans="2:16" ht="15.75" thickBot="1" x14ac:dyDescent="0.3">
      <c r="B154" s="108"/>
      <c r="C154" s="108"/>
      <c r="D154" s="108"/>
      <c r="E154" s="108"/>
      <c r="F154" s="108"/>
      <c r="G154" s="108"/>
      <c r="H154" s="108"/>
      <c r="I154" s="108"/>
      <c r="J154" s="108"/>
      <c r="K154" s="108"/>
      <c r="L154" s="108"/>
      <c r="M154" s="108"/>
      <c r="N154" s="108"/>
      <c r="O154" s="108"/>
      <c r="P154" s="108"/>
    </row>
    <row r="155" spans="2:16" ht="15.75" thickBot="1" x14ac:dyDescent="0.3">
      <c r="B155" s="108"/>
      <c r="C155" s="108"/>
      <c r="D155" s="108"/>
      <c r="E155" s="108"/>
      <c r="F155" s="108"/>
      <c r="G155" s="108"/>
      <c r="H155" s="108"/>
      <c r="I155" s="108"/>
      <c r="J155" s="108"/>
      <c r="K155" s="108"/>
      <c r="L155" s="108"/>
      <c r="M155" s="108"/>
      <c r="N155" s="108"/>
      <c r="O155" s="108"/>
      <c r="P155" s="108"/>
    </row>
    <row r="156" spans="2:16" ht="15.75" thickBot="1" x14ac:dyDescent="0.3">
      <c r="B156" s="108"/>
      <c r="C156" s="108"/>
      <c r="D156" s="108"/>
      <c r="E156" s="108"/>
      <c r="F156" s="108"/>
      <c r="G156" s="108"/>
      <c r="H156" s="108"/>
      <c r="I156" s="108"/>
      <c r="J156" s="108"/>
      <c r="K156" s="108"/>
      <c r="L156" s="108"/>
      <c r="M156" s="108"/>
      <c r="N156" s="108"/>
      <c r="O156" s="108"/>
      <c r="P156" s="108"/>
    </row>
    <row r="157" spans="2:16" ht="15.75" thickBot="1" x14ac:dyDescent="0.3">
      <c r="B157" s="108"/>
      <c r="C157" s="108"/>
      <c r="D157" s="108"/>
      <c r="E157" s="108"/>
      <c r="F157" s="108"/>
      <c r="G157" s="108"/>
      <c r="H157" s="108"/>
      <c r="I157" s="108"/>
      <c r="J157" s="108"/>
      <c r="K157" s="108"/>
      <c r="L157" s="108"/>
      <c r="M157" s="108"/>
      <c r="N157" s="108"/>
      <c r="O157" s="108"/>
      <c r="P157" s="108"/>
    </row>
    <row r="158" spans="2:16" ht="15.75" thickBot="1" x14ac:dyDescent="0.3">
      <c r="B158" s="108"/>
      <c r="C158" s="108"/>
      <c r="D158" s="108"/>
      <c r="E158" s="108"/>
      <c r="F158" s="108"/>
      <c r="G158" s="108"/>
      <c r="H158" s="108"/>
      <c r="I158" s="108"/>
      <c r="J158" s="108"/>
      <c r="K158" s="108"/>
      <c r="L158" s="108"/>
      <c r="M158" s="108"/>
      <c r="N158" s="108"/>
      <c r="O158" s="108"/>
      <c r="P158" s="108"/>
    </row>
    <row r="159" spans="2:16" ht="15.75" thickBot="1" x14ac:dyDescent="0.3">
      <c r="B159" s="108"/>
      <c r="C159" s="108"/>
      <c r="D159" s="108"/>
      <c r="E159" s="108"/>
      <c r="F159" s="108"/>
      <c r="G159" s="108"/>
      <c r="H159" s="108"/>
      <c r="I159" s="108"/>
      <c r="J159" s="108"/>
      <c r="K159" s="108"/>
      <c r="L159" s="108"/>
      <c r="M159" s="108"/>
      <c r="N159" s="108"/>
      <c r="O159" s="108"/>
      <c r="P159" s="108"/>
    </row>
    <row r="160" spans="2:16" ht="15.75" thickBot="1" x14ac:dyDescent="0.3">
      <c r="B160" s="108"/>
      <c r="C160" s="108"/>
      <c r="D160" s="108"/>
      <c r="E160" s="108"/>
      <c r="F160" s="108"/>
      <c r="G160" s="108"/>
      <c r="H160" s="108"/>
      <c r="I160" s="108"/>
      <c r="J160" s="108"/>
      <c r="K160" s="108"/>
      <c r="L160" s="108"/>
      <c r="M160" s="108"/>
      <c r="N160" s="108"/>
      <c r="O160" s="108"/>
      <c r="P160" s="108"/>
    </row>
    <row r="161" spans="2:16" ht="15.75" thickBot="1" x14ac:dyDescent="0.3">
      <c r="B161" s="108"/>
      <c r="C161" s="108"/>
      <c r="D161" s="108"/>
      <c r="E161" s="108"/>
      <c r="F161" s="108"/>
      <c r="G161" s="108"/>
      <c r="H161" s="108"/>
      <c r="I161" s="108"/>
      <c r="J161" s="108"/>
      <c r="K161" s="108"/>
      <c r="L161" s="108"/>
      <c r="M161" s="108"/>
      <c r="N161" s="108"/>
      <c r="O161" s="108"/>
      <c r="P161" s="108"/>
    </row>
    <row r="162" spans="2:16" ht="15.75" thickBot="1" x14ac:dyDescent="0.3">
      <c r="B162" s="108"/>
      <c r="C162" s="108"/>
      <c r="D162" s="108"/>
      <c r="E162" s="108"/>
      <c r="F162" s="108"/>
      <c r="G162" s="108"/>
      <c r="H162" s="108"/>
      <c r="I162" s="108"/>
      <c r="J162" s="108"/>
      <c r="K162" s="108"/>
      <c r="L162" s="108"/>
      <c r="M162" s="108"/>
      <c r="N162" s="108"/>
      <c r="O162" s="108"/>
      <c r="P162" s="108"/>
    </row>
    <row r="163" spans="2:16" ht="15.75" thickBot="1" x14ac:dyDescent="0.3">
      <c r="B163" s="108"/>
      <c r="C163" s="108"/>
      <c r="D163" s="108"/>
      <c r="E163" s="108"/>
      <c r="F163" s="108"/>
      <c r="G163" s="108"/>
      <c r="H163" s="108"/>
      <c r="I163" s="108"/>
      <c r="J163" s="108"/>
      <c r="K163" s="108"/>
      <c r="L163" s="108"/>
      <c r="M163" s="108"/>
      <c r="N163" s="108"/>
      <c r="O163" s="108"/>
      <c r="P163" s="108"/>
    </row>
    <row r="164" spans="2:16" ht="15.75" thickBot="1" x14ac:dyDescent="0.3">
      <c r="B164" s="108"/>
      <c r="C164" s="108"/>
      <c r="D164" s="108"/>
      <c r="E164" s="108"/>
      <c r="F164" s="108"/>
      <c r="G164" s="108"/>
      <c r="H164" s="108"/>
      <c r="I164" s="108"/>
      <c r="J164" s="108"/>
      <c r="K164" s="108"/>
      <c r="L164" s="108"/>
      <c r="M164" s="108"/>
      <c r="N164" s="108"/>
      <c r="O164" s="108"/>
      <c r="P164" s="108"/>
    </row>
    <row r="165" spans="2:16" ht="15.75" thickBot="1" x14ac:dyDescent="0.3">
      <c r="B165" s="108"/>
      <c r="C165" s="108"/>
      <c r="D165" s="108"/>
      <c r="E165" s="108"/>
      <c r="F165" s="108"/>
      <c r="G165" s="108"/>
      <c r="H165" s="108"/>
      <c r="I165" s="108"/>
      <c r="J165" s="108"/>
      <c r="K165" s="108"/>
      <c r="L165" s="108"/>
      <c r="M165" s="108"/>
      <c r="N165" s="108"/>
      <c r="O165" s="108"/>
      <c r="P165" s="108"/>
    </row>
    <row r="166" spans="2:16" ht="15.75" thickBot="1" x14ac:dyDescent="0.3">
      <c r="B166" s="108"/>
      <c r="C166" s="108"/>
      <c r="D166" s="108"/>
      <c r="E166" s="108"/>
      <c r="F166" s="108"/>
      <c r="G166" s="108"/>
      <c r="H166" s="108"/>
      <c r="I166" s="108"/>
      <c r="J166" s="108"/>
      <c r="K166" s="108"/>
      <c r="L166" s="108"/>
      <c r="M166" s="108"/>
      <c r="N166" s="108"/>
      <c r="O166" s="108"/>
      <c r="P166" s="108"/>
    </row>
    <row r="167" spans="2:16" ht="15.75" thickBot="1" x14ac:dyDescent="0.3">
      <c r="B167" s="108"/>
      <c r="C167" s="108"/>
      <c r="D167" s="108"/>
      <c r="E167" s="108"/>
      <c r="F167" s="108"/>
      <c r="G167" s="108"/>
      <c r="H167" s="108"/>
      <c r="I167" s="108"/>
      <c r="J167" s="108"/>
      <c r="K167" s="108"/>
      <c r="L167" s="108"/>
      <c r="M167" s="108"/>
      <c r="N167" s="108"/>
      <c r="O167" s="108"/>
      <c r="P167" s="108"/>
    </row>
    <row r="168" spans="2:16" ht="15.75" thickBot="1" x14ac:dyDescent="0.3">
      <c r="B168" s="108"/>
      <c r="C168" s="108"/>
      <c r="D168" s="108"/>
      <c r="E168" s="108"/>
      <c r="F168" s="108"/>
      <c r="G168" s="108"/>
      <c r="H168" s="108"/>
      <c r="I168" s="108"/>
      <c r="J168" s="108"/>
      <c r="K168" s="108"/>
      <c r="L168" s="108"/>
      <c r="M168" s="108"/>
      <c r="N168" s="108"/>
      <c r="O168" s="108"/>
      <c r="P168" s="108"/>
    </row>
    <row r="169" spans="2:16" ht="15.75" thickBot="1" x14ac:dyDescent="0.3">
      <c r="B169" s="108"/>
      <c r="C169" s="108"/>
      <c r="D169" s="108"/>
      <c r="E169" s="108"/>
      <c r="F169" s="108"/>
      <c r="G169" s="108"/>
      <c r="H169" s="108"/>
      <c r="I169" s="108"/>
      <c r="J169" s="108"/>
      <c r="K169" s="108"/>
      <c r="L169" s="108"/>
      <c r="M169" s="108"/>
      <c r="N169" s="108"/>
      <c r="O169" s="108"/>
      <c r="P169" s="108"/>
    </row>
    <row r="170" spans="2:16" ht="15.75" thickBot="1" x14ac:dyDescent="0.3">
      <c r="B170" s="108"/>
      <c r="C170" s="108"/>
      <c r="D170" s="108"/>
      <c r="E170" s="108"/>
      <c r="F170" s="108"/>
      <c r="G170" s="108"/>
      <c r="H170" s="108"/>
      <c r="I170" s="108"/>
      <c r="J170" s="108"/>
      <c r="K170" s="108"/>
      <c r="L170" s="108"/>
      <c r="M170" s="108"/>
      <c r="N170" s="108"/>
      <c r="O170" s="108"/>
      <c r="P170" s="108"/>
    </row>
    <row r="171" spans="2:16" ht="15.75" thickBot="1" x14ac:dyDescent="0.3">
      <c r="B171" s="108"/>
      <c r="C171" s="108"/>
      <c r="D171" s="108"/>
      <c r="E171" s="108"/>
      <c r="F171" s="108"/>
      <c r="G171" s="108"/>
      <c r="H171" s="108"/>
      <c r="I171" s="108"/>
      <c r="J171" s="108"/>
      <c r="K171" s="108"/>
      <c r="L171" s="108"/>
      <c r="M171" s="108"/>
      <c r="N171" s="108"/>
      <c r="O171" s="108"/>
      <c r="P171" s="108"/>
    </row>
    <row r="172" spans="2:16" ht="15.75" thickBot="1" x14ac:dyDescent="0.3">
      <c r="B172" s="108"/>
      <c r="C172" s="108"/>
      <c r="D172" s="108"/>
      <c r="E172" s="108"/>
      <c r="F172" s="108"/>
      <c r="G172" s="108"/>
      <c r="H172" s="108"/>
      <c r="I172" s="108"/>
      <c r="J172" s="108"/>
      <c r="K172" s="108"/>
      <c r="L172" s="108"/>
      <c r="M172" s="108"/>
      <c r="N172" s="108"/>
      <c r="O172" s="108"/>
      <c r="P172" s="108"/>
    </row>
    <row r="173" spans="2:16" ht="15.75" thickBot="1" x14ac:dyDescent="0.3">
      <c r="B173" s="108"/>
      <c r="C173" s="108"/>
      <c r="D173" s="108"/>
      <c r="E173" s="108"/>
      <c r="F173" s="108"/>
      <c r="G173" s="108"/>
      <c r="H173" s="108"/>
      <c r="I173" s="108"/>
      <c r="J173" s="108"/>
      <c r="K173" s="108"/>
      <c r="L173" s="108"/>
      <c r="M173" s="108"/>
      <c r="N173" s="108"/>
      <c r="O173" s="108"/>
      <c r="P173" s="108"/>
    </row>
    <row r="174" spans="2:16" ht="15.75" thickBot="1" x14ac:dyDescent="0.3">
      <c r="B174" s="108"/>
      <c r="C174" s="108"/>
      <c r="D174" s="108"/>
      <c r="E174" s="108"/>
      <c r="F174" s="108"/>
      <c r="G174" s="108"/>
      <c r="H174" s="108"/>
      <c r="I174" s="108"/>
      <c r="J174" s="108"/>
      <c r="K174" s="108"/>
      <c r="L174" s="108"/>
      <c r="M174" s="108"/>
      <c r="N174" s="108"/>
      <c r="O174" s="108"/>
      <c r="P174" s="108"/>
    </row>
    <row r="175" spans="2:16" ht="15.75" thickBot="1" x14ac:dyDescent="0.3">
      <c r="B175" s="108"/>
      <c r="C175" s="108"/>
      <c r="D175" s="108"/>
      <c r="E175" s="108"/>
      <c r="F175" s="108"/>
      <c r="G175" s="108"/>
      <c r="H175" s="108"/>
      <c r="I175" s="108"/>
      <c r="J175" s="108"/>
      <c r="K175" s="108"/>
      <c r="L175" s="108"/>
      <c r="M175" s="108"/>
      <c r="N175" s="108"/>
      <c r="O175" s="108"/>
      <c r="P175" s="108"/>
    </row>
    <row r="176" spans="2:16" ht="15.75" thickBot="1" x14ac:dyDescent="0.3">
      <c r="B176" s="108"/>
      <c r="C176" s="108"/>
      <c r="D176" s="108"/>
      <c r="E176" s="108"/>
      <c r="F176" s="108"/>
      <c r="G176" s="108"/>
      <c r="H176" s="108"/>
      <c r="I176" s="108"/>
      <c r="J176" s="108"/>
      <c r="K176" s="108"/>
      <c r="L176" s="108"/>
      <c r="M176" s="108"/>
      <c r="N176" s="108"/>
      <c r="O176" s="108"/>
      <c r="P176" s="108"/>
    </row>
    <row r="177" spans="2:16" ht="15.75" thickBot="1" x14ac:dyDescent="0.3">
      <c r="B177" s="108"/>
      <c r="C177" s="108"/>
      <c r="D177" s="108"/>
      <c r="E177" s="108"/>
      <c r="F177" s="108"/>
      <c r="G177" s="108"/>
      <c r="H177" s="108"/>
      <c r="I177" s="108"/>
      <c r="J177" s="108"/>
      <c r="K177" s="108"/>
      <c r="L177" s="108"/>
      <c r="M177" s="108"/>
      <c r="N177" s="108"/>
      <c r="O177" s="108"/>
      <c r="P177" s="108"/>
    </row>
    <row r="178" spans="2:16" ht="15.75" thickBot="1" x14ac:dyDescent="0.3">
      <c r="B178" s="108"/>
      <c r="C178" s="108"/>
      <c r="D178" s="108"/>
      <c r="E178" s="108"/>
      <c r="F178" s="108"/>
      <c r="G178" s="108"/>
      <c r="H178" s="108"/>
      <c r="I178" s="108"/>
      <c r="J178" s="108"/>
      <c r="K178" s="108"/>
      <c r="L178" s="108"/>
      <c r="M178" s="108"/>
      <c r="N178" s="108"/>
      <c r="O178" s="108"/>
      <c r="P178" s="108"/>
    </row>
    <row r="179" spans="2:16" ht="15.75" thickBot="1" x14ac:dyDescent="0.3">
      <c r="B179" s="108"/>
      <c r="C179" s="108"/>
      <c r="D179" s="108"/>
      <c r="E179" s="108"/>
      <c r="F179" s="108"/>
      <c r="G179" s="108"/>
      <c r="H179" s="108"/>
      <c r="I179" s="108"/>
      <c r="J179" s="108"/>
      <c r="K179" s="108"/>
      <c r="L179" s="108"/>
      <c r="M179" s="108"/>
      <c r="N179" s="108"/>
      <c r="O179" s="108"/>
      <c r="P179" s="108"/>
    </row>
    <row r="180" spans="2:16" ht="15.75" thickBot="1" x14ac:dyDescent="0.3">
      <c r="B180" s="108"/>
      <c r="C180" s="108"/>
      <c r="D180" s="108"/>
      <c r="E180" s="108"/>
      <c r="F180" s="108"/>
      <c r="G180" s="108"/>
      <c r="H180" s="108"/>
      <c r="I180" s="108"/>
      <c r="J180" s="108"/>
      <c r="K180" s="108"/>
      <c r="L180" s="108"/>
      <c r="M180" s="108"/>
      <c r="N180" s="108"/>
      <c r="O180" s="108"/>
      <c r="P180" s="108"/>
    </row>
    <row r="181" spans="2:16" ht="15.75" thickBot="1" x14ac:dyDescent="0.3">
      <c r="B181" s="108"/>
      <c r="C181" s="108"/>
      <c r="D181" s="108"/>
      <c r="E181" s="108"/>
      <c r="F181" s="108"/>
      <c r="G181" s="108"/>
      <c r="H181" s="108"/>
      <c r="I181" s="108"/>
      <c r="J181" s="108"/>
      <c r="K181" s="108"/>
      <c r="L181" s="108"/>
      <c r="M181" s="108"/>
      <c r="N181" s="108"/>
      <c r="O181" s="108"/>
      <c r="P181" s="108"/>
    </row>
    <row r="182" spans="2:16" ht="15.75" thickBot="1" x14ac:dyDescent="0.3">
      <c r="B182" s="108"/>
      <c r="C182" s="108"/>
      <c r="D182" s="108"/>
      <c r="E182" s="108"/>
      <c r="F182" s="108"/>
      <c r="G182" s="108"/>
      <c r="H182" s="108"/>
      <c r="I182" s="108"/>
      <c r="J182" s="108"/>
      <c r="K182" s="108"/>
      <c r="L182" s="108"/>
      <c r="M182" s="108"/>
      <c r="N182" s="108"/>
      <c r="O182" s="108"/>
      <c r="P182" s="108"/>
    </row>
    <row r="183" spans="2:16" ht="15.75" thickBot="1" x14ac:dyDescent="0.3">
      <c r="B183" s="108"/>
      <c r="C183" s="108"/>
      <c r="D183" s="108"/>
      <c r="E183" s="108"/>
      <c r="F183" s="108"/>
      <c r="G183" s="108"/>
      <c r="H183" s="108"/>
      <c r="I183" s="108"/>
      <c r="J183" s="108"/>
      <c r="K183" s="108"/>
      <c r="L183" s="108"/>
      <c r="M183" s="108"/>
      <c r="N183" s="108"/>
      <c r="O183" s="108"/>
      <c r="P183" s="108"/>
    </row>
    <row r="184" spans="2:16" ht="15.75" thickBot="1" x14ac:dyDescent="0.3">
      <c r="B184" s="108"/>
      <c r="C184" s="108"/>
      <c r="D184" s="108"/>
      <c r="E184" s="108"/>
      <c r="F184" s="108"/>
      <c r="G184" s="108"/>
      <c r="H184" s="108"/>
      <c r="I184" s="108"/>
      <c r="J184" s="108"/>
      <c r="K184" s="108"/>
      <c r="L184" s="108"/>
      <c r="M184" s="108"/>
      <c r="N184" s="108"/>
      <c r="O184" s="108"/>
      <c r="P184" s="108"/>
    </row>
    <row r="185" spans="2:16" ht="15.75" thickBot="1" x14ac:dyDescent="0.3">
      <c r="B185" s="108"/>
      <c r="C185" s="108"/>
      <c r="D185" s="108"/>
      <c r="E185" s="108"/>
      <c r="F185" s="108"/>
      <c r="G185" s="108"/>
      <c r="H185" s="108"/>
      <c r="I185" s="108"/>
      <c r="J185" s="108"/>
      <c r="K185" s="108"/>
      <c r="L185" s="108"/>
      <c r="M185" s="108"/>
      <c r="N185" s="108"/>
      <c r="O185" s="108"/>
      <c r="P185" s="108"/>
    </row>
    <row r="186" spans="2:16" ht="15.75" thickBot="1" x14ac:dyDescent="0.3">
      <c r="B186" s="108"/>
      <c r="C186" s="108"/>
      <c r="D186" s="108"/>
      <c r="E186" s="108"/>
      <c r="F186" s="108"/>
      <c r="G186" s="108"/>
      <c r="H186" s="108"/>
      <c r="I186" s="108"/>
      <c r="J186" s="108"/>
      <c r="K186" s="108"/>
      <c r="L186" s="108"/>
      <c r="M186" s="108"/>
      <c r="N186" s="108"/>
      <c r="O186" s="108"/>
      <c r="P186" s="108"/>
    </row>
    <row r="187" spans="2:16" ht="15.75" thickBot="1" x14ac:dyDescent="0.3">
      <c r="B187" s="108"/>
      <c r="C187" s="108"/>
      <c r="D187" s="108"/>
      <c r="E187" s="108"/>
      <c r="F187" s="108"/>
      <c r="G187" s="108"/>
      <c r="H187" s="108"/>
      <c r="I187" s="108"/>
      <c r="J187" s="108"/>
      <c r="K187" s="108"/>
      <c r="L187" s="108"/>
      <c r="M187" s="108"/>
      <c r="N187" s="108"/>
      <c r="O187" s="108"/>
      <c r="P187" s="108"/>
    </row>
    <row r="188" spans="2:16" ht="15.75" thickBot="1" x14ac:dyDescent="0.3">
      <c r="B188" s="108"/>
      <c r="C188" s="108"/>
      <c r="D188" s="108"/>
      <c r="E188" s="108"/>
      <c r="F188" s="108"/>
      <c r="G188" s="108"/>
      <c r="H188" s="108"/>
      <c r="I188" s="108"/>
      <c r="J188" s="108"/>
      <c r="K188" s="108"/>
      <c r="L188" s="108"/>
      <c r="M188" s="108"/>
      <c r="N188" s="108"/>
      <c r="O188" s="108"/>
      <c r="P188" s="108"/>
    </row>
    <row r="189" spans="2:16" ht="15.75" thickBot="1" x14ac:dyDescent="0.3">
      <c r="B189" s="108"/>
      <c r="C189" s="108"/>
      <c r="D189" s="108"/>
      <c r="E189" s="108"/>
      <c r="F189" s="108"/>
      <c r="G189" s="108"/>
      <c r="H189" s="108"/>
      <c r="I189" s="108"/>
      <c r="J189" s="108"/>
      <c r="K189" s="108"/>
      <c r="L189" s="108"/>
      <c r="M189" s="108"/>
      <c r="N189" s="108"/>
      <c r="O189" s="108"/>
      <c r="P189" s="108"/>
    </row>
    <row r="190" spans="2:16" ht="15.75" thickBot="1" x14ac:dyDescent="0.3">
      <c r="B190" s="108"/>
      <c r="C190" s="108"/>
      <c r="D190" s="108"/>
      <c r="E190" s="108"/>
      <c r="F190" s="108"/>
      <c r="G190" s="108"/>
      <c r="H190" s="108"/>
      <c r="I190" s="108"/>
      <c r="J190" s="108"/>
      <c r="K190" s="108"/>
      <c r="L190" s="108"/>
      <c r="M190" s="108"/>
      <c r="N190" s="108"/>
      <c r="O190" s="108"/>
      <c r="P190" s="108"/>
    </row>
    <row r="191" spans="2:16" ht="15.75" thickBot="1" x14ac:dyDescent="0.3">
      <c r="B191" s="108"/>
      <c r="C191" s="108"/>
      <c r="D191" s="108"/>
      <c r="E191" s="108"/>
      <c r="F191" s="108"/>
      <c r="G191" s="108"/>
      <c r="H191" s="108"/>
      <c r="I191" s="108"/>
      <c r="J191" s="108"/>
      <c r="K191" s="108"/>
      <c r="L191" s="108"/>
      <c r="M191" s="108"/>
      <c r="N191" s="108"/>
      <c r="O191" s="108"/>
      <c r="P191" s="108"/>
    </row>
    <row r="192" spans="2:16" ht="15.75" thickBot="1" x14ac:dyDescent="0.3">
      <c r="B192" s="108"/>
      <c r="C192" s="108"/>
      <c r="D192" s="108"/>
      <c r="E192" s="108"/>
      <c r="F192" s="108"/>
      <c r="G192" s="108"/>
      <c r="H192" s="108"/>
      <c r="I192" s="108"/>
      <c r="J192" s="108"/>
      <c r="K192" s="108"/>
      <c r="L192" s="108"/>
      <c r="M192" s="108"/>
      <c r="N192" s="108"/>
      <c r="O192" s="108"/>
      <c r="P192" s="108"/>
    </row>
    <row r="193" spans="2:16" ht="15.75" thickBot="1" x14ac:dyDescent="0.3">
      <c r="B193" s="108"/>
      <c r="C193" s="108"/>
      <c r="D193" s="108"/>
      <c r="E193" s="108"/>
      <c r="F193" s="108"/>
      <c r="G193" s="108"/>
      <c r="H193" s="108"/>
      <c r="I193" s="108"/>
      <c r="J193" s="108"/>
      <c r="K193" s="108"/>
      <c r="L193" s="108"/>
      <c r="M193" s="108"/>
      <c r="N193" s="108"/>
      <c r="O193" s="108"/>
      <c r="P193" s="108"/>
    </row>
    <row r="194" spans="2:16" ht="15.75" thickBot="1" x14ac:dyDescent="0.3">
      <c r="B194" s="108"/>
      <c r="C194" s="108"/>
      <c r="D194" s="108"/>
      <c r="E194" s="108"/>
      <c r="F194" s="108"/>
      <c r="G194" s="108"/>
      <c r="H194" s="108"/>
      <c r="I194" s="108"/>
      <c r="J194" s="108"/>
      <c r="K194" s="108"/>
      <c r="L194" s="108"/>
      <c r="M194" s="108"/>
      <c r="N194" s="108"/>
      <c r="O194" s="108"/>
      <c r="P194" s="108"/>
    </row>
    <row r="195" spans="2:16" ht="15.75" thickBot="1" x14ac:dyDescent="0.3">
      <c r="B195" s="108"/>
      <c r="C195" s="108"/>
      <c r="D195" s="108"/>
      <c r="E195" s="108"/>
      <c r="F195" s="108"/>
      <c r="G195" s="108"/>
      <c r="H195" s="108"/>
      <c r="I195" s="108"/>
      <c r="J195" s="108"/>
      <c r="K195" s="108"/>
      <c r="L195" s="108"/>
      <c r="M195" s="108"/>
      <c r="N195" s="108"/>
      <c r="O195" s="108"/>
      <c r="P195" s="108"/>
    </row>
    <row r="196" spans="2:16" ht="15.75" thickBot="1" x14ac:dyDescent="0.3">
      <c r="B196" s="108"/>
      <c r="C196" s="108"/>
      <c r="D196" s="108"/>
      <c r="E196" s="108"/>
      <c r="F196" s="108"/>
      <c r="G196" s="108"/>
      <c r="H196" s="108"/>
      <c r="I196" s="108"/>
      <c r="J196" s="108"/>
      <c r="K196" s="108"/>
      <c r="L196" s="108"/>
      <c r="M196" s="108"/>
      <c r="N196" s="108"/>
      <c r="O196" s="108"/>
      <c r="P196" s="108"/>
    </row>
    <row r="197" spans="2:16" ht="15.75" thickBot="1" x14ac:dyDescent="0.3">
      <c r="B197" s="108"/>
      <c r="C197" s="108"/>
      <c r="D197" s="108"/>
      <c r="E197" s="108"/>
      <c r="F197" s="108"/>
      <c r="G197" s="108"/>
      <c r="H197" s="108"/>
      <c r="I197" s="108"/>
      <c r="J197" s="108"/>
      <c r="K197" s="108"/>
      <c r="L197" s="108"/>
      <c r="M197" s="108"/>
      <c r="N197" s="108"/>
      <c r="O197" s="108"/>
      <c r="P197" s="108"/>
    </row>
    <row r="198" spans="2:16" ht="15.75" thickBot="1" x14ac:dyDescent="0.3">
      <c r="B198" s="108"/>
      <c r="C198" s="108"/>
      <c r="D198" s="108"/>
      <c r="E198" s="108"/>
      <c r="F198" s="108"/>
      <c r="G198" s="108"/>
      <c r="H198" s="108"/>
      <c r="I198" s="108"/>
      <c r="J198" s="108"/>
      <c r="K198" s="108"/>
      <c r="L198" s="108"/>
      <c r="M198" s="108"/>
      <c r="N198" s="108"/>
      <c r="O198" s="108"/>
      <c r="P198" s="108"/>
    </row>
    <row r="199" spans="2:16" ht="15.75" thickBot="1" x14ac:dyDescent="0.3">
      <c r="B199" s="108"/>
      <c r="C199" s="108"/>
      <c r="D199" s="108"/>
      <c r="E199" s="108"/>
      <c r="F199" s="108"/>
      <c r="G199" s="108"/>
      <c r="H199" s="108"/>
      <c r="I199" s="108"/>
      <c r="J199" s="108"/>
      <c r="K199" s="108"/>
      <c r="L199" s="108"/>
      <c r="M199" s="108"/>
      <c r="N199" s="108"/>
      <c r="O199" s="108"/>
      <c r="P199" s="108"/>
    </row>
    <row r="200" spans="2:16" ht="15.75" thickBot="1" x14ac:dyDescent="0.3">
      <c r="B200" s="108"/>
      <c r="C200" s="108"/>
      <c r="D200" s="108"/>
      <c r="E200" s="108"/>
      <c r="F200" s="108"/>
      <c r="G200" s="108"/>
      <c r="H200" s="108"/>
      <c r="I200" s="108"/>
      <c r="J200" s="108"/>
      <c r="K200" s="108"/>
      <c r="L200" s="108"/>
      <c r="M200" s="108"/>
      <c r="N200" s="108"/>
      <c r="O200" s="108"/>
      <c r="P200" s="108"/>
    </row>
    <row r="201" spans="2:16" ht="15.75" thickBot="1" x14ac:dyDescent="0.3">
      <c r="B201" s="108"/>
      <c r="C201" s="108"/>
      <c r="D201" s="108"/>
      <c r="E201" s="108"/>
      <c r="F201" s="108"/>
      <c r="G201" s="108"/>
      <c r="H201" s="108"/>
      <c r="I201" s="108"/>
      <c r="J201" s="108"/>
      <c r="K201" s="108"/>
      <c r="L201" s="108"/>
      <c r="M201" s="108"/>
      <c r="N201" s="108"/>
      <c r="O201" s="108"/>
      <c r="P201" s="108"/>
    </row>
    <row r="202" spans="2:16" ht="15.75" thickBot="1" x14ac:dyDescent="0.3">
      <c r="B202" s="108"/>
      <c r="C202" s="108"/>
      <c r="D202" s="108"/>
      <c r="E202" s="108"/>
      <c r="F202" s="108"/>
      <c r="G202" s="108"/>
      <c r="H202" s="108"/>
      <c r="I202" s="108"/>
      <c r="J202" s="108"/>
      <c r="K202" s="108"/>
      <c r="L202" s="108"/>
      <c r="M202" s="108"/>
      <c r="N202" s="108"/>
      <c r="O202" s="108"/>
      <c r="P202" s="108"/>
    </row>
    <row r="203" spans="2:16" ht="15.75" thickBot="1" x14ac:dyDescent="0.3">
      <c r="B203" s="108"/>
      <c r="C203" s="108"/>
      <c r="D203" s="108"/>
      <c r="E203" s="108"/>
      <c r="F203" s="108"/>
      <c r="G203" s="108"/>
      <c r="H203" s="108"/>
      <c r="I203" s="108"/>
      <c r="J203" s="108"/>
      <c r="K203" s="108"/>
      <c r="L203" s="108"/>
      <c r="M203" s="108"/>
      <c r="N203" s="108"/>
      <c r="O203" s="108"/>
      <c r="P203" s="108"/>
    </row>
    <row r="204" spans="2:16" ht="15.75" thickBot="1" x14ac:dyDescent="0.3">
      <c r="B204" s="108"/>
      <c r="C204" s="108"/>
      <c r="D204" s="108"/>
      <c r="E204" s="108"/>
      <c r="F204" s="108"/>
      <c r="G204" s="108"/>
      <c r="H204" s="108"/>
      <c r="I204" s="108"/>
      <c r="J204" s="108"/>
      <c r="K204" s="108"/>
      <c r="L204" s="108"/>
      <c r="M204" s="108"/>
      <c r="N204" s="108"/>
      <c r="O204" s="108"/>
      <c r="P204" s="108"/>
    </row>
    <row r="205" spans="2:16" ht="15.75" thickBot="1" x14ac:dyDescent="0.3">
      <c r="B205" s="108"/>
      <c r="C205" s="108"/>
      <c r="D205" s="108"/>
      <c r="E205" s="108"/>
      <c r="F205" s="108"/>
      <c r="G205" s="108"/>
      <c r="H205" s="108"/>
      <c r="I205" s="108"/>
      <c r="J205" s="108"/>
      <c r="K205" s="108"/>
      <c r="L205" s="108"/>
      <c r="M205" s="108"/>
      <c r="N205" s="108"/>
      <c r="O205" s="108"/>
      <c r="P205" s="108"/>
    </row>
    <row r="206" spans="2:16" ht="15.75" thickBot="1" x14ac:dyDescent="0.3">
      <c r="B206" s="108"/>
      <c r="C206" s="108"/>
      <c r="D206" s="108"/>
      <c r="E206" s="108"/>
      <c r="F206" s="108"/>
      <c r="G206" s="108"/>
      <c r="H206" s="108"/>
      <c r="I206" s="108"/>
      <c r="J206" s="108"/>
      <c r="K206" s="108"/>
      <c r="L206" s="108"/>
      <c r="M206" s="108"/>
      <c r="N206" s="108"/>
      <c r="O206" s="108"/>
      <c r="P206" s="108"/>
    </row>
    <row r="207" spans="2:16" ht="15.75" thickBot="1" x14ac:dyDescent="0.3">
      <c r="B207" s="108"/>
      <c r="C207" s="108"/>
      <c r="D207" s="108"/>
      <c r="E207" s="108"/>
      <c r="F207" s="108"/>
      <c r="G207" s="108"/>
      <c r="H207" s="108"/>
      <c r="I207" s="108"/>
      <c r="J207" s="108"/>
      <c r="K207" s="108"/>
      <c r="L207" s="108"/>
      <c r="M207" s="108"/>
      <c r="N207" s="108"/>
      <c r="O207" s="108"/>
      <c r="P207" s="108"/>
    </row>
    <row r="208" spans="2:16" ht="15.75" thickBot="1" x14ac:dyDescent="0.3">
      <c r="B208" s="108"/>
      <c r="C208" s="108"/>
      <c r="D208" s="108"/>
      <c r="E208" s="108"/>
      <c r="F208" s="108"/>
      <c r="G208" s="108"/>
      <c r="H208" s="108"/>
      <c r="I208" s="108"/>
      <c r="J208" s="108"/>
      <c r="K208" s="108"/>
      <c r="L208" s="108"/>
      <c r="M208" s="108"/>
      <c r="N208" s="108"/>
      <c r="O208" s="108"/>
      <c r="P208" s="108"/>
    </row>
    <row r="209" spans="2:16" ht="15.75" thickBot="1" x14ac:dyDescent="0.3">
      <c r="B209" s="108"/>
      <c r="C209" s="108"/>
      <c r="D209" s="108"/>
      <c r="E209" s="108"/>
      <c r="F209" s="108"/>
      <c r="G209" s="108"/>
      <c r="H209" s="108"/>
      <c r="I209" s="108"/>
      <c r="J209" s="108"/>
      <c r="K209" s="108"/>
      <c r="L209" s="108"/>
      <c r="M209" s="108"/>
      <c r="N209" s="108"/>
      <c r="O209" s="108"/>
      <c r="P209" s="108"/>
    </row>
    <row r="210" spans="2:16" ht="15.75" thickBot="1" x14ac:dyDescent="0.3">
      <c r="B210" s="108"/>
      <c r="C210" s="108"/>
      <c r="D210" s="108"/>
      <c r="E210" s="108"/>
      <c r="F210" s="108"/>
      <c r="G210" s="108"/>
      <c r="H210" s="108"/>
      <c r="I210" s="108"/>
      <c r="J210" s="108"/>
      <c r="K210" s="108"/>
      <c r="L210" s="108"/>
      <c r="M210" s="108"/>
      <c r="N210" s="108"/>
      <c r="O210" s="108"/>
      <c r="P210" s="108"/>
    </row>
    <row r="211" spans="2:16" ht="15.75" thickBot="1" x14ac:dyDescent="0.3">
      <c r="B211" s="108"/>
      <c r="C211" s="108"/>
      <c r="D211" s="108"/>
      <c r="E211" s="108"/>
      <c r="F211" s="108"/>
      <c r="G211" s="108"/>
      <c r="H211" s="108"/>
      <c r="I211" s="108"/>
      <c r="J211" s="108"/>
      <c r="K211" s="108"/>
      <c r="L211" s="108"/>
      <c r="M211" s="108"/>
      <c r="N211" s="108"/>
      <c r="O211" s="108"/>
      <c r="P211" s="108"/>
    </row>
    <row r="212" spans="2:16" ht="15.75" thickBot="1" x14ac:dyDescent="0.3">
      <c r="B212" s="108"/>
      <c r="C212" s="108"/>
      <c r="D212" s="108"/>
      <c r="E212" s="108"/>
      <c r="F212" s="108"/>
      <c r="G212" s="108"/>
      <c r="H212" s="108"/>
      <c r="I212" s="108"/>
      <c r="J212" s="108"/>
      <c r="K212" s="108"/>
      <c r="L212" s="108"/>
      <c r="M212" s="108"/>
      <c r="N212" s="108"/>
      <c r="O212" s="108"/>
      <c r="P212" s="108"/>
    </row>
    <row r="213" spans="2:16" ht="15.75" thickBot="1" x14ac:dyDescent="0.3">
      <c r="B213" s="108"/>
      <c r="C213" s="108"/>
      <c r="D213" s="108"/>
      <c r="E213" s="108"/>
      <c r="F213" s="108"/>
      <c r="G213" s="108"/>
      <c r="H213" s="108"/>
      <c r="I213" s="108"/>
      <c r="J213" s="108"/>
      <c r="K213" s="108"/>
      <c r="L213" s="108"/>
      <c r="M213" s="108"/>
      <c r="N213" s="108"/>
      <c r="O213" s="108"/>
      <c r="P213" s="108"/>
    </row>
    <row r="214" spans="2:16" ht="15.75" thickBot="1" x14ac:dyDescent="0.3">
      <c r="B214" s="108"/>
      <c r="C214" s="108"/>
      <c r="D214" s="108"/>
      <c r="E214" s="108"/>
      <c r="F214" s="108"/>
      <c r="G214" s="108"/>
      <c r="H214" s="108"/>
      <c r="I214" s="108"/>
      <c r="J214" s="108"/>
      <c r="K214" s="108"/>
      <c r="L214" s="108"/>
      <c r="M214" s="108"/>
      <c r="N214" s="108"/>
      <c r="O214" s="108"/>
      <c r="P214" s="108"/>
    </row>
    <row r="215" spans="2:16" ht="15.75" thickBot="1" x14ac:dyDescent="0.3">
      <c r="B215" s="108"/>
      <c r="C215" s="108"/>
      <c r="D215" s="108"/>
      <c r="E215" s="108"/>
      <c r="F215" s="108"/>
      <c r="G215" s="108"/>
      <c r="H215" s="108"/>
      <c r="I215" s="108"/>
      <c r="J215" s="108"/>
      <c r="K215" s="108"/>
      <c r="L215" s="108"/>
      <c r="M215" s="108"/>
      <c r="N215" s="108"/>
      <c r="O215" s="108"/>
      <c r="P215" s="108"/>
    </row>
    <row r="216" spans="2:16" ht="15.75" thickBot="1" x14ac:dyDescent="0.3">
      <c r="B216" s="108"/>
      <c r="C216" s="108"/>
      <c r="D216" s="108"/>
      <c r="E216" s="108"/>
      <c r="F216" s="108"/>
      <c r="G216" s="108"/>
      <c r="H216" s="108"/>
      <c r="I216" s="108"/>
      <c r="J216" s="108"/>
      <c r="K216" s="108"/>
      <c r="L216" s="108"/>
      <c r="M216" s="108"/>
      <c r="N216" s="108"/>
      <c r="O216" s="108"/>
      <c r="P216" s="108"/>
    </row>
    <row r="217" spans="2:16" ht="15.75" thickBot="1" x14ac:dyDescent="0.3">
      <c r="B217" s="108"/>
      <c r="C217" s="108"/>
      <c r="D217" s="108"/>
      <c r="E217" s="108"/>
      <c r="F217" s="108"/>
      <c r="G217" s="108"/>
      <c r="H217" s="108"/>
      <c r="I217" s="108"/>
      <c r="J217" s="108"/>
      <c r="K217" s="108"/>
      <c r="L217" s="108"/>
      <c r="M217" s="108"/>
      <c r="N217" s="108"/>
      <c r="O217" s="108"/>
      <c r="P217" s="108"/>
    </row>
    <row r="218" spans="2:16" ht="15.75" thickBot="1" x14ac:dyDescent="0.3">
      <c r="B218" s="108"/>
      <c r="C218" s="108"/>
      <c r="D218" s="108"/>
      <c r="E218" s="108"/>
      <c r="F218" s="108"/>
      <c r="G218" s="108"/>
      <c r="H218" s="108"/>
      <c r="I218" s="108"/>
      <c r="J218" s="108"/>
      <c r="K218" s="108"/>
      <c r="L218" s="108"/>
      <c r="M218" s="108"/>
      <c r="N218" s="108"/>
      <c r="O218" s="108"/>
      <c r="P218" s="108"/>
    </row>
    <row r="219" spans="2:16" ht="15.75" thickBot="1" x14ac:dyDescent="0.3">
      <c r="B219" s="108"/>
      <c r="C219" s="108"/>
      <c r="D219" s="108"/>
      <c r="E219" s="108"/>
      <c r="F219" s="108"/>
      <c r="G219" s="108"/>
      <c r="H219" s="108"/>
      <c r="I219" s="108"/>
      <c r="J219" s="108"/>
      <c r="K219" s="108"/>
      <c r="L219" s="108"/>
      <c r="M219" s="108"/>
      <c r="N219" s="108"/>
      <c r="O219" s="108"/>
      <c r="P219" s="108"/>
    </row>
    <row r="220" spans="2:16" ht="15.75" thickBot="1" x14ac:dyDescent="0.3">
      <c r="B220" s="108"/>
      <c r="C220" s="108"/>
      <c r="D220" s="108"/>
      <c r="E220" s="108"/>
      <c r="F220" s="108"/>
      <c r="G220" s="108"/>
      <c r="H220" s="108"/>
      <c r="I220" s="108"/>
      <c r="J220" s="108"/>
      <c r="K220" s="108"/>
      <c r="L220" s="108"/>
      <c r="M220" s="108"/>
      <c r="N220" s="108"/>
      <c r="O220" s="108"/>
      <c r="P220" s="108"/>
    </row>
    <row r="221" spans="2:16" ht="15.75" thickBot="1" x14ac:dyDescent="0.3">
      <c r="B221" s="108"/>
      <c r="C221" s="108"/>
      <c r="D221" s="108"/>
      <c r="E221" s="108"/>
      <c r="F221" s="108"/>
      <c r="G221" s="108"/>
      <c r="H221" s="108"/>
      <c r="I221" s="108"/>
      <c r="J221" s="108"/>
      <c r="K221" s="108"/>
      <c r="L221" s="108"/>
      <c r="M221" s="108"/>
      <c r="N221" s="108"/>
      <c r="O221" s="108"/>
      <c r="P221" s="108"/>
    </row>
    <row r="222" spans="2:16" ht="15.75" thickBot="1" x14ac:dyDescent="0.3">
      <c r="B222" s="108"/>
      <c r="C222" s="108"/>
      <c r="D222" s="108"/>
      <c r="E222" s="108"/>
      <c r="F222" s="108"/>
      <c r="G222" s="108"/>
      <c r="H222" s="108"/>
      <c r="I222" s="108"/>
      <c r="J222" s="108"/>
      <c r="K222" s="108"/>
      <c r="L222" s="108"/>
      <c r="M222" s="108"/>
      <c r="N222" s="108"/>
      <c r="O222" s="108"/>
      <c r="P222" s="108"/>
    </row>
    <row r="223" spans="2:16" ht="15.75" thickBot="1" x14ac:dyDescent="0.3">
      <c r="B223" s="108"/>
      <c r="C223" s="108"/>
      <c r="D223" s="108"/>
      <c r="E223" s="108"/>
      <c r="F223" s="108"/>
      <c r="G223" s="108"/>
      <c r="H223" s="108"/>
      <c r="I223" s="108"/>
      <c r="J223" s="108"/>
      <c r="K223" s="108"/>
      <c r="L223" s="108"/>
      <c r="M223" s="108"/>
      <c r="N223" s="108"/>
      <c r="O223" s="108"/>
      <c r="P223" s="108"/>
    </row>
    <row r="224" spans="2:16" ht="15.75" thickBot="1" x14ac:dyDescent="0.3">
      <c r="B224" s="108"/>
      <c r="C224" s="108"/>
      <c r="D224" s="108"/>
      <c r="E224" s="108"/>
      <c r="F224" s="108"/>
      <c r="G224" s="108"/>
      <c r="H224" s="108"/>
      <c r="I224" s="108"/>
      <c r="J224" s="108"/>
      <c r="K224" s="108"/>
      <c r="L224" s="108"/>
      <c r="M224" s="108"/>
      <c r="N224" s="108"/>
      <c r="O224" s="108"/>
      <c r="P224" s="108"/>
    </row>
    <row r="225" spans="2:16" ht="15.75" thickBot="1" x14ac:dyDescent="0.3">
      <c r="B225" s="108"/>
      <c r="C225" s="108"/>
      <c r="D225" s="108"/>
      <c r="E225" s="108"/>
      <c r="F225" s="108"/>
      <c r="G225" s="108"/>
      <c r="H225" s="108"/>
      <c r="I225" s="108"/>
      <c r="J225" s="108"/>
      <c r="K225" s="108"/>
      <c r="L225" s="108"/>
      <c r="M225" s="108"/>
      <c r="N225" s="108"/>
      <c r="O225" s="108"/>
      <c r="P225" s="108"/>
    </row>
    <row r="226" spans="2:16" ht="15.75" thickBot="1" x14ac:dyDescent="0.3">
      <c r="B226" s="108"/>
      <c r="C226" s="108"/>
      <c r="D226" s="108"/>
      <c r="E226" s="108"/>
      <c r="F226" s="108"/>
      <c r="G226" s="108"/>
      <c r="H226" s="108"/>
      <c r="I226" s="108"/>
      <c r="J226" s="108"/>
      <c r="K226" s="108"/>
      <c r="L226" s="108"/>
      <c r="M226" s="108"/>
      <c r="N226" s="108"/>
      <c r="O226" s="108"/>
      <c r="P226" s="108"/>
    </row>
    <row r="227" spans="2:16" ht="15.75" thickBot="1" x14ac:dyDescent="0.3">
      <c r="B227" s="108"/>
      <c r="C227" s="108"/>
      <c r="D227" s="108"/>
      <c r="E227" s="108"/>
      <c r="F227" s="108"/>
      <c r="G227" s="108"/>
      <c r="H227" s="108"/>
      <c r="I227" s="108"/>
      <c r="J227" s="108"/>
      <c r="K227" s="108"/>
      <c r="L227" s="108"/>
      <c r="M227" s="108"/>
      <c r="N227" s="108"/>
      <c r="O227" s="108"/>
      <c r="P227" s="108"/>
    </row>
    <row r="228" spans="2:16" ht="15.75" thickBot="1" x14ac:dyDescent="0.3">
      <c r="B228" s="108"/>
      <c r="C228" s="108"/>
      <c r="D228" s="108"/>
      <c r="E228" s="108"/>
      <c r="F228" s="108"/>
      <c r="G228" s="108"/>
      <c r="H228" s="108"/>
      <c r="I228" s="108"/>
      <c r="J228" s="108"/>
      <c r="K228" s="108"/>
      <c r="L228" s="108"/>
      <c r="M228" s="108"/>
      <c r="N228" s="108"/>
      <c r="O228" s="108"/>
      <c r="P228" s="108"/>
    </row>
    <row r="229" spans="2:16" ht="15.75" thickBot="1" x14ac:dyDescent="0.3">
      <c r="B229" s="108"/>
      <c r="C229" s="108"/>
      <c r="D229" s="108"/>
      <c r="E229" s="108"/>
      <c r="F229" s="108"/>
      <c r="G229" s="108"/>
      <c r="H229" s="108"/>
      <c r="I229" s="108"/>
      <c r="J229" s="108"/>
      <c r="K229" s="108"/>
      <c r="L229" s="108"/>
      <c r="M229" s="108"/>
      <c r="N229" s="108"/>
      <c r="O229" s="108"/>
      <c r="P229" s="108"/>
    </row>
    <row r="230" spans="2:16" ht="15.75" thickBot="1" x14ac:dyDescent="0.3">
      <c r="B230" s="108"/>
      <c r="C230" s="108"/>
      <c r="D230" s="108"/>
      <c r="E230" s="108"/>
      <c r="F230" s="108"/>
      <c r="G230" s="108"/>
      <c r="H230" s="108"/>
      <c r="I230" s="108"/>
      <c r="J230" s="108"/>
      <c r="K230" s="108"/>
      <c r="L230" s="108"/>
      <c r="M230" s="108"/>
      <c r="N230" s="108"/>
      <c r="O230" s="108"/>
      <c r="P230" s="108"/>
    </row>
    <row r="231" spans="2:16" ht="15.75" thickBot="1" x14ac:dyDescent="0.3">
      <c r="B231" s="108"/>
      <c r="C231" s="108"/>
      <c r="D231" s="108"/>
      <c r="E231" s="108"/>
      <c r="F231" s="108"/>
      <c r="G231" s="108"/>
      <c r="H231" s="108"/>
      <c r="I231" s="108"/>
      <c r="J231" s="108"/>
      <c r="K231" s="108"/>
      <c r="L231" s="108"/>
      <c r="M231" s="108"/>
      <c r="N231" s="108"/>
      <c r="O231" s="108"/>
      <c r="P231" s="108"/>
    </row>
    <row r="232" spans="2:16" ht="15.75" thickBot="1" x14ac:dyDescent="0.3">
      <c r="B232" s="108"/>
      <c r="C232" s="108"/>
      <c r="D232" s="108"/>
      <c r="E232" s="108"/>
      <c r="F232" s="108"/>
      <c r="G232" s="108"/>
      <c r="H232" s="108"/>
      <c r="I232" s="108"/>
      <c r="J232" s="108"/>
      <c r="K232" s="108"/>
      <c r="L232" s="108"/>
      <c r="M232" s="108"/>
      <c r="N232" s="108"/>
      <c r="O232" s="108"/>
      <c r="P232" s="108"/>
    </row>
    <row r="233" spans="2:16" ht="15.75" thickBot="1" x14ac:dyDescent="0.3">
      <c r="B233" s="108"/>
      <c r="C233" s="108"/>
      <c r="D233" s="108"/>
      <c r="E233" s="108"/>
      <c r="F233" s="108"/>
      <c r="G233" s="108"/>
      <c r="H233" s="108"/>
      <c r="I233" s="108"/>
      <c r="J233" s="108"/>
      <c r="K233" s="108"/>
      <c r="L233" s="108"/>
      <c r="M233" s="108"/>
      <c r="N233" s="108"/>
      <c r="O233" s="108"/>
      <c r="P233" s="108"/>
    </row>
    <row r="234" spans="2:16" ht="15.75" thickBot="1" x14ac:dyDescent="0.3">
      <c r="B234" s="108"/>
      <c r="C234" s="108"/>
      <c r="D234" s="108"/>
      <c r="E234" s="108"/>
      <c r="F234" s="108"/>
      <c r="G234" s="108"/>
      <c r="H234" s="108"/>
      <c r="I234" s="108"/>
      <c r="J234" s="108"/>
      <c r="K234" s="108"/>
      <c r="L234" s="108"/>
      <c r="M234" s="108"/>
      <c r="N234" s="108"/>
      <c r="O234" s="108"/>
      <c r="P234" s="108"/>
    </row>
    <row r="235" spans="2:16" ht="15.75" thickBot="1" x14ac:dyDescent="0.3">
      <c r="B235" s="108"/>
      <c r="C235" s="108"/>
      <c r="D235" s="108"/>
      <c r="E235" s="108"/>
      <c r="F235" s="108"/>
      <c r="G235" s="108"/>
      <c r="H235" s="108"/>
      <c r="I235" s="108"/>
      <c r="J235" s="108"/>
      <c r="K235" s="108"/>
      <c r="L235" s="108"/>
      <c r="M235" s="108"/>
      <c r="N235" s="108"/>
      <c r="O235" s="108"/>
      <c r="P235" s="108"/>
    </row>
    <row r="236" spans="2:16" ht="15.75" thickBot="1" x14ac:dyDescent="0.3">
      <c r="B236" s="108"/>
      <c r="C236" s="108"/>
      <c r="D236" s="108"/>
      <c r="E236" s="108"/>
      <c r="F236" s="108"/>
      <c r="G236" s="108"/>
      <c r="H236" s="108"/>
      <c r="I236" s="108"/>
      <c r="J236" s="108"/>
      <c r="K236" s="108"/>
      <c r="L236" s="108"/>
      <c r="M236" s="108"/>
      <c r="N236" s="108"/>
      <c r="O236" s="108"/>
      <c r="P236" s="108"/>
    </row>
    <row r="237" spans="2:16" ht="15.75" thickBot="1" x14ac:dyDescent="0.3">
      <c r="B237" s="108"/>
      <c r="C237" s="108"/>
      <c r="D237" s="108"/>
      <c r="E237" s="108"/>
      <c r="F237" s="108"/>
      <c r="G237" s="108"/>
      <c r="H237" s="108"/>
      <c r="I237" s="108"/>
      <c r="J237" s="108"/>
      <c r="K237" s="108"/>
      <c r="L237" s="108"/>
      <c r="M237" s="108"/>
      <c r="N237" s="108"/>
      <c r="O237" s="108"/>
      <c r="P237" s="108"/>
    </row>
    <row r="238" spans="2:16" ht="15.75" thickBot="1" x14ac:dyDescent="0.3">
      <c r="B238" s="108"/>
      <c r="C238" s="108"/>
      <c r="D238" s="108"/>
      <c r="E238" s="108"/>
      <c r="F238" s="108"/>
      <c r="G238" s="108"/>
      <c r="H238" s="108"/>
      <c r="I238" s="108"/>
      <c r="J238" s="108"/>
      <c r="K238" s="108"/>
      <c r="L238" s="108"/>
      <c r="M238" s="108"/>
      <c r="N238" s="108"/>
      <c r="O238" s="108"/>
      <c r="P238" s="108"/>
    </row>
    <row r="239" spans="2:16" ht="15.75" thickBot="1" x14ac:dyDescent="0.3">
      <c r="B239" s="108"/>
      <c r="C239" s="108"/>
      <c r="D239" s="108"/>
      <c r="E239" s="108"/>
      <c r="F239" s="108"/>
      <c r="G239" s="108"/>
      <c r="H239" s="108"/>
      <c r="I239" s="108"/>
      <c r="J239" s="108"/>
      <c r="K239" s="108"/>
      <c r="L239" s="108"/>
      <c r="M239" s="108"/>
      <c r="N239" s="108"/>
      <c r="O239" s="108"/>
      <c r="P239" s="108"/>
    </row>
    <row r="240" spans="2:16" ht="15.75" thickBot="1" x14ac:dyDescent="0.3">
      <c r="B240" s="108"/>
      <c r="C240" s="108"/>
      <c r="D240" s="108"/>
      <c r="E240" s="108"/>
      <c r="F240" s="108"/>
      <c r="G240" s="108"/>
      <c r="H240" s="108"/>
      <c r="I240" s="108"/>
      <c r="J240" s="108"/>
      <c r="K240" s="108"/>
      <c r="L240" s="108"/>
      <c r="M240" s="108"/>
      <c r="N240" s="108"/>
      <c r="O240" s="108"/>
      <c r="P240" s="108"/>
    </row>
    <row r="241" spans="2:16" ht="15.75" thickBot="1" x14ac:dyDescent="0.3">
      <c r="B241" s="108"/>
      <c r="C241" s="108"/>
      <c r="D241" s="108"/>
      <c r="E241" s="108"/>
      <c r="F241" s="108"/>
      <c r="G241" s="108"/>
      <c r="H241" s="108"/>
      <c r="I241" s="108"/>
      <c r="J241" s="108"/>
      <c r="K241" s="108"/>
      <c r="L241" s="108"/>
      <c r="M241" s="108"/>
      <c r="N241" s="108"/>
      <c r="O241" s="108"/>
      <c r="P241" s="108"/>
    </row>
    <row r="242" spans="2:16" ht="15.75" thickBot="1" x14ac:dyDescent="0.3">
      <c r="B242" s="108"/>
      <c r="C242" s="108"/>
      <c r="D242" s="108"/>
      <c r="E242" s="108"/>
      <c r="F242" s="108"/>
      <c r="G242" s="108"/>
      <c r="H242" s="108"/>
      <c r="I242" s="108"/>
      <c r="J242" s="108"/>
      <c r="K242" s="108"/>
      <c r="L242" s="108"/>
      <c r="M242" s="108"/>
      <c r="N242" s="108"/>
      <c r="O242" s="108"/>
      <c r="P242" s="108"/>
    </row>
    <row r="243" spans="2:16" ht="15.75" thickBot="1" x14ac:dyDescent="0.3">
      <c r="B243" s="108"/>
      <c r="C243" s="108"/>
      <c r="D243" s="108"/>
      <c r="E243" s="108"/>
      <c r="F243" s="108"/>
      <c r="G243" s="108"/>
      <c r="H243" s="108"/>
      <c r="I243" s="108"/>
      <c r="J243" s="108"/>
      <c r="K243" s="108"/>
      <c r="L243" s="108"/>
      <c r="M243" s="108"/>
      <c r="N243" s="108"/>
      <c r="O243" s="108"/>
      <c r="P243" s="108"/>
    </row>
    <row r="244" spans="2:16" ht="15.75" thickBot="1" x14ac:dyDescent="0.3">
      <c r="B244" s="108"/>
      <c r="C244" s="108"/>
      <c r="D244" s="108"/>
      <c r="E244" s="108"/>
      <c r="F244" s="108"/>
      <c r="G244" s="108"/>
      <c r="H244" s="108"/>
      <c r="I244" s="108"/>
      <c r="J244" s="108"/>
      <c r="K244" s="108"/>
      <c r="L244" s="108"/>
      <c r="M244" s="108"/>
      <c r="N244" s="108"/>
      <c r="O244" s="108"/>
      <c r="P244" s="108"/>
    </row>
    <row r="245" spans="2:16" ht="15.75" thickBot="1" x14ac:dyDescent="0.3">
      <c r="B245" s="108"/>
      <c r="C245" s="108"/>
      <c r="D245" s="108"/>
      <c r="E245" s="108"/>
      <c r="F245" s="108"/>
      <c r="G245" s="108"/>
      <c r="H245" s="108"/>
      <c r="I245" s="108"/>
      <c r="J245" s="108"/>
      <c r="K245" s="108"/>
      <c r="L245" s="108"/>
      <c r="M245" s="108"/>
      <c r="N245" s="108"/>
      <c r="O245" s="108"/>
      <c r="P245" s="108"/>
    </row>
    <row r="246" spans="2:16" ht="15.75" thickBot="1" x14ac:dyDescent="0.3">
      <c r="B246" s="108"/>
      <c r="C246" s="108"/>
      <c r="D246" s="108"/>
      <c r="E246" s="108"/>
      <c r="F246" s="108"/>
      <c r="G246" s="108"/>
      <c r="H246" s="108"/>
      <c r="I246" s="108"/>
      <c r="J246" s="108"/>
      <c r="K246" s="108"/>
      <c r="L246" s="108"/>
      <c r="M246" s="108"/>
      <c r="N246" s="108"/>
      <c r="O246" s="108"/>
      <c r="P246" s="108"/>
    </row>
    <row r="247" spans="2:16" ht="15.75" thickBot="1" x14ac:dyDescent="0.3">
      <c r="B247" s="108"/>
      <c r="C247" s="108"/>
      <c r="D247" s="108"/>
      <c r="E247" s="108"/>
      <c r="F247" s="108"/>
      <c r="G247" s="108"/>
      <c r="H247" s="108"/>
      <c r="I247" s="108"/>
      <c r="J247" s="108"/>
      <c r="K247" s="108"/>
      <c r="L247" s="108"/>
      <c r="M247" s="108"/>
      <c r="N247" s="108"/>
      <c r="O247" s="108"/>
      <c r="P247" s="108"/>
    </row>
    <row r="248" spans="2:16" ht="15.75" thickBot="1" x14ac:dyDescent="0.3">
      <c r="B248" s="108"/>
      <c r="C248" s="108"/>
      <c r="D248" s="108"/>
      <c r="E248" s="108"/>
      <c r="F248" s="108"/>
      <c r="G248" s="108"/>
      <c r="H248" s="108"/>
      <c r="I248" s="108"/>
      <c r="J248" s="108"/>
      <c r="K248" s="108"/>
      <c r="L248" s="108"/>
      <c r="M248" s="108"/>
      <c r="N248" s="108"/>
      <c r="O248" s="108"/>
      <c r="P248" s="108"/>
    </row>
    <row r="249" spans="2:16" ht="15.75" thickBot="1" x14ac:dyDescent="0.3">
      <c r="B249" s="108"/>
      <c r="C249" s="108"/>
      <c r="D249" s="108"/>
      <c r="E249" s="108"/>
      <c r="F249" s="108"/>
      <c r="G249" s="108"/>
      <c r="H249" s="108"/>
      <c r="I249" s="108"/>
      <c r="J249" s="108"/>
      <c r="K249" s="108"/>
      <c r="L249" s="108"/>
      <c r="M249" s="108"/>
      <c r="N249" s="108"/>
      <c r="O249" s="108"/>
      <c r="P249" s="108"/>
    </row>
    <row r="250" spans="2:16" ht="15.75" thickBot="1" x14ac:dyDescent="0.3">
      <c r="B250" s="108"/>
      <c r="C250" s="108"/>
      <c r="D250" s="108"/>
      <c r="E250" s="108"/>
      <c r="F250" s="108"/>
      <c r="G250" s="108"/>
      <c r="H250" s="108"/>
      <c r="I250" s="108"/>
      <c r="J250" s="108"/>
      <c r="K250" s="108"/>
      <c r="L250" s="108"/>
      <c r="M250" s="108"/>
      <c r="N250" s="108"/>
      <c r="O250" s="108"/>
      <c r="P250" s="108"/>
    </row>
    <row r="251" spans="2:16" ht="15.75" thickBot="1" x14ac:dyDescent="0.3">
      <c r="B251" s="108"/>
      <c r="C251" s="108"/>
      <c r="D251" s="108"/>
      <c r="E251" s="108"/>
      <c r="F251" s="108"/>
      <c r="G251" s="108"/>
      <c r="H251" s="108"/>
      <c r="I251" s="108"/>
      <c r="J251" s="108"/>
      <c r="K251" s="108"/>
      <c r="L251" s="108"/>
      <c r="M251" s="108"/>
      <c r="N251" s="108"/>
      <c r="O251" s="108"/>
      <c r="P251" s="108"/>
    </row>
    <row r="252" spans="2:16" ht="15.75" thickBot="1" x14ac:dyDescent="0.3">
      <c r="B252" s="108"/>
      <c r="C252" s="108"/>
      <c r="D252" s="108"/>
      <c r="E252" s="108"/>
      <c r="F252" s="108"/>
      <c r="G252" s="108"/>
      <c r="H252" s="108"/>
      <c r="I252" s="108"/>
      <c r="J252" s="108"/>
      <c r="K252" s="108"/>
      <c r="L252" s="108"/>
      <c r="M252" s="108"/>
      <c r="N252" s="108"/>
      <c r="O252" s="108"/>
      <c r="P252" s="108"/>
    </row>
    <row r="253" spans="2:16" ht="15.75" thickBot="1" x14ac:dyDescent="0.3">
      <c r="B253" s="108"/>
      <c r="C253" s="108"/>
      <c r="D253" s="108"/>
      <c r="E253" s="108"/>
      <c r="F253" s="108"/>
      <c r="G253" s="108"/>
      <c r="H253" s="108"/>
      <c r="I253" s="108"/>
      <c r="J253" s="108"/>
      <c r="K253" s="108"/>
      <c r="L253" s="108"/>
      <c r="M253" s="108"/>
      <c r="N253" s="108"/>
      <c r="O253" s="108"/>
      <c r="P253" s="108"/>
    </row>
    <row r="254" spans="2:16" ht="15.75" thickBot="1" x14ac:dyDescent="0.3">
      <c r="B254" s="108"/>
      <c r="C254" s="108"/>
      <c r="D254" s="108"/>
      <c r="E254" s="108"/>
      <c r="F254" s="108"/>
      <c r="G254" s="108"/>
      <c r="H254" s="108"/>
      <c r="I254" s="108"/>
      <c r="J254" s="108"/>
      <c r="K254" s="108"/>
      <c r="L254" s="108"/>
      <c r="M254" s="108"/>
      <c r="N254" s="108"/>
      <c r="O254" s="108"/>
      <c r="P254" s="108"/>
    </row>
    <row r="255" spans="2:16" ht="15.75" thickBot="1" x14ac:dyDescent="0.3">
      <c r="B255" s="108"/>
      <c r="C255" s="108"/>
      <c r="D255" s="108"/>
      <c r="E255" s="108"/>
      <c r="F255" s="108"/>
      <c r="G255" s="108"/>
      <c r="H255" s="108"/>
      <c r="I255" s="108"/>
      <c r="J255" s="108"/>
      <c r="K255" s="108"/>
      <c r="L255" s="108"/>
      <c r="M255" s="108"/>
      <c r="N255" s="108"/>
      <c r="O255" s="108"/>
      <c r="P255" s="108"/>
    </row>
    <row r="256" spans="2:16" ht="15.75" thickBot="1" x14ac:dyDescent="0.3">
      <c r="B256" s="108"/>
      <c r="C256" s="108"/>
      <c r="D256" s="108"/>
      <c r="E256" s="108"/>
      <c r="F256" s="108"/>
      <c r="G256" s="108"/>
      <c r="H256" s="108"/>
      <c r="I256" s="108"/>
      <c r="J256" s="108"/>
      <c r="K256" s="108"/>
      <c r="L256" s="108"/>
      <c r="M256" s="108"/>
      <c r="N256" s="108"/>
      <c r="O256" s="108"/>
      <c r="P256" s="108"/>
    </row>
    <row r="257" spans="2:16" ht="15.75" thickBot="1" x14ac:dyDescent="0.3">
      <c r="B257" s="108"/>
      <c r="C257" s="108"/>
      <c r="D257" s="108"/>
      <c r="E257" s="108"/>
      <c r="F257" s="108"/>
      <c r="G257" s="108"/>
      <c r="H257" s="108"/>
      <c r="I257" s="108"/>
      <c r="J257" s="108"/>
      <c r="K257" s="108"/>
      <c r="L257" s="108"/>
      <c r="M257" s="108"/>
      <c r="N257" s="108"/>
      <c r="O257" s="108"/>
      <c r="P257" s="108"/>
    </row>
    <row r="258" spans="2:16" ht="15.75" thickBot="1" x14ac:dyDescent="0.3">
      <c r="B258" s="108"/>
      <c r="C258" s="108"/>
      <c r="D258" s="108"/>
      <c r="E258" s="108"/>
      <c r="F258" s="108"/>
      <c r="G258" s="108"/>
      <c r="H258" s="108"/>
      <c r="I258" s="108"/>
      <c r="J258" s="108"/>
      <c r="K258" s="108"/>
      <c r="L258" s="108"/>
      <c r="M258" s="108"/>
      <c r="N258" s="108"/>
      <c r="O258" s="108"/>
      <c r="P258" s="108"/>
    </row>
    <row r="259" spans="2:16" ht="15.75" thickBot="1" x14ac:dyDescent="0.3">
      <c r="B259" s="108"/>
      <c r="C259" s="108"/>
      <c r="D259" s="108"/>
      <c r="E259" s="108"/>
      <c r="F259" s="108"/>
      <c r="G259" s="108"/>
      <c r="H259" s="108"/>
      <c r="I259" s="108"/>
      <c r="J259" s="108"/>
      <c r="K259" s="108"/>
      <c r="L259" s="108"/>
      <c r="M259" s="108"/>
      <c r="N259" s="108"/>
      <c r="O259" s="108"/>
      <c r="P259" s="108"/>
    </row>
    <row r="260" spans="2:16" ht="15.75" thickBot="1" x14ac:dyDescent="0.3">
      <c r="B260" s="108"/>
      <c r="C260" s="108"/>
      <c r="D260" s="108"/>
      <c r="E260" s="108"/>
      <c r="F260" s="108"/>
      <c r="G260" s="108"/>
      <c r="H260" s="108"/>
      <c r="I260" s="108"/>
      <c r="J260" s="108"/>
      <c r="K260" s="108"/>
      <c r="L260" s="108"/>
      <c r="M260" s="108"/>
      <c r="N260" s="108"/>
      <c r="O260" s="108"/>
      <c r="P260" s="108"/>
    </row>
    <row r="261" spans="2:16" ht="15.75" thickBot="1" x14ac:dyDescent="0.3">
      <c r="B261" s="108"/>
      <c r="C261" s="108"/>
      <c r="D261" s="108"/>
      <c r="E261" s="108"/>
      <c r="F261" s="108"/>
      <c r="G261" s="108"/>
      <c r="H261" s="108"/>
      <c r="I261" s="108"/>
      <c r="J261" s="108"/>
      <c r="K261" s="108"/>
      <c r="L261" s="108"/>
      <c r="M261" s="108"/>
      <c r="N261" s="108"/>
      <c r="O261" s="108"/>
      <c r="P261" s="108"/>
    </row>
    <row r="262" spans="2:16" ht="15.75" thickBot="1" x14ac:dyDescent="0.3">
      <c r="B262" s="108"/>
      <c r="C262" s="108"/>
      <c r="D262" s="108"/>
      <c r="E262" s="108"/>
      <c r="F262" s="108"/>
      <c r="G262" s="108"/>
      <c r="H262" s="108"/>
      <c r="I262" s="108"/>
      <c r="J262" s="108"/>
      <c r="K262" s="108"/>
      <c r="L262" s="108"/>
      <c r="M262" s="108"/>
      <c r="N262" s="108"/>
      <c r="O262" s="108"/>
      <c r="P262" s="108"/>
    </row>
    <row r="263" spans="2:16" ht="15.75" thickBot="1" x14ac:dyDescent="0.3">
      <c r="B263" s="108"/>
      <c r="C263" s="108"/>
      <c r="D263" s="108"/>
      <c r="E263" s="108"/>
      <c r="F263" s="108"/>
      <c r="G263" s="108"/>
      <c r="H263" s="108"/>
      <c r="I263" s="108"/>
      <c r="J263" s="108"/>
      <c r="K263" s="108"/>
      <c r="L263" s="108"/>
      <c r="M263" s="108"/>
      <c r="N263" s="108"/>
      <c r="O263" s="108"/>
      <c r="P263" s="108"/>
    </row>
    <row r="264" spans="2:16" ht="15.75" thickBot="1" x14ac:dyDescent="0.3">
      <c r="B264" s="108"/>
      <c r="C264" s="108"/>
      <c r="D264" s="108"/>
      <c r="E264" s="108"/>
      <c r="F264" s="108"/>
      <c r="G264" s="108"/>
      <c r="H264" s="108"/>
      <c r="I264" s="108"/>
      <c r="J264" s="108"/>
      <c r="K264" s="108"/>
      <c r="L264" s="108"/>
      <c r="M264" s="108"/>
      <c r="N264" s="108"/>
      <c r="O264" s="108"/>
      <c r="P264" s="108"/>
    </row>
    <row r="265" spans="2:16" ht="15.75" thickBot="1" x14ac:dyDescent="0.3">
      <c r="B265" s="108"/>
      <c r="C265" s="108"/>
      <c r="D265" s="108"/>
      <c r="E265" s="108"/>
      <c r="F265" s="108"/>
      <c r="G265" s="108"/>
      <c r="H265" s="108"/>
      <c r="I265" s="108"/>
      <c r="J265" s="108"/>
      <c r="K265" s="108"/>
      <c r="L265" s="108"/>
      <c r="M265" s="108"/>
      <c r="N265" s="108"/>
      <c r="O265" s="108"/>
      <c r="P265" s="108"/>
    </row>
    <row r="266" spans="2:16" ht="15.75" thickBot="1" x14ac:dyDescent="0.3">
      <c r="B266" s="108"/>
      <c r="C266" s="108"/>
      <c r="D266" s="108"/>
      <c r="E266" s="108"/>
      <c r="F266" s="108"/>
      <c r="G266" s="108"/>
      <c r="H266" s="108"/>
      <c r="I266" s="108"/>
      <c r="J266" s="108"/>
      <c r="K266" s="108"/>
      <c r="L266" s="108"/>
      <c r="M266" s="108"/>
      <c r="N266" s="108"/>
      <c r="O266" s="108"/>
      <c r="P266" s="108"/>
    </row>
    <row r="267" spans="2:16" ht="15.75" thickBot="1" x14ac:dyDescent="0.3">
      <c r="B267" s="108"/>
      <c r="C267" s="108"/>
      <c r="D267" s="108"/>
      <c r="E267" s="108"/>
      <c r="F267" s="108"/>
      <c r="G267" s="108"/>
      <c r="H267" s="108"/>
      <c r="I267" s="108"/>
      <c r="J267" s="108"/>
      <c r="K267" s="108"/>
      <c r="L267" s="108"/>
      <c r="M267" s="108"/>
      <c r="N267" s="108"/>
      <c r="O267" s="108"/>
      <c r="P267" s="108"/>
    </row>
    <row r="268" spans="2:16" ht="15.75" thickBot="1" x14ac:dyDescent="0.3">
      <c r="B268" s="108"/>
      <c r="C268" s="108"/>
      <c r="D268" s="108"/>
      <c r="E268" s="108"/>
      <c r="F268" s="108"/>
      <c r="G268" s="108"/>
      <c r="H268" s="108"/>
      <c r="I268" s="108"/>
      <c r="J268" s="108"/>
      <c r="K268" s="108"/>
      <c r="L268" s="108"/>
      <c r="M268" s="108"/>
      <c r="N268" s="108"/>
      <c r="O268" s="108"/>
      <c r="P268" s="108"/>
    </row>
    <row r="269" spans="2:16" ht="15.75" thickBot="1" x14ac:dyDescent="0.3">
      <c r="B269" s="108"/>
      <c r="C269" s="108"/>
      <c r="D269" s="108"/>
      <c r="E269" s="108"/>
      <c r="F269" s="108"/>
      <c r="G269" s="108"/>
      <c r="H269" s="108"/>
      <c r="I269" s="108"/>
      <c r="J269" s="108"/>
      <c r="K269" s="108"/>
      <c r="L269" s="108"/>
      <c r="M269" s="108"/>
      <c r="N269" s="108"/>
      <c r="O269" s="108"/>
      <c r="P269" s="108"/>
    </row>
    <row r="270" spans="2:16" ht="15.75" thickBot="1" x14ac:dyDescent="0.3">
      <c r="B270" s="108"/>
      <c r="C270" s="108"/>
      <c r="D270" s="108"/>
      <c r="E270" s="108"/>
      <c r="F270" s="108"/>
      <c r="G270" s="108"/>
      <c r="H270" s="108"/>
      <c r="I270" s="108"/>
      <c r="J270" s="108"/>
      <c r="K270" s="108"/>
      <c r="L270" s="108"/>
      <c r="M270" s="108"/>
      <c r="N270" s="108"/>
      <c r="O270" s="108"/>
      <c r="P270" s="108"/>
    </row>
    <row r="271" spans="2:16" ht="15.75" thickBot="1" x14ac:dyDescent="0.3">
      <c r="B271" s="108"/>
      <c r="C271" s="108"/>
      <c r="D271" s="108"/>
      <c r="E271" s="108"/>
      <c r="F271" s="108"/>
      <c r="G271" s="108"/>
      <c r="H271" s="108"/>
      <c r="I271" s="108"/>
      <c r="J271" s="108"/>
      <c r="K271" s="108"/>
      <c r="L271" s="108"/>
      <c r="M271" s="108"/>
      <c r="N271" s="108"/>
      <c r="O271" s="108"/>
      <c r="P271" s="108"/>
    </row>
    <row r="272" spans="2:16" ht="15.75" thickBot="1" x14ac:dyDescent="0.3">
      <c r="B272" s="108"/>
      <c r="C272" s="108"/>
      <c r="D272" s="108"/>
      <c r="E272" s="108"/>
      <c r="F272" s="108"/>
      <c r="G272" s="108"/>
      <c r="H272" s="108"/>
      <c r="I272" s="108"/>
      <c r="J272" s="108"/>
      <c r="K272" s="108"/>
      <c r="L272" s="108"/>
      <c r="M272" s="108"/>
      <c r="N272" s="108"/>
      <c r="O272" s="108"/>
      <c r="P272" s="108"/>
    </row>
    <row r="273" spans="2:16" ht="15.75" thickBot="1" x14ac:dyDescent="0.3">
      <c r="B273" s="108"/>
      <c r="C273" s="108"/>
      <c r="D273" s="108"/>
      <c r="E273" s="108"/>
      <c r="F273" s="108"/>
      <c r="G273" s="108"/>
      <c r="H273" s="108"/>
      <c r="I273" s="108"/>
      <c r="J273" s="108"/>
      <c r="K273" s="108"/>
      <c r="L273" s="108"/>
      <c r="M273" s="108"/>
      <c r="N273" s="108"/>
      <c r="O273" s="108"/>
      <c r="P273" s="108"/>
    </row>
    <row r="274" spans="2:16" ht="15.75" thickBot="1" x14ac:dyDescent="0.3">
      <c r="B274" s="108"/>
      <c r="C274" s="108"/>
      <c r="D274" s="108"/>
      <c r="E274" s="108"/>
      <c r="F274" s="108"/>
      <c r="G274" s="108"/>
      <c r="H274" s="108"/>
      <c r="I274" s="108"/>
      <c r="J274" s="108"/>
      <c r="K274" s="108"/>
      <c r="L274" s="108"/>
      <c r="M274" s="108"/>
      <c r="N274" s="108"/>
      <c r="O274" s="108"/>
      <c r="P274" s="108"/>
    </row>
    <row r="275" spans="2:16" ht="15.75" thickBot="1" x14ac:dyDescent="0.3">
      <c r="B275" s="108"/>
      <c r="C275" s="108"/>
      <c r="D275" s="108"/>
      <c r="E275" s="108"/>
      <c r="F275" s="108"/>
      <c r="G275" s="108"/>
      <c r="H275" s="108"/>
      <c r="I275" s="108"/>
      <c r="J275" s="108"/>
      <c r="K275" s="108"/>
      <c r="L275" s="108"/>
      <c r="M275" s="108"/>
      <c r="N275" s="108"/>
      <c r="O275" s="108"/>
      <c r="P275" s="108"/>
    </row>
    <row r="276" spans="2:16" ht="15.75" thickBot="1" x14ac:dyDescent="0.3">
      <c r="B276" s="108"/>
      <c r="C276" s="108"/>
      <c r="D276" s="108"/>
      <c r="E276" s="108"/>
      <c r="F276" s="108"/>
      <c r="G276" s="108"/>
      <c r="H276" s="108"/>
      <c r="I276" s="108"/>
      <c r="J276" s="108"/>
      <c r="K276" s="108"/>
      <c r="L276" s="108"/>
      <c r="M276" s="108"/>
      <c r="N276" s="108"/>
      <c r="O276" s="108"/>
      <c r="P276" s="108"/>
    </row>
    <row r="277" spans="2:16" ht="15.75" thickBot="1" x14ac:dyDescent="0.3">
      <c r="B277" s="108"/>
      <c r="C277" s="108"/>
      <c r="D277" s="108"/>
      <c r="E277" s="108"/>
      <c r="F277" s="108"/>
      <c r="G277" s="108"/>
      <c r="H277" s="108"/>
      <c r="I277" s="108"/>
      <c r="J277" s="108"/>
      <c r="K277" s="108"/>
      <c r="L277" s="108"/>
      <c r="M277" s="108"/>
      <c r="N277" s="108"/>
      <c r="O277" s="108"/>
      <c r="P277" s="108"/>
    </row>
    <row r="278" spans="2:16" ht="15.75" thickBot="1" x14ac:dyDescent="0.3">
      <c r="B278" s="108"/>
      <c r="C278" s="108"/>
      <c r="D278" s="108"/>
      <c r="E278" s="108"/>
      <c r="F278" s="108"/>
      <c r="G278" s="108"/>
      <c r="H278" s="108"/>
      <c r="I278" s="108"/>
      <c r="J278" s="108"/>
      <c r="K278" s="108"/>
      <c r="L278" s="108"/>
      <c r="M278" s="108"/>
      <c r="N278" s="108"/>
      <c r="O278" s="108"/>
      <c r="P278" s="108"/>
    </row>
    <row r="279" spans="2:16" ht="15.75" thickBot="1" x14ac:dyDescent="0.3">
      <c r="B279" s="108"/>
      <c r="C279" s="108"/>
      <c r="D279" s="108"/>
      <c r="E279" s="108"/>
      <c r="F279" s="108"/>
      <c r="G279" s="108"/>
      <c r="H279" s="108"/>
      <c r="I279" s="108"/>
      <c r="J279" s="108"/>
      <c r="K279" s="108"/>
      <c r="L279" s="108"/>
      <c r="M279" s="108"/>
      <c r="N279" s="108"/>
      <c r="O279" s="108"/>
      <c r="P279" s="108"/>
    </row>
    <row r="280" spans="2:16" ht="15.75" thickBot="1" x14ac:dyDescent="0.3">
      <c r="B280" s="108"/>
      <c r="C280" s="108"/>
      <c r="D280" s="108"/>
      <c r="E280" s="108"/>
      <c r="F280" s="108"/>
      <c r="G280" s="108"/>
      <c r="H280" s="108"/>
      <c r="I280" s="108"/>
      <c r="J280" s="108"/>
      <c r="K280" s="108"/>
      <c r="L280" s="108"/>
      <c r="M280" s="108"/>
      <c r="N280" s="108"/>
      <c r="O280" s="108"/>
      <c r="P280" s="108"/>
    </row>
    <row r="281" spans="2:16" ht="15.75" thickBot="1" x14ac:dyDescent="0.3">
      <c r="B281" s="108"/>
      <c r="C281" s="108"/>
      <c r="D281" s="108"/>
      <c r="E281" s="108"/>
      <c r="F281" s="108"/>
      <c r="G281" s="108"/>
      <c r="H281" s="108"/>
      <c r="I281" s="108"/>
      <c r="J281" s="108"/>
      <c r="K281" s="108"/>
      <c r="L281" s="108"/>
      <c r="M281" s="108"/>
      <c r="N281" s="108"/>
      <c r="O281" s="108"/>
      <c r="P281" s="108"/>
    </row>
    <row r="282" spans="2:16" ht="15.75" thickBot="1" x14ac:dyDescent="0.3">
      <c r="B282" s="108"/>
      <c r="C282" s="108"/>
      <c r="D282" s="108"/>
      <c r="E282" s="108"/>
      <c r="F282" s="108"/>
      <c r="G282" s="108"/>
      <c r="H282" s="108"/>
      <c r="I282" s="108"/>
      <c r="J282" s="108"/>
      <c r="K282" s="108"/>
      <c r="L282" s="108"/>
      <c r="M282" s="108"/>
      <c r="N282" s="108"/>
      <c r="O282" s="108"/>
      <c r="P282" s="108"/>
    </row>
    <row r="283" spans="2:16" ht="15.75" thickBot="1" x14ac:dyDescent="0.3">
      <c r="B283" s="108"/>
      <c r="C283" s="108"/>
      <c r="D283" s="108"/>
      <c r="E283" s="108"/>
      <c r="F283" s="108"/>
      <c r="G283" s="108"/>
      <c r="H283" s="108"/>
      <c r="I283" s="108"/>
      <c r="J283" s="108"/>
      <c r="K283" s="108"/>
      <c r="L283" s="108"/>
      <c r="M283" s="108"/>
      <c r="N283" s="108"/>
      <c r="O283" s="108"/>
      <c r="P283" s="108"/>
    </row>
    <row r="284" spans="2:16" ht="15.75" thickBot="1" x14ac:dyDescent="0.3">
      <c r="B284" s="108"/>
      <c r="C284" s="108"/>
      <c r="D284" s="108"/>
      <c r="E284" s="108"/>
      <c r="F284" s="108"/>
      <c r="G284" s="108"/>
      <c r="H284" s="108"/>
      <c r="I284" s="108"/>
      <c r="J284" s="108"/>
      <c r="K284" s="108"/>
      <c r="L284" s="108"/>
      <c r="M284" s="108"/>
      <c r="N284" s="108"/>
      <c r="O284" s="108"/>
      <c r="P284" s="108"/>
    </row>
    <row r="285" spans="2:16" ht="15.75" thickBot="1" x14ac:dyDescent="0.3">
      <c r="B285" s="108"/>
      <c r="C285" s="108"/>
      <c r="D285" s="108"/>
      <c r="E285" s="108"/>
      <c r="F285" s="108"/>
      <c r="G285" s="108"/>
      <c r="H285" s="108"/>
      <c r="I285" s="108"/>
      <c r="J285" s="108"/>
      <c r="K285" s="108"/>
      <c r="L285" s="108"/>
      <c r="M285" s="108"/>
      <c r="N285" s="108"/>
      <c r="O285" s="108"/>
      <c r="P285" s="108"/>
    </row>
    <row r="286" spans="2:16" ht="15.75" thickBot="1" x14ac:dyDescent="0.3">
      <c r="B286" s="108"/>
      <c r="C286" s="108"/>
      <c r="D286" s="108"/>
      <c r="E286" s="108"/>
      <c r="F286" s="108"/>
      <c r="G286" s="108"/>
      <c r="H286" s="108"/>
      <c r="I286" s="108"/>
      <c r="J286" s="108"/>
      <c r="K286" s="108"/>
      <c r="L286" s="108"/>
      <c r="M286" s="108"/>
      <c r="N286" s="108"/>
      <c r="O286" s="108"/>
      <c r="P286" s="108"/>
    </row>
    <row r="287" spans="2:16" ht="15.75" thickBot="1" x14ac:dyDescent="0.3">
      <c r="B287" s="108"/>
      <c r="C287" s="108"/>
      <c r="D287" s="108"/>
      <c r="E287" s="108"/>
      <c r="F287" s="108"/>
      <c r="G287" s="108"/>
      <c r="H287" s="108"/>
      <c r="I287" s="108"/>
      <c r="J287" s="108"/>
      <c r="K287" s="108"/>
      <c r="L287" s="108"/>
      <c r="M287" s="108"/>
      <c r="N287" s="108"/>
      <c r="O287" s="108"/>
      <c r="P287" s="108"/>
    </row>
    <row r="288" spans="2:16" ht="15.75" thickBot="1" x14ac:dyDescent="0.3">
      <c r="B288" s="108"/>
      <c r="C288" s="108"/>
      <c r="D288" s="108"/>
      <c r="E288" s="108"/>
      <c r="F288" s="108"/>
      <c r="G288" s="108"/>
      <c r="H288" s="108"/>
      <c r="I288" s="108"/>
      <c r="J288" s="108"/>
      <c r="K288" s="108"/>
      <c r="L288" s="108"/>
      <c r="M288" s="108"/>
      <c r="N288" s="108"/>
      <c r="O288" s="108"/>
      <c r="P288" s="108"/>
    </row>
    <row r="289" spans="2:16" ht="15.75" thickBot="1" x14ac:dyDescent="0.3">
      <c r="B289" s="108"/>
      <c r="C289" s="108"/>
      <c r="D289" s="108"/>
      <c r="E289" s="108"/>
      <c r="F289" s="108"/>
      <c r="G289" s="108"/>
      <c r="H289" s="108"/>
      <c r="I289" s="108"/>
      <c r="J289" s="108"/>
      <c r="K289" s="108"/>
      <c r="L289" s="108"/>
      <c r="M289" s="108"/>
      <c r="N289" s="108"/>
      <c r="O289" s="108"/>
      <c r="P289" s="108"/>
    </row>
    <row r="290" spans="2:16" ht="15.75" thickBot="1" x14ac:dyDescent="0.3">
      <c r="B290" s="108"/>
      <c r="C290" s="108"/>
      <c r="D290" s="108"/>
      <c r="E290" s="108"/>
      <c r="F290" s="108"/>
      <c r="G290" s="108"/>
      <c r="H290" s="108"/>
      <c r="I290" s="108"/>
      <c r="J290" s="108"/>
      <c r="K290" s="108"/>
      <c r="L290" s="108"/>
      <c r="M290" s="108"/>
      <c r="N290" s="108"/>
      <c r="O290" s="108"/>
      <c r="P290" s="108"/>
    </row>
    <row r="291" spans="2:16" ht="15.75" thickBot="1" x14ac:dyDescent="0.3">
      <c r="B291" s="108"/>
      <c r="C291" s="108"/>
      <c r="D291" s="108"/>
      <c r="E291" s="108"/>
      <c r="F291" s="108"/>
      <c r="G291" s="108"/>
      <c r="H291" s="108"/>
      <c r="I291" s="108"/>
      <c r="J291" s="108"/>
      <c r="K291" s="108"/>
      <c r="L291" s="108"/>
      <c r="M291" s="108"/>
      <c r="N291" s="108"/>
      <c r="O291" s="108"/>
      <c r="P291" s="108"/>
    </row>
    <row r="292" spans="2:16" ht="15.75" thickBot="1" x14ac:dyDescent="0.3">
      <c r="B292" s="108"/>
      <c r="C292" s="108"/>
      <c r="D292" s="108"/>
      <c r="E292" s="108"/>
      <c r="F292" s="108"/>
      <c r="G292" s="108"/>
      <c r="H292" s="108"/>
      <c r="I292" s="108"/>
      <c r="J292" s="108"/>
      <c r="K292" s="108"/>
      <c r="L292" s="108"/>
      <c r="M292" s="108"/>
      <c r="N292" s="108"/>
      <c r="O292" s="108"/>
      <c r="P292" s="108"/>
    </row>
    <row r="293" spans="2:16" ht="15.75" thickBot="1" x14ac:dyDescent="0.3">
      <c r="B293" s="108"/>
      <c r="C293" s="108"/>
      <c r="D293" s="108"/>
      <c r="E293" s="108"/>
      <c r="F293" s="108"/>
      <c r="G293" s="108"/>
      <c r="H293" s="108"/>
      <c r="I293" s="108"/>
      <c r="J293" s="108"/>
      <c r="K293" s="108"/>
      <c r="L293" s="108"/>
      <c r="M293" s="108"/>
      <c r="N293" s="108"/>
      <c r="O293" s="108"/>
      <c r="P293" s="108"/>
    </row>
    <row r="294" spans="2:16" ht="15.75" thickBot="1" x14ac:dyDescent="0.3">
      <c r="B294" s="108"/>
      <c r="C294" s="108"/>
      <c r="D294" s="108"/>
      <c r="E294" s="108"/>
      <c r="F294" s="108"/>
      <c r="G294" s="108"/>
      <c r="H294" s="108"/>
      <c r="I294" s="108"/>
      <c r="J294" s="108"/>
      <c r="K294" s="108"/>
      <c r="L294" s="108"/>
      <c r="M294" s="108"/>
      <c r="N294" s="108"/>
      <c r="O294" s="108"/>
      <c r="P294" s="108"/>
    </row>
    <row r="295" spans="2:16" ht="15.75" thickBot="1" x14ac:dyDescent="0.3">
      <c r="B295" s="108"/>
      <c r="C295" s="108"/>
      <c r="D295" s="108"/>
      <c r="E295" s="108"/>
      <c r="F295" s="108"/>
      <c r="G295" s="108"/>
      <c r="H295" s="108"/>
      <c r="I295" s="108"/>
      <c r="J295" s="108"/>
      <c r="K295" s="108"/>
      <c r="L295" s="108"/>
      <c r="M295" s="108"/>
      <c r="N295" s="108"/>
      <c r="O295" s="108"/>
      <c r="P295" s="108"/>
    </row>
    <row r="296" spans="2:16" ht="15.75" thickBot="1" x14ac:dyDescent="0.3">
      <c r="B296" s="108"/>
      <c r="C296" s="108"/>
      <c r="D296" s="108"/>
      <c r="E296" s="108"/>
      <c r="F296" s="108"/>
      <c r="G296" s="108"/>
      <c r="H296" s="108"/>
      <c r="I296" s="108"/>
      <c r="J296" s="108"/>
      <c r="K296" s="108"/>
      <c r="L296" s="108"/>
      <c r="M296" s="108"/>
      <c r="N296" s="108"/>
      <c r="O296" s="108"/>
      <c r="P296" s="108"/>
    </row>
    <row r="297" spans="2:16" ht="15.75" thickBot="1" x14ac:dyDescent="0.3">
      <c r="B297" s="108"/>
      <c r="C297" s="108"/>
      <c r="D297" s="108"/>
      <c r="E297" s="108"/>
      <c r="F297" s="108"/>
      <c r="G297" s="108"/>
      <c r="H297" s="108"/>
      <c r="I297" s="108"/>
      <c r="J297" s="108"/>
      <c r="K297" s="108"/>
      <c r="L297" s="108"/>
      <c r="M297" s="108"/>
      <c r="N297" s="108"/>
      <c r="O297" s="108"/>
      <c r="P297" s="108"/>
    </row>
    <row r="298" spans="2:16" ht="15.75" thickBot="1" x14ac:dyDescent="0.3">
      <c r="B298" s="108"/>
      <c r="C298" s="108"/>
      <c r="D298" s="108"/>
      <c r="E298" s="108"/>
      <c r="F298" s="108"/>
      <c r="G298" s="108"/>
      <c r="H298" s="108"/>
      <c r="I298" s="108"/>
      <c r="J298" s="108"/>
      <c r="K298" s="108"/>
      <c r="L298" s="108"/>
      <c r="M298" s="108"/>
      <c r="N298" s="108"/>
      <c r="O298" s="108"/>
      <c r="P298" s="108"/>
    </row>
    <row r="299" spans="2:16" ht="15.75" thickBot="1" x14ac:dyDescent="0.3">
      <c r="B299" s="108"/>
      <c r="C299" s="108"/>
      <c r="D299" s="108"/>
      <c r="E299" s="108"/>
      <c r="F299" s="108"/>
      <c r="G299" s="108"/>
      <c r="H299" s="108"/>
      <c r="I299" s="108"/>
      <c r="J299" s="108"/>
      <c r="K299" s="108"/>
      <c r="L299" s="108"/>
      <c r="M299" s="108"/>
      <c r="N299" s="108"/>
      <c r="O299" s="108"/>
      <c r="P299" s="108"/>
    </row>
    <row r="300" spans="2:16" ht="15.75" thickBot="1" x14ac:dyDescent="0.3">
      <c r="B300" s="108"/>
      <c r="C300" s="108"/>
      <c r="D300" s="108"/>
      <c r="E300" s="108"/>
      <c r="F300" s="108"/>
      <c r="G300" s="108"/>
      <c r="H300" s="108"/>
      <c r="I300" s="108"/>
      <c r="J300" s="108"/>
      <c r="K300" s="108"/>
      <c r="L300" s="108"/>
      <c r="M300" s="108"/>
      <c r="N300" s="108"/>
      <c r="O300" s="108"/>
      <c r="P300" s="108"/>
    </row>
    <row r="301" spans="2:16" ht="15.75" thickBot="1" x14ac:dyDescent="0.3">
      <c r="B301" s="108"/>
      <c r="C301" s="108"/>
      <c r="D301" s="108"/>
      <c r="E301" s="108"/>
      <c r="F301" s="108"/>
      <c r="G301" s="108"/>
      <c r="H301" s="108"/>
      <c r="I301" s="108"/>
      <c r="J301" s="108"/>
      <c r="K301" s="108"/>
      <c r="L301" s="108"/>
      <c r="M301" s="108"/>
      <c r="N301" s="108"/>
      <c r="O301" s="108"/>
      <c r="P301" s="108"/>
    </row>
    <row r="302" spans="2:16" ht="15.75" thickBot="1" x14ac:dyDescent="0.3">
      <c r="B302" s="108"/>
      <c r="C302" s="108"/>
      <c r="D302" s="108"/>
      <c r="E302" s="108"/>
      <c r="F302" s="108"/>
      <c r="G302" s="108"/>
      <c r="H302" s="108"/>
      <c r="I302" s="108"/>
      <c r="J302" s="108"/>
      <c r="K302" s="108"/>
      <c r="L302" s="108"/>
      <c r="M302" s="108"/>
      <c r="N302" s="108"/>
      <c r="O302" s="108"/>
      <c r="P302" s="108"/>
    </row>
    <row r="303" spans="2:16" ht="15.75" thickBot="1" x14ac:dyDescent="0.3">
      <c r="B303" s="108"/>
      <c r="C303" s="108"/>
      <c r="D303" s="108"/>
      <c r="E303" s="108"/>
      <c r="F303" s="108"/>
      <c r="G303" s="108"/>
      <c r="H303" s="108"/>
      <c r="I303" s="108"/>
      <c r="J303" s="108"/>
      <c r="K303" s="108"/>
      <c r="L303" s="108"/>
      <c r="M303" s="108"/>
      <c r="N303" s="108"/>
      <c r="O303" s="108"/>
      <c r="P303" s="108"/>
    </row>
    <row r="304" spans="2:16" ht="15.75" thickBot="1" x14ac:dyDescent="0.3">
      <c r="B304" s="108"/>
      <c r="C304" s="108"/>
      <c r="D304" s="108"/>
      <c r="E304" s="108"/>
      <c r="F304" s="108"/>
      <c r="G304" s="108"/>
      <c r="H304" s="108"/>
      <c r="I304" s="108"/>
      <c r="J304" s="108"/>
      <c r="K304" s="108"/>
      <c r="L304" s="108"/>
      <c r="M304" s="108"/>
      <c r="N304" s="108"/>
      <c r="O304" s="108"/>
      <c r="P304" s="108"/>
    </row>
    <row r="305" spans="2:16" ht="15.75" thickBot="1" x14ac:dyDescent="0.3">
      <c r="B305" s="108"/>
      <c r="C305" s="108"/>
      <c r="D305" s="108"/>
      <c r="E305" s="108"/>
      <c r="F305" s="108"/>
      <c r="G305" s="108"/>
      <c r="H305" s="108"/>
      <c r="I305" s="108"/>
      <c r="J305" s="108"/>
      <c r="K305" s="108"/>
      <c r="L305" s="108"/>
      <c r="M305" s="108"/>
      <c r="N305" s="108"/>
      <c r="O305" s="108"/>
      <c r="P305" s="108"/>
    </row>
    <row r="306" spans="2:16" ht="15.75" thickBot="1" x14ac:dyDescent="0.3">
      <c r="B306" s="108"/>
      <c r="C306" s="108"/>
      <c r="D306" s="108"/>
      <c r="E306" s="108"/>
      <c r="F306" s="108"/>
      <c r="G306" s="108"/>
      <c r="H306" s="108"/>
      <c r="I306" s="108"/>
      <c r="J306" s="108"/>
      <c r="K306" s="108"/>
      <c r="L306" s="108"/>
      <c r="M306" s="108"/>
      <c r="N306" s="108"/>
      <c r="O306" s="108"/>
      <c r="P306" s="108"/>
    </row>
    <row r="307" spans="2:16" ht="15.75" thickBot="1" x14ac:dyDescent="0.3">
      <c r="B307" s="108"/>
      <c r="C307" s="108"/>
      <c r="D307" s="108"/>
      <c r="E307" s="108"/>
      <c r="F307" s="108"/>
      <c r="G307" s="108"/>
      <c r="H307" s="108"/>
      <c r="I307" s="108"/>
      <c r="J307" s="108"/>
      <c r="K307" s="108"/>
      <c r="L307" s="108"/>
      <c r="M307" s="108"/>
      <c r="N307" s="108"/>
      <c r="O307" s="108"/>
      <c r="P307" s="108"/>
    </row>
    <row r="308" spans="2:16" ht="15.75" thickBot="1" x14ac:dyDescent="0.3">
      <c r="B308" s="108"/>
      <c r="C308" s="108"/>
      <c r="D308" s="108"/>
      <c r="E308" s="108"/>
      <c r="F308" s="108"/>
      <c r="G308" s="108"/>
      <c r="H308" s="108"/>
      <c r="I308" s="108"/>
      <c r="J308" s="108"/>
      <c r="K308" s="108"/>
      <c r="L308" s="108"/>
      <c r="M308" s="108"/>
      <c r="N308" s="108"/>
      <c r="O308" s="108"/>
      <c r="P308" s="108"/>
    </row>
    <row r="309" spans="2:16" ht="15.75" thickBot="1" x14ac:dyDescent="0.3">
      <c r="B309" s="108"/>
      <c r="C309" s="108"/>
      <c r="D309" s="108"/>
      <c r="E309" s="108"/>
      <c r="F309" s="108"/>
      <c r="G309" s="108"/>
      <c r="H309" s="108"/>
      <c r="I309" s="108"/>
      <c r="J309" s="108"/>
      <c r="K309" s="108"/>
      <c r="L309" s="108"/>
      <c r="M309" s="108"/>
      <c r="N309" s="108"/>
      <c r="O309" s="108"/>
      <c r="P309" s="108"/>
    </row>
    <row r="310" spans="2:16" ht="15.75" thickBot="1" x14ac:dyDescent="0.3">
      <c r="B310" s="108"/>
      <c r="C310" s="108"/>
      <c r="D310" s="108"/>
      <c r="E310" s="108"/>
      <c r="F310" s="108"/>
      <c r="G310" s="108"/>
      <c r="H310" s="108"/>
      <c r="I310" s="108"/>
      <c r="J310" s="108"/>
      <c r="K310" s="108"/>
      <c r="L310" s="108"/>
      <c r="M310" s="108"/>
      <c r="N310" s="108"/>
      <c r="O310" s="108"/>
      <c r="P310" s="108"/>
    </row>
    <row r="311" spans="2:16" ht="15.75" thickBot="1" x14ac:dyDescent="0.3">
      <c r="B311" s="108"/>
      <c r="C311" s="108"/>
      <c r="D311" s="108"/>
      <c r="E311" s="108"/>
      <c r="F311" s="108"/>
      <c r="G311" s="108"/>
      <c r="H311" s="108"/>
      <c r="I311" s="108"/>
      <c r="J311" s="108"/>
      <c r="K311" s="108"/>
      <c r="L311" s="108"/>
      <c r="M311" s="108"/>
      <c r="N311" s="108"/>
      <c r="O311" s="108"/>
      <c r="P311" s="108"/>
    </row>
    <row r="312" spans="2:16" ht="15.75" thickBot="1" x14ac:dyDescent="0.3">
      <c r="B312" s="108"/>
      <c r="C312" s="108"/>
      <c r="D312" s="108"/>
      <c r="E312" s="108"/>
      <c r="F312" s="108"/>
      <c r="G312" s="108"/>
      <c r="H312" s="108"/>
      <c r="I312" s="108"/>
      <c r="J312" s="108"/>
      <c r="K312" s="108"/>
      <c r="L312" s="108"/>
      <c r="M312" s="108"/>
      <c r="N312" s="108"/>
      <c r="O312" s="108"/>
      <c r="P312" s="108"/>
    </row>
    <row r="313" spans="2:16" ht="15.75" thickBot="1" x14ac:dyDescent="0.3">
      <c r="B313" s="108"/>
      <c r="C313" s="108"/>
      <c r="D313" s="108"/>
      <c r="E313" s="108"/>
      <c r="F313" s="108"/>
      <c r="G313" s="108"/>
      <c r="H313" s="108"/>
      <c r="I313" s="108"/>
      <c r="J313" s="108"/>
      <c r="K313" s="108"/>
      <c r="L313" s="108"/>
      <c r="M313" s="108"/>
      <c r="N313" s="108"/>
      <c r="O313" s="108"/>
      <c r="P313" s="108"/>
    </row>
    <row r="314" spans="2:16" ht="15.75" thickBot="1" x14ac:dyDescent="0.3">
      <c r="B314" s="108"/>
      <c r="C314" s="108"/>
      <c r="D314" s="108"/>
      <c r="E314" s="108"/>
      <c r="F314" s="108"/>
      <c r="G314" s="108"/>
      <c r="H314" s="108"/>
      <c r="I314" s="108"/>
      <c r="J314" s="108"/>
      <c r="K314" s="108"/>
      <c r="L314" s="108"/>
      <c r="M314" s="108"/>
      <c r="N314" s="108"/>
      <c r="O314" s="108"/>
      <c r="P314" s="108"/>
    </row>
    <row r="315" spans="2:16" ht="15.75" thickBot="1" x14ac:dyDescent="0.3">
      <c r="B315" s="108"/>
      <c r="C315" s="108"/>
      <c r="D315" s="108"/>
      <c r="E315" s="108"/>
      <c r="F315" s="108"/>
      <c r="G315" s="108"/>
      <c r="H315" s="108"/>
      <c r="I315" s="108"/>
      <c r="J315" s="108"/>
      <c r="K315" s="108"/>
      <c r="L315" s="108"/>
      <c r="M315" s="108"/>
      <c r="N315" s="108"/>
      <c r="O315" s="108"/>
      <c r="P315" s="108"/>
    </row>
    <row r="316" spans="2:16" ht="15.75" thickBot="1" x14ac:dyDescent="0.3">
      <c r="B316" s="108"/>
      <c r="C316" s="108"/>
      <c r="D316" s="108"/>
      <c r="E316" s="108"/>
      <c r="F316" s="108"/>
      <c r="G316" s="108"/>
      <c r="H316" s="108"/>
      <c r="I316" s="108"/>
      <c r="J316" s="108"/>
      <c r="K316" s="108"/>
      <c r="L316" s="108"/>
      <c r="M316" s="108"/>
      <c r="N316" s="108"/>
      <c r="O316" s="108"/>
      <c r="P316" s="108"/>
    </row>
    <row r="317" spans="2:16" ht="15.75" thickBot="1" x14ac:dyDescent="0.3">
      <c r="B317" s="108"/>
      <c r="C317" s="108"/>
      <c r="D317" s="108"/>
      <c r="E317" s="108"/>
      <c r="F317" s="108"/>
      <c r="G317" s="108"/>
      <c r="H317" s="108"/>
      <c r="I317" s="108"/>
      <c r="J317" s="108"/>
      <c r="K317" s="108"/>
      <c r="L317" s="108"/>
      <c r="M317" s="108"/>
      <c r="N317" s="108"/>
      <c r="O317" s="108"/>
      <c r="P317" s="108"/>
    </row>
    <row r="318" spans="2:16" ht="15.75" thickBot="1" x14ac:dyDescent="0.3">
      <c r="B318" s="108"/>
      <c r="C318" s="108"/>
      <c r="D318" s="108"/>
      <c r="E318" s="108"/>
      <c r="F318" s="108"/>
      <c r="G318" s="108"/>
      <c r="H318" s="108"/>
      <c r="I318" s="108"/>
      <c r="J318" s="108"/>
      <c r="K318" s="108"/>
      <c r="L318" s="108"/>
      <c r="M318" s="108"/>
      <c r="N318" s="108"/>
      <c r="O318" s="108"/>
      <c r="P318" s="108"/>
    </row>
    <row r="319" spans="2:16" ht="15.75" thickBot="1" x14ac:dyDescent="0.3">
      <c r="B319" s="108"/>
      <c r="C319" s="108"/>
      <c r="D319" s="108"/>
      <c r="E319" s="108"/>
      <c r="F319" s="108"/>
      <c r="G319" s="108"/>
      <c r="H319" s="108"/>
      <c r="I319" s="108"/>
      <c r="J319" s="108"/>
      <c r="K319" s="108"/>
      <c r="L319" s="108"/>
      <c r="M319" s="108"/>
      <c r="N319" s="108"/>
      <c r="O319" s="108"/>
      <c r="P319" s="108"/>
    </row>
    <row r="320" spans="2:16" ht="15.75" thickBot="1" x14ac:dyDescent="0.3">
      <c r="B320" s="108"/>
      <c r="C320" s="108"/>
      <c r="D320" s="108"/>
      <c r="E320" s="108"/>
      <c r="F320" s="108"/>
      <c r="G320" s="108"/>
      <c r="H320" s="108"/>
      <c r="I320" s="108"/>
      <c r="J320" s="108"/>
      <c r="K320" s="108"/>
      <c r="L320" s="108"/>
      <c r="M320" s="108"/>
      <c r="N320" s="108"/>
      <c r="O320" s="108"/>
      <c r="P320" s="108"/>
    </row>
    <row r="321" spans="2:16" ht="15.75" thickBot="1" x14ac:dyDescent="0.3">
      <c r="B321" s="108"/>
      <c r="C321" s="108"/>
      <c r="D321" s="108"/>
      <c r="E321" s="108"/>
      <c r="F321" s="108"/>
      <c r="G321" s="108"/>
      <c r="H321" s="108"/>
      <c r="I321" s="108"/>
      <c r="J321" s="108"/>
      <c r="K321" s="108"/>
      <c r="L321" s="108"/>
      <c r="M321" s="108"/>
      <c r="N321" s="108"/>
      <c r="O321" s="108"/>
      <c r="P321" s="108"/>
    </row>
    <row r="322" spans="2:16" ht="15.75" thickBot="1" x14ac:dyDescent="0.3">
      <c r="B322" s="108"/>
      <c r="C322" s="108"/>
      <c r="D322" s="108"/>
      <c r="E322" s="108"/>
      <c r="F322" s="108"/>
      <c r="G322" s="108"/>
      <c r="H322" s="108"/>
      <c r="I322" s="108"/>
      <c r="J322" s="108"/>
      <c r="K322" s="108"/>
      <c r="L322" s="108"/>
      <c r="M322" s="108"/>
      <c r="N322" s="108"/>
      <c r="O322" s="108"/>
      <c r="P322" s="108"/>
    </row>
    <row r="323" spans="2:16" ht="15.75" thickBot="1" x14ac:dyDescent="0.3">
      <c r="B323" s="108"/>
      <c r="C323" s="108"/>
      <c r="D323" s="108"/>
      <c r="E323" s="108"/>
      <c r="F323" s="108"/>
      <c r="G323" s="108"/>
      <c r="H323" s="108"/>
      <c r="I323" s="108"/>
      <c r="J323" s="108"/>
      <c r="K323" s="108"/>
      <c r="L323" s="108"/>
      <c r="M323" s="108"/>
      <c r="N323" s="108"/>
      <c r="O323" s="108"/>
      <c r="P323" s="108"/>
    </row>
    <row r="324" spans="2:16" ht="15.75" thickBot="1" x14ac:dyDescent="0.3">
      <c r="B324" s="108"/>
      <c r="C324" s="108"/>
      <c r="D324" s="108"/>
      <c r="E324" s="108"/>
      <c r="F324" s="108"/>
      <c r="G324" s="108"/>
      <c r="H324" s="108"/>
      <c r="I324" s="108"/>
      <c r="J324" s="108"/>
      <c r="K324" s="108"/>
      <c r="L324" s="108"/>
      <c r="M324" s="108"/>
      <c r="N324" s="108"/>
      <c r="O324" s="108"/>
      <c r="P324" s="108"/>
    </row>
    <row r="325" spans="2:16" ht="15.75" thickBot="1" x14ac:dyDescent="0.3">
      <c r="B325" s="108"/>
      <c r="C325" s="108"/>
      <c r="D325" s="108"/>
      <c r="E325" s="108"/>
      <c r="F325" s="108"/>
      <c r="G325" s="108"/>
      <c r="H325" s="108"/>
      <c r="I325" s="108"/>
      <c r="J325" s="108"/>
      <c r="K325" s="108"/>
      <c r="L325" s="108"/>
      <c r="M325" s="108"/>
      <c r="N325" s="108"/>
      <c r="O325" s="108"/>
      <c r="P325" s="108"/>
    </row>
    <row r="326" spans="2:16" ht="15.75" thickBot="1" x14ac:dyDescent="0.3">
      <c r="B326" s="108"/>
      <c r="C326" s="108"/>
      <c r="D326" s="108"/>
      <c r="E326" s="108"/>
      <c r="F326" s="108"/>
      <c r="G326" s="108"/>
      <c r="H326" s="108"/>
      <c r="I326" s="108"/>
      <c r="J326" s="108"/>
      <c r="K326" s="108"/>
      <c r="L326" s="108"/>
      <c r="M326" s="108"/>
      <c r="N326" s="108"/>
      <c r="O326" s="108"/>
      <c r="P326" s="108"/>
    </row>
    <row r="327" spans="2:16" ht="15.75" thickBot="1" x14ac:dyDescent="0.3">
      <c r="B327" s="108"/>
      <c r="C327" s="108"/>
      <c r="D327" s="108"/>
      <c r="E327" s="108"/>
      <c r="F327" s="108"/>
      <c r="G327" s="108"/>
      <c r="H327" s="108"/>
      <c r="I327" s="108"/>
      <c r="J327" s="108"/>
      <c r="K327" s="108"/>
      <c r="L327" s="108"/>
      <c r="M327" s="108"/>
      <c r="N327" s="108"/>
      <c r="O327" s="108"/>
      <c r="P327" s="108"/>
    </row>
    <row r="328" spans="2:16" ht="15.75" thickBot="1" x14ac:dyDescent="0.3">
      <c r="B328" s="108"/>
      <c r="C328" s="108"/>
      <c r="D328" s="108"/>
      <c r="E328" s="108"/>
      <c r="F328" s="108"/>
      <c r="G328" s="108"/>
      <c r="H328" s="108"/>
      <c r="I328" s="108"/>
      <c r="J328" s="108"/>
      <c r="K328" s="108"/>
      <c r="L328" s="108"/>
      <c r="M328" s="108"/>
      <c r="N328" s="108"/>
      <c r="O328" s="108"/>
      <c r="P328" s="108"/>
    </row>
    <row r="329" spans="2:16" ht="15.75" thickBot="1" x14ac:dyDescent="0.3">
      <c r="B329" s="108"/>
      <c r="C329" s="108"/>
      <c r="D329" s="108"/>
      <c r="E329" s="108"/>
      <c r="F329" s="108"/>
      <c r="G329" s="108"/>
      <c r="H329" s="108"/>
      <c r="I329" s="108"/>
      <c r="J329" s="108"/>
      <c r="K329" s="108"/>
      <c r="L329" s="108"/>
      <c r="M329" s="108"/>
      <c r="N329" s="108"/>
      <c r="O329" s="108"/>
      <c r="P329" s="108"/>
    </row>
    <row r="330" spans="2:16" ht="15.75" thickBot="1" x14ac:dyDescent="0.3">
      <c r="B330" s="108"/>
      <c r="C330" s="108"/>
      <c r="D330" s="108"/>
      <c r="E330" s="108"/>
      <c r="F330" s="108"/>
      <c r="G330" s="108"/>
      <c r="H330" s="108"/>
      <c r="I330" s="108"/>
      <c r="J330" s="108"/>
      <c r="K330" s="108"/>
      <c r="L330" s="108"/>
      <c r="M330" s="108"/>
      <c r="N330" s="108"/>
      <c r="O330" s="108"/>
      <c r="P330" s="108"/>
    </row>
    <row r="331" spans="2:16" ht="15.75" thickBot="1" x14ac:dyDescent="0.3">
      <c r="B331" s="108"/>
      <c r="C331" s="108"/>
      <c r="D331" s="108"/>
      <c r="E331" s="108"/>
      <c r="F331" s="108"/>
      <c r="G331" s="108"/>
      <c r="H331" s="108"/>
      <c r="I331" s="108"/>
      <c r="J331" s="108"/>
      <c r="K331" s="108"/>
      <c r="L331" s="108"/>
      <c r="M331" s="108"/>
      <c r="N331" s="108"/>
      <c r="O331" s="108"/>
      <c r="P331" s="108"/>
    </row>
    <row r="332" spans="2:16" ht="15.75" thickBot="1" x14ac:dyDescent="0.3">
      <c r="B332" s="108"/>
      <c r="C332" s="108"/>
      <c r="D332" s="108"/>
      <c r="E332" s="108"/>
      <c r="F332" s="108"/>
      <c r="G332" s="108"/>
      <c r="H332" s="108"/>
      <c r="I332" s="108"/>
      <c r="J332" s="108"/>
      <c r="K332" s="108"/>
      <c r="L332" s="108"/>
      <c r="M332" s="108"/>
      <c r="N332" s="108"/>
      <c r="O332" s="108"/>
      <c r="P332" s="108"/>
    </row>
    <row r="333" spans="2:16" ht="15.75" thickBot="1" x14ac:dyDescent="0.3">
      <c r="B333" s="108"/>
      <c r="C333" s="108"/>
      <c r="D333" s="108"/>
      <c r="E333" s="108"/>
      <c r="F333" s="108"/>
      <c r="G333" s="108"/>
      <c r="H333" s="108"/>
      <c r="I333" s="108"/>
      <c r="J333" s="108"/>
      <c r="K333" s="108"/>
      <c r="L333" s="108"/>
      <c r="M333" s="108"/>
      <c r="N333" s="108"/>
      <c r="O333" s="108"/>
      <c r="P333" s="108"/>
    </row>
    <row r="334" spans="2:16" ht="15.75" thickBot="1" x14ac:dyDescent="0.3">
      <c r="B334" s="108"/>
      <c r="C334" s="108"/>
      <c r="D334" s="108"/>
      <c r="E334" s="108"/>
      <c r="F334" s="108"/>
      <c r="G334" s="108"/>
      <c r="H334" s="108"/>
      <c r="I334" s="108"/>
      <c r="J334" s="108"/>
      <c r="K334" s="108"/>
      <c r="L334" s="108"/>
      <c r="M334" s="108"/>
      <c r="N334" s="108"/>
      <c r="O334" s="108"/>
      <c r="P334" s="108"/>
    </row>
    <row r="335" spans="2:16" ht="15.75" thickBot="1" x14ac:dyDescent="0.3">
      <c r="B335" s="108"/>
      <c r="C335" s="108"/>
      <c r="D335" s="108"/>
      <c r="E335" s="108"/>
      <c r="F335" s="108"/>
      <c r="G335" s="108"/>
      <c r="H335" s="108"/>
      <c r="I335" s="108"/>
      <c r="J335" s="108"/>
      <c r="K335" s="108"/>
      <c r="L335" s="108"/>
      <c r="M335" s="108"/>
      <c r="N335" s="108"/>
      <c r="O335" s="108"/>
      <c r="P335" s="108"/>
    </row>
    <row r="336" spans="2:16" ht="15.75" thickBot="1" x14ac:dyDescent="0.3">
      <c r="B336" s="108"/>
      <c r="C336" s="108"/>
      <c r="D336" s="108"/>
      <c r="E336" s="108"/>
      <c r="F336" s="108"/>
      <c r="G336" s="108"/>
      <c r="H336" s="108"/>
      <c r="I336" s="108"/>
      <c r="J336" s="108"/>
      <c r="K336" s="108"/>
      <c r="L336" s="108"/>
      <c r="M336" s="108"/>
      <c r="N336" s="108"/>
      <c r="O336" s="108"/>
      <c r="P336" s="108"/>
    </row>
    <row r="337" spans="2:16" ht="15.75" thickBot="1" x14ac:dyDescent="0.3">
      <c r="B337" s="108"/>
      <c r="C337" s="108"/>
      <c r="D337" s="108"/>
      <c r="E337" s="108"/>
      <c r="F337" s="108"/>
      <c r="G337" s="108"/>
      <c r="H337" s="108"/>
      <c r="I337" s="108"/>
      <c r="J337" s="108"/>
      <c r="K337" s="108"/>
      <c r="L337" s="108"/>
      <c r="M337" s="108"/>
      <c r="N337" s="108"/>
      <c r="O337" s="108"/>
      <c r="P337" s="108"/>
    </row>
    <row r="338" spans="2:16" ht="15.75" thickBot="1" x14ac:dyDescent="0.3">
      <c r="B338" s="108"/>
      <c r="C338" s="108"/>
      <c r="D338" s="108"/>
      <c r="E338" s="108"/>
      <c r="F338" s="108"/>
      <c r="G338" s="108"/>
      <c r="H338" s="108"/>
      <c r="I338" s="108"/>
      <c r="J338" s="108"/>
      <c r="K338" s="108"/>
      <c r="L338" s="108"/>
      <c r="M338" s="108"/>
      <c r="N338" s="108"/>
      <c r="O338" s="108"/>
      <c r="P338" s="108"/>
    </row>
    <row r="339" spans="2:16" ht="15.75" thickBot="1" x14ac:dyDescent="0.3">
      <c r="B339" s="108"/>
      <c r="C339" s="108"/>
      <c r="D339" s="108"/>
      <c r="E339" s="108"/>
      <c r="F339" s="108"/>
      <c r="G339" s="108"/>
      <c r="H339" s="108"/>
      <c r="I339" s="108"/>
      <c r="J339" s="108"/>
      <c r="K339" s="108"/>
      <c r="L339" s="108"/>
      <c r="M339" s="108"/>
      <c r="N339" s="108"/>
      <c r="O339" s="108"/>
      <c r="P339" s="108"/>
    </row>
    <row r="340" spans="2:16" ht="15.75" thickBot="1" x14ac:dyDescent="0.3">
      <c r="B340" s="108"/>
      <c r="C340" s="108"/>
      <c r="D340" s="108"/>
      <c r="E340" s="108"/>
      <c r="F340" s="108"/>
      <c r="G340" s="108"/>
      <c r="H340" s="108"/>
      <c r="I340" s="108"/>
      <c r="J340" s="108"/>
      <c r="K340" s="108"/>
      <c r="L340" s="108"/>
      <c r="M340" s="108"/>
      <c r="N340" s="108"/>
      <c r="O340" s="108"/>
      <c r="P340" s="108"/>
    </row>
    <row r="341" spans="2:16" ht="15.75" thickBot="1" x14ac:dyDescent="0.3">
      <c r="B341" s="108"/>
      <c r="C341" s="108"/>
      <c r="D341" s="108"/>
      <c r="E341" s="108"/>
      <c r="F341" s="108"/>
      <c r="G341" s="108"/>
      <c r="H341" s="108"/>
      <c r="I341" s="108"/>
      <c r="J341" s="108"/>
      <c r="K341" s="108"/>
      <c r="L341" s="108"/>
      <c r="M341" s="108"/>
      <c r="N341" s="108"/>
      <c r="O341" s="108"/>
      <c r="P341" s="108"/>
    </row>
    <row r="342" spans="2:16" ht="15.75" thickBot="1" x14ac:dyDescent="0.3">
      <c r="B342" s="108"/>
      <c r="C342" s="108"/>
      <c r="D342" s="108"/>
      <c r="E342" s="108"/>
      <c r="F342" s="108"/>
      <c r="G342" s="108"/>
      <c r="H342" s="108"/>
      <c r="I342" s="108"/>
      <c r="J342" s="108"/>
      <c r="K342" s="108"/>
      <c r="L342" s="108"/>
      <c r="M342" s="108"/>
      <c r="N342" s="108"/>
      <c r="O342" s="108"/>
      <c r="P342" s="108"/>
    </row>
    <row r="343" spans="2:16" ht="15.75" thickBot="1" x14ac:dyDescent="0.3">
      <c r="B343" s="108"/>
      <c r="C343" s="108"/>
      <c r="D343" s="108"/>
      <c r="E343" s="108"/>
      <c r="F343" s="108"/>
      <c r="G343" s="108"/>
      <c r="H343" s="108"/>
      <c r="I343" s="108"/>
      <c r="J343" s="108"/>
      <c r="K343" s="108"/>
      <c r="L343" s="108"/>
      <c r="M343" s="108"/>
      <c r="N343" s="108"/>
      <c r="O343" s="108"/>
      <c r="P343" s="108"/>
    </row>
    <row r="344" spans="2:16" ht="15.75" thickBot="1" x14ac:dyDescent="0.3">
      <c r="B344" s="108"/>
      <c r="C344" s="108"/>
      <c r="D344" s="108"/>
      <c r="E344" s="108"/>
      <c r="F344" s="108"/>
      <c r="G344" s="108"/>
      <c r="H344" s="108"/>
      <c r="I344" s="108"/>
      <c r="J344" s="108"/>
      <c r="K344" s="108"/>
      <c r="L344" s="108"/>
      <c r="M344" s="108"/>
      <c r="N344" s="108"/>
      <c r="O344" s="108"/>
      <c r="P344" s="108"/>
    </row>
    <row r="345" spans="2:16" ht="15.75" thickBot="1" x14ac:dyDescent="0.3">
      <c r="B345" s="108"/>
      <c r="C345" s="108"/>
      <c r="D345" s="108"/>
      <c r="E345" s="108"/>
      <c r="F345" s="108"/>
      <c r="G345" s="108"/>
      <c r="H345" s="108"/>
      <c r="I345" s="108"/>
      <c r="J345" s="108"/>
      <c r="K345" s="108"/>
      <c r="L345" s="108"/>
      <c r="M345" s="108"/>
      <c r="N345" s="108"/>
      <c r="O345" s="108"/>
      <c r="P345" s="108"/>
    </row>
    <row r="346" spans="2:16" ht="15.75" thickBot="1" x14ac:dyDescent="0.3">
      <c r="B346" s="108"/>
      <c r="C346" s="108"/>
      <c r="D346" s="108"/>
      <c r="E346" s="108"/>
      <c r="F346" s="108"/>
      <c r="G346" s="108"/>
      <c r="H346" s="108"/>
      <c r="I346" s="108"/>
      <c r="J346" s="108"/>
      <c r="K346" s="108"/>
      <c r="L346" s="108"/>
      <c r="M346" s="108"/>
      <c r="N346" s="108"/>
      <c r="O346" s="108"/>
      <c r="P346" s="108"/>
    </row>
    <row r="347" spans="2:16" ht="15.75" thickBot="1" x14ac:dyDescent="0.3">
      <c r="B347" s="108"/>
      <c r="C347" s="108"/>
      <c r="D347" s="108"/>
      <c r="E347" s="108"/>
      <c r="F347" s="108"/>
      <c r="G347" s="108"/>
      <c r="H347" s="108"/>
      <c r="I347" s="108"/>
      <c r="J347" s="108"/>
      <c r="K347" s="108"/>
      <c r="L347" s="108"/>
      <c r="M347" s="108"/>
      <c r="N347" s="108"/>
      <c r="O347" s="108"/>
      <c r="P347" s="108"/>
    </row>
    <row r="348" spans="2:16" ht="15.75" thickBot="1" x14ac:dyDescent="0.3">
      <c r="B348" s="108"/>
      <c r="C348" s="108"/>
      <c r="D348" s="108"/>
      <c r="E348" s="108"/>
      <c r="F348" s="108"/>
      <c r="G348" s="108"/>
      <c r="H348" s="108"/>
      <c r="I348" s="108"/>
      <c r="J348" s="108"/>
      <c r="K348" s="108"/>
      <c r="L348" s="108"/>
      <c r="M348" s="108"/>
      <c r="N348" s="108"/>
      <c r="O348" s="108"/>
      <c r="P348" s="108"/>
    </row>
    <row r="349" spans="2:16" ht="15.75" thickBot="1" x14ac:dyDescent="0.3">
      <c r="B349" s="108"/>
      <c r="C349" s="108"/>
      <c r="D349" s="108"/>
      <c r="E349" s="108"/>
      <c r="F349" s="108"/>
      <c r="G349" s="108"/>
      <c r="H349" s="108"/>
      <c r="I349" s="108"/>
      <c r="J349" s="108"/>
      <c r="K349" s="108"/>
      <c r="L349" s="108"/>
      <c r="M349" s="108"/>
      <c r="N349" s="108"/>
      <c r="O349" s="108"/>
      <c r="P349" s="108"/>
    </row>
    <row r="350" spans="2:16" ht="15.75" thickBot="1" x14ac:dyDescent="0.3">
      <c r="B350" s="108"/>
      <c r="C350" s="108"/>
      <c r="D350" s="108"/>
      <c r="E350" s="108"/>
      <c r="F350" s="108"/>
      <c r="G350" s="108"/>
      <c r="H350" s="108"/>
      <c r="I350" s="108"/>
      <c r="J350" s="108"/>
      <c r="K350" s="108"/>
      <c r="L350" s="108"/>
      <c r="M350" s="108"/>
      <c r="N350" s="108"/>
      <c r="O350" s="108"/>
      <c r="P350" s="108"/>
    </row>
    <row r="351" spans="2:16" ht="15.75" thickBot="1" x14ac:dyDescent="0.3">
      <c r="B351" s="108"/>
      <c r="C351" s="108"/>
      <c r="D351" s="108"/>
      <c r="E351" s="108"/>
      <c r="F351" s="108"/>
      <c r="G351" s="108"/>
      <c r="H351" s="108"/>
      <c r="I351" s="108"/>
      <c r="J351" s="108"/>
      <c r="K351" s="108"/>
      <c r="L351" s="108"/>
      <c r="M351" s="108"/>
      <c r="N351" s="108"/>
      <c r="O351" s="108"/>
      <c r="P351" s="108"/>
    </row>
    <row r="352" spans="2:16" ht="15.75" thickBot="1" x14ac:dyDescent="0.3">
      <c r="B352" s="108"/>
      <c r="C352" s="108"/>
      <c r="D352" s="108"/>
      <c r="E352" s="108"/>
      <c r="F352" s="108"/>
      <c r="G352" s="108"/>
      <c r="H352" s="108"/>
      <c r="I352" s="108"/>
      <c r="J352" s="108"/>
      <c r="K352" s="108"/>
      <c r="L352" s="108"/>
      <c r="M352" s="108"/>
      <c r="N352" s="108"/>
      <c r="O352" s="108"/>
      <c r="P352" s="108"/>
    </row>
    <row r="353" spans="2:16" ht="15.75" thickBot="1" x14ac:dyDescent="0.3">
      <c r="B353" s="108"/>
      <c r="C353" s="108"/>
      <c r="D353" s="108"/>
      <c r="E353" s="108"/>
      <c r="F353" s="108"/>
      <c r="G353" s="108"/>
      <c r="H353" s="108"/>
      <c r="I353" s="108"/>
      <c r="J353" s="108"/>
      <c r="K353" s="108"/>
      <c r="L353" s="108"/>
      <c r="M353" s="108"/>
      <c r="N353" s="108"/>
      <c r="O353" s="108"/>
      <c r="P353" s="108"/>
    </row>
    <row r="354" spans="2:16" ht="15.75" thickBot="1" x14ac:dyDescent="0.3">
      <c r="B354" s="108"/>
      <c r="C354" s="108"/>
      <c r="D354" s="108"/>
      <c r="E354" s="108"/>
      <c r="F354" s="108"/>
      <c r="G354" s="108"/>
      <c r="H354" s="108"/>
      <c r="I354" s="108"/>
      <c r="J354" s="108"/>
      <c r="K354" s="108"/>
      <c r="L354" s="108"/>
      <c r="M354" s="108"/>
      <c r="N354" s="108"/>
      <c r="O354" s="108"/>
      <c r="P354" s="108"/>
    </row>
    <row r="355" spans="2:16" ht="15.75" thickBot="1" x14ac:dyDescent="0.3">
      <c r="B355" s="108"/>
      <c r="C355" s="108"/>
      <c r="D355" s="108"/>
      <c r="E355" s="108"/>
      <c r="F355" s="108"/>
      <c r="G355" s="108"/>
      <c r="H355" s="108"/>
      <c r="I355" s="108"/>
      <c r="J355" s="108"/>
      <c r="K355" s="108"/>
      <c r="L355" s="108"/>
      <c r="M355" s="108"/>
      <c r="N355" s="108"/>
      <c r="O355" s="108"/>
      <c r="P355" s="108"/>
    </row>
    <row r="356" spans="2:16" ht="15.75" thickBot="1" x14ac:dyDescent="0.3">
      <c r="B356" s="108"/>
      <c r="C356" s="108"/>
      <c r="D356" s="108"/>
      <c r="E356" s="108"/>
      <c r="F356" s="108"/>
      <c r="G356" s="108"/>
      <c r="H356" s="108"/>
      <c r="I356" s="108"/>
      <c r="J356" s="108"/>
      <c r="K356" s="108"/>
      <c r="L356" s="108"/>
      <c r="M356" s="108"/>
      <c r="N356" s="108"/>
      <c r="O356" s="108"/>
      <c r="P356" s="108"/>
    </row>
    <row r="357" spans="2:16" ht="15.75" thickBot="1" x14ac:dyDescent="0.3">
      <c r="B357" s="108"/>
      <c r="C357" s="108"/>
      <c r="D357" s="108"/>
      <c r="E357" s="108"/>
      <c r="F357" s="108"/>
      <c r="G357" s="108"/>
      <c r="H357" s="108"/>
      <c r="I357" s="108"/>
      <c r="J357" s="108"/>
      <c r="K357" s="108"/>
      <c r="L357" s="108"/>
      <c r="M357" s="108"/>
      <c r="N357" s="108"/>
      <c r="O357" s="108"/>
      <c r="P357" s="108"/>
    </row>
    <row r="358" spans="2:16" ht="15.75" thickBot="1" x14ac:dyDescent="0.3">
      <c r="B358" s="108"/>
      <c r="C358" s="108"/>
      <c r="D358" s="108"/>
      <c r="E358" s="108"/>
      <c r="F358" s="108"/>
      <c r="G358" s="108"/>
      <c r="H358" s="108"/>
      <c r="I358" s="108"/>
      <c r="J358" s="108"/>
      <c r="K358" s="108"/>
      <c r="L358" s="108"/>
      <c r="M358" s="108"/>
      <c r="N358" s="108"/>
      <c r="O358" s="108"/>
      <c r="P358" s="108"/>
    </row>
    <row r="359" spans="2:16" ht="15.75" thickBot="1" x14ac:dyDescent="0.3">
      <c r="B359" s="108"/>
      <c r="C359" s="108"/>
      <c r="D359" s="108"/>
      <c r="E359" s="108"/>
      <c r="F359" s="108"/>
      <c r="G359" s="108"/>
      <c r="H359" s="108"/>
      <c r="I359" s="108"/>
      <c r="J359" s="108"/>
      <c r="K359" s="108"/>
      <c r="L359" s="108"/>
      <c r="M359" s="108"/>
      <c r="N359" s="108"/>
      <c r="O359" s="108"/>
      <c r="P359" s="108"/>
    </row>
    <row r="360" spans="2:16" ht="15.75" thickBot="1" x14ac:dyDescent="0.3">
      <c r="B360" s="108"/>
      <c r="C360" s="108"/>
      <c r="D360" s="108"/>
      <c r="E360" s="108"/>
      <c r="F360" s="108"/>
      <c r="G360" s="108"/>
      <c r="H360" s="108"/>
      <c r="I360" s="108"/>
      <c r="J360" s="108"/>
      <c r="K360" s="108"/>
      <c r="L360" s="108"/>
      <c r="M360" s="108"/>
      <c r="N360" s="108"/>
      <c r="O360" s="108"/>
      <c r="P360" s="108"/>
    </row>
    <row r="361" spans="2:16" ht="15.75" thickBot="1" x14ac:dyDescent="0.3">
      <c r="B361" s="108"/>
      <c r="C361" s="108"/>
      <c r="D361" s="108"/>
      <c r="E361" s="108"/>
      <c r="F361" s="108"/>
      <c r="G361" s="108"/>
      <c r="H361" s="108"/>
      <c r="I361" s="108"/>
      <c r="J361" s="108"/>
      <c r="K361" s="108"/>
      <c r="L361" s="108"/>
      <c r="M361" s="108"/>
      <c r="N361" s="108"/>
      <c r="O361" s="108"/>
      <c r="P361" s="108"/>
    </row>
    <row r="362" spans="2:16" ht="15.75" thickBot="1" x14ac:dyDescent="0.3">
      <c r="B362" s="108"/>
      <c r="C362" s="108"/>
      <c r="D362" s="108"/>
      <c r="E362" s="108"/>
      <c r="F362" s="108"/>
      <c r="G362" s="108"/>
      <c r="H362" s="108"/>
      <c r="I362" s="108"/>
      <c r="J362" s="108"/>
      <c r="K362" s="108"/>
      <c r="L362" s="108"/>
      <c r="M362" s="108"/>
      <c r="N362" s="108"/>
      <c r="O362" s="108"/>
      <c r="P362" s="108"/>
    </row>
    <row r="363" spans="2:16" ht="15.75" thickBot="1" x14ac:dyDescent="0.3">
      <c r="B363" s="108"/>
      <c r="C363" s="108"/>
      <c r="D363" s="108"/>
      <c r="E363" s="108"/>
      <c r="F363" s="108"/>
      <c r="G363" s="108"/>
      <c r="H363" s="108"/>
      <c r="I363" s="108"/>
      <c r="J363" s="108"/>
      <c r="K363" s="108"/>
      <c r="L363" s="108"/>
      <c r="M363" s="108"/>
      <c r="N363" s="108"/>
      <c r="O363" s="108"/>
      <c r="P363" s="108"/>
    </row>
    <row r="364" spans="2:16" ht="15.75" thickBot="1" x14ac:dyDescent="0.3">
      <c r="B364" s="108"/>
      <c r="C364" s="108"/>
      <c r="D364" s="108"/>
      <c r="E364" s="108"/>
      <c r="F364" s="108"/>
      <c r="G364" s="108"/>
      <c r="H364" s="108"/>
      <c r="I364" s="108"/>
      <c r="J364" s="108"/>
      <c r="K364" s="108"/>
      <c r="L364" s="108"/>
      <c r="M364" s="108"/>
      <c r="N364" s="108"/>
      <c r="O364" s="108"/>
      <c r="P364" s="108"/>
    </row>
    <row r="365" spans="2:16" ht="15.75" thickBot="1" x14ac:dyDescent="0.3">
      <c r="B365" s="108"/>
      <c r="C365" s="108"/>
      <c r="D365" s="108"/>
      <c r="E365" s="108"/>
      <c r="F365" s="108"/>
      <c r="G365" s="108"/>
      <c r="H365" s="108"/>
      <c r="I365" s="108"/>
      <c r="J365" s="108"/>
      <c r="K365" s="108"/>
      <c r="L365" s="108"/>
      <c r="M365" s="108"/>
      <c r="N365" s="108"/>
      <c r="O365" s="108"/>
      <c r="P365" s="108"/>
    </row>
    <row r="366" spans="2:16" ht="15.75" thickBot="1" x14ac:dyDescent="0.3">
      <c r="B366" s="108"/>
      <c r="C366" s="108"/>
      <c r="D366" s="108"/>
      <c r="E366" s="108"/>
      <c r="F366" s="108"/>
      <c r="G366" s="108"/>
      <c r="H366" s="108"/>
      <c r="I366" s="108"/>
      <c r="J366" s="108"/>
      <c r="K366" s="108"/>
      <c r="L366" s="108"/>
      <c r="M366" s="108"/>
      <c r="N366" s="108"/>
      <c r="O366" s="108"/>
      <c r="P366" s="108"/>
    </row>
    <row r="367" spans="2:16" ht="15.75" thickBot="1" x14ac:dyDescent="0.3">
      <c r="B367" s="108"/>
      <c r="C367" s="108"/>
      <c r="D367" s="108"/>
      <c r="E367" s="108"/>
      <c r="F367" s="108"/>
      <c r="G367" s="108"/>
      <c r="H367" s="108"/>
      <c r="I367" s="108"/>
      <c r="J367" s="108"/>
      <c r="K367" s="108"/>
      <c r="L367" s="108"/>
      <c r="M367" s="108"/>
      <c r="N367" s="108"/>
      <c r="O367" s="108"/>
      <c r="P367" s="108"/>
    </row>
    <row r="368" spans="2:16" ht="15.75" thickBot="1" x14ac:dyDescent="0.3">
      <c r="B368" s="108"/>
      <c r="C368" s="108"/>
      <c r="D368" s="108"/>
      <c r="E368" s="108"/>
      <c r="F368" s="108"/>
      <c r="G368" s="108"/>
      <c r="H368" s="108"/>
      <c r="I368" s="108"/>
      <c r="J368" s="108"/>
      <c r="K368" s="108"/>
      <c r="L368" s="108"/>
      <c r="M368" s="108"/>
      <c r="N368" s="108"/>
      <c r="O368" s="108"/>
      <c r="P368" s="108"/>
    </row>
    <row r="369" spans="2:16" ht="15.75" thickBot="1" x14ac:dyDescent="0.3">
      <c r="B369" s="108"/>
      <c r="C369" s="108"/>
      <c r="D369" s="108"/>
      <c r="E369" s="108"/>
      <c r="F369" s="108"/>
      <c r="G369" s="108"/>
      <c r="H369" s="108"/>
      <c r="I369" s="108"/>
      <c r="J369" s="108"/>
      <c r="K369" s="108"/>
      <c r="L369" s="108"/>
      <c r="M369" s="108"/>
      <c r="N369" s="108"/>
      <c r="O369" s="108"/>
      <c r="P369" s="108"/>
    </row>
    <row r="370" spans="2:16" ht="15.75" thickBot="1" x14ac:dyDescent="0.3">
      <c r="B370" s="108"/>
      <c r="C370" s="108"/>
      <c r="D370" s="108"/>
      <c r="E370" s="108"/>
      <c r="F370" s="108"/>
      <c r="G370" s="108"/>
      <c r="H370" s="108"/>
      <c r="I370" s="108"/>
      <c r="J370" s="108"/>
      <c r="K370" s="108"/>
      <c r="L370" s="108"/>
      <c r="M370" s="108"/>
      <c r="N370" s="108"/>
      <c r="O370" s="108"/>
      <c r="P370" s="108"/>
    </row>
    <row r="371" spans="2:16" ht="15.75" thickBot="1" x14ac:dyDescent="0.3">
      <c r="B371" s="108"/>
      <c r="C371" s="108"/>
      <c r="D371" s="108"/>
      <c r="E371" s="108"/>
      <c r="F371" s="108"/>
      <c r="G371" s="108"/>
      <c r="H371" s="108"/>
      <c r="I371" s="108"/>
      <c r="J371" s="108"/>
      <c r="K371" s="108"/>
      <c r="L371" s="108"/>
      <c r="M371" s="108"/>
      <c r="N371" s="108"/>
      <c r="O371" s="108"/>
      <c r="P371" s="108"/>
    </row>
    <row r="372" spans="2:16" ht="15.75" thickBot="1" x14ac:dyDescent="0.3">
      <c r="B372" s="108"/>
      <c r="C372" s="108"/>
      <c r="D372" s="108"/>
      <c r="E372" s="108"/>
      <c r="F372" s="108"/>
      <c r="G372" s="108"/>
      <c r="H372" s="108"/>
      <c r="I372" s="108"/>
      <c r="J372" s="108"/>
      <c r="K372" s="108"/>
      <c r="L372" s="108"/>
      <c r="M372" s="108"/>
      <c r="N372" s="108"/>
      <c r="O372" s="108"/>
      <c r="P372" s="108"/>
    </row>
    <row r="373" spans="2:16" ht="15.75" thickBot="1" x14ac:dyDescent="0.3">
      <c r="B373" s="108"/>
      <c r="C373" s="108"/>
      <c r="D373" s="108"/>
      <c r="E373" s="108"/>
      <c r="F373" s="108"/>
      <c r="G373" s="108"/>
      <c r="H373" s="108"/>
      <c r="I373" s="108"/>
      <c r="J373" s="108"/>
      <c r="K373" s="108"/>
      <c r="L373" s="108"/>
      <c r="M373" s="108"/>
      <c r="N373" s="108"/>
      <c r="O373" s="108"/>
      <c r="P373" s="108"/>
    </row>
    <row r="374" spans="2:16" ht="15.75" thickBot="1" x14ac:dyDescent="0.3">
      <c r="B374" s="108"/>
      <c r="C374" s="108"/>
      <c r="D374" s="108"/>
      <c r="E374" s="108"/>
      <c r="F374" s="108"/>
      <c r="G374" s="108"/>
      <c r="H374" s="108"/>
      <c r="I374" s="108"/>
      <c r="J374" s="108"/>
      <c r="K374" s="108"/>
      <c r="L374" s="108"/>
      <c r="M374" s="108"/>
      <c r="N374" s="108"/>
      <c r="O374" s="108"/>
      <c r="P374" s="108"/>
    </row>
    <row r="375" spans="2:16" ht="15.75" thickBot="1" x14ac:dyDescent="0.3">
      <c r="B375" s="108"/>
      <c r="C375" s="108"/>
      <c r="D375" s="108"/>
      <c r="E375" s="108"/>
      <c r="F375" s="108"/>
      <c r="G375" s="108"/>
      <c r="H375" s="108"/>
      <c r="I375" s="108"/>
      <c r="J375" s="108"/>
      <c r="K375" s="108"/>
      <c r="L375" s="108"/>
      <c r="M375" s="108"/>
      <c r="N375" s="108"/>
      <c r="O375" s="108"/>
      <c r="P375" s="108"/>
    </row>
    <row r="376" spans="2:16" ht="15.75" thickBot="1" x14ac:dyDescent="0.3">
      <c r="B376" s="108"/>
      <c r="C376" s="108"/>
      <c r="D376" s="108"/>
      <c r="E376" s="108"/>
      <c r="F376" s="108"/>
      <c r="G376" s="108"/>
      <c r="H376" s="108"/>
      <c r="I376" s="108"/>
      <c r="J376" s="108"/>
      <c r="K376" s="108"/>
      <c r="L376" s="108"/>
      <c r="M376" s="108"/>
      <c r="N376" s="108"/>
      <c r="O376" s="108"/>
      <c r="P376" s="108"/>
    </row>
    <row r="377" spans="2:16" ht="15.75" thickBot="1" x14ac:dyDescent="0.3">
      <c r="B377" s="108"/>
      <c r="C377" s="108"/>
      <c r="D377" s="108"/>
      <c r="E377" s="108"/>
      <c r="F377" s="108"/>
      <c r="G377" s="108"/>
      <c r="H377" s="108"/>
      <c r="I377" s="108"/>
      <c r="J377" s="108"/>
      <c r="K377" s="108"/>
      <c r="L377" s="108"/>
      <c r="M377" s="108"/>
      <c r="N377" s="108"/>
      <c r="O377" s="108"/>
      <c r="P377" s="108"/>
    </row>
    <row r="378" spans="2:16" ht="15.75" thickBot="1" x14ac:dyDescent="0.3">
      <c r="B378" s="108"/>
      <c r="C378" s="108"/>
      <c r="D378" s="108"/>
      <c r="E378" s="108"/>
      <c r="F378" s="108"/>
      <c r="G378" s="108"/>
      <c r="H378" s="108"/>
      <c r="I378" s="108"/>
      <c r="J378" s="108"/>
      <c r="K378" s="108"/>
      <c r="L378" s="108"/>
      <c r="M378" s="108"/>
      <c r="N378" s="108"/>
      <c r="O378" s="108"/>
      <c r="P378" s="108"/>
    </row>
    <row r="379" spans="2:16" ht="15.75" thickBot="1" x14ac:dyDescent="0.3">
      <c r="B379" s="108"/>
      <c r="C379" s="108"/>
      <c r="D379" s="108"/>
      <c r="E379" s="108"/>
      <c r="F379" s="108"/>
      <c r="G379" s="108"/>
      <c r="H379" s="108"/>
      <c r="I379" s="108"/>
      <c r="J379" s="108"/>
      <c r="K379" s="108"/>
      <c r="L379" s="108"/>
      <c r="M379" s="108"/>
      <c r="N379" s="108"/>
      <c r="O379" s="108"/>
      <c r="P379" s="108"/>
    </row>
  </sheetData>
  <conditionalFormatting sqref="B7:P7">
    <cfRule type="expression" dxfId="59" priority="1">
      <formula>B$4&lt;&gt;0</formula>
    </cfRule>
  </conditionalFormatting>
  <conditionalFormatting sqref="B8:P50">
    <cfRule type="expression" dxfId="58" priority="2">
      <formula>AND($B8&lt;&gt;0, B$4 &lt;&gt; 0, MOD(ROW(),2) = 1, Format_Rows = "Yes")</formula>
    </cfRule>
    <cfRule type="expression" dxfId="57" priority="3">
      <formula>AND(COUNTIF(8:8, "="&amp; Label_Total)&gt;0,B$4 = "Unit No.")</formula>
    </cfRule>
    <cfRule type="expression" dxfId="55" priority="6">
      <formula>AND(IF(ISERROR(_xlfn._xlws.FILTER(8:8,8:8="Total")), FALSE, TRUE),B$4 = "Unit No.")</formula>
    </cfRule>
  </conditionalFormatting>
  <dataValidations count="2">
    <dataValidation type="list" allowBlank="1" showInputMessage="1" showErrorMessage="1" sqref="B4:P4" xr:uid="{85DF05F7-04AA-46A7-9AD7-8A5C0BCA8EFA}">
      <formula1>List_Rent_Roll_Input</formula1>
    </dataValidation>
    <dataValidation type="list" allowBlank="1" sqref="C2" xr:uid="{D2835E74-0376-4E20-8AF0-28E469AB41CD}">
      <formula1>"Yes, No"</formula1>
    </dataValidation>
  </dataValidations>
  <printOptions horizontalCentered="1"/>
  <pageMargins left="0.5" right="0.5" top="1.75" bottom="0.5" header="0" footer="0"/>
  <pageSetup scale="96" fitToHeight="0" orientation="landscape" r:id="rId1"/>
  <customProperties>
    <customPr name="GUID" r:id="rId2"/>
  </customProperties>
  <extLst>
    <ext xmlns:x14="http://schemas.microsoft.com/office/spreadsheetml/2009/9/main" uri="{78C0D931-6437-407d-A8EE-F0AAD7539E65}">
      <x14:conditionalFormattings>
        <x14:conditionalFormatting xmlns:xm="http://schemas.microsoft.com/office/excel/2006/main">
          <x14:cfRule type="expression" priority="5" id="{00000000-000E-0000-0300-000001000000}">
            <xm:f>AND(IF(ISERROR(_xlfn._xlws.FILTER(8:8,8:8='Rent Roll Input'!$U$4)), FALSE, TRUE),B$4&lt;&gt;0)</xm:f>
            <x14:dxf>
              <fill>
                <patternFill>
                  <bgColor theme="0" tint="-4.9989318521683403E-2"/>
                </patternFill>
              </fill>
              <border>
                <left style="thin">
                  <color theme="0" tint="-4.9989318521683403E-2"/>
                </left>
                <right style="thin">
                  <color theme="0" tint="-4.9989318521683403E-2"/>
                </right>
                <top style="thin">
                  <color theme="2" tint="-0.749961851863155"/>
                </top>
                <bottom style="thin">
                  <color theme="2" tint="-0.749961851863155"/>
                </bottom>
                <vertical/>
                <horizontal/>
              </border>
            </x14:dxf>
          </x14:cfRule>
          <xm:sqref>B8:P50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57F37-F2A0-4970-AAEF-4C9D5008FF05}">
  <sheetPr codeName="Sheet5">
    <tabColor rgb="FF92D050"/>
    <pageSetUpPr fitToPage="1"/>
  </sheetPr>
  <dimension ref="A1:Z101"/>
  <sheetViews>
    <sheetView zoomScaleNormal="100" workbookViewId="0">
      <selection activeCell="C3" sqref="C3"/>
    </sheetView>
  </sheetViews>
  <sheetFormatPr defaultColWidth="8.85546875" defaultRowHeight="15" x14ac:dyDescent="0.25"/>
  <cols>
    <col min="1" max="1" width="18.85546875" customWidth="1"/>
    <col min="2" max="2" width="22.7109375" customWidth="1"/>
    <col min="3" max="3" width="13.85546875" customWidth="1"/>
    <col min="4" max="4" width="11.42578125" style="103" customWidth="1"/>
    <col min="5" max="5" width="20.7109375" customWidth="1"/>
    <col min="6" max="6" width="18.28515625" customWidth="1"/>
    <col min="7" max="7" width="24.140625" customWidth="1"/>
    <col min="8" max="8" width="17.140625" customWidth="1"/>
    <col min="9" max="9" width="17.85546875" customWidth="1"/>
    <col min="10" max="10" width="21" customWidth="1"/>
    <col min="11" max="11" width="16.42578125" customWidth="1"/>
  </cols>
  <sheetData>
    <row r="1" spans="1:26" x14ac:dyDescent="0.25">
      <c r="A1" s="85"/>
      <c r="B1" s="85"/>
      <c r="C1" s="85"/>
      <c r="D1" s="972"/>
      <c r="E1" s="85"/>
      <c r="F1" s="85"/>
      <c r="G1" s="85"/>
      <c r="H1" s="85"/>
      <c r="I1" s="85"/>
      <c r="J1" s="85"/>
      <c r="K1" s="85"/>
      <c r="L1" s="85"/>
      <c r="M1" s="85"/>
      <c r="N1" s="85"/>
      <c r="O1" s="93"/>
      <c r="P1" s="93"/>
      <c r="Q1" s="93"/>
      <c r="R1" s="93"/>
      <c r="S1" s="93"/>
      <c r="T1" s="93"/>
      <c r="U1" s="93"/>
      <c r="V1" s="93"/>
      <c r="W1" s="93"/>
      <c r="X1" s="93"/>
      <c r="Y1" s="93"/>
      <c r="Z1" s="87"/>
    </row>
    <row r="2" spans="1:26" x14ac:dyDescent="0.25">
      <c r="A2" s="85"/>
      <c r="B2" s="85"/>
      <c r="C2" s="85"/>
      <c r="D2" s="972"/>
      <c r="E2" s="85"/>
      <c r="F2" s="85"/>
      <c r="G2" s="85"/>
      <c r="H2" s="85"/>
      <c r="I2" s="85"/>
      <c r="J2" s="85"/>
      <c r="K2" s="85"/>
      <c r="L2" s="85"/>
      <c r="M2" s="85"/>
      <c r="N2" s="85"/>
      <c r="O2" s="85"/>
      <c r="P2" s="85"/>
      <c r="Q2" s="85"/>
      <c r="R2" s="85"/>
      <c r="S2" s="85"/>
      <c r="T2" s="85"/>
      <c r="U2" s="85"/>
      <c r="V2" s="85"/>
      <c r="W2" s="85"/>
      <c r="X2" s="85"/>
      <c r="Y2" s="85"/>
      <c r="Z2" s="89"/>
    </row>
    <row r="3" spans="1:26" ht="32.25" customHeight="1" x14ac:dyDescent="0.25">
      <c r="A3" s="126" t="s">
        <v>393</v>
      </c>
      <c r="B3" s="283"/>
      <c r="C3" s="127" t="s">
        <v>144</v>
      </c>
      <c r="D3" s="127" t="s">
        <v>322</v>
      </c>
      <c r="E3" s="127" t="s">
        <v>325</v>
      </c>
      <c r="F3" s="127" t="s">
        <v>332</v>
      </c>
      <c r="G3" s="127" t="s">
        <v>342</v>
      </c>
      <c r="H3" s="127" t="s">
        <v>313</v>
      </c>
      <c r="I3" s="127" t="s">
        <v>335</v>
      </c>
      <c r="J3" s="127" t="s">
        <v>343</v>
      </c>
      <c r="K3" s="127" t="s">
        <v>315</v>
      </c>
      <c r="L3" s="127"/>
      <c r="M3" s="127"/>
      <c r="N3" s="85"/>
      <c r="O3" s="85"/>
      <c r="P3" s="85"/>
      <c r="Q3" s="85"/>
      <c r="R3" s="85"/>
      <c r="S3" s="85"/>
      <c r="T3" s="85"/>
      <c r="U3" s="85"/>
      <c r="V3" s="85"/>
      <c r="W3" s="85"/>
      <c r="X3" s="85"/>
      <c r="Y3" s="85"/>
      <c r="Z3" s="89"/>
    </row>
    <row r="4" spans="1:26" x14ac:dyDescent="0.25">
      <c r="A4" s="85"/>
      <c r="B4" s="85"/>
      <c r="C4" s="85"/>
      <c r="D4" s="972"/>
      <c r="E4" s="85"/>
      <c r="F4" s="85"/>
      <c r="G4" s="85"/>
      <c r="H4" s="85"/>
      <c r="I4" s="85"/>
      <c r="J4" s="85"/>
      <c r="K4" s="85"/>
      <c r="L4" s="85"/>
      <c r="M4" s="85"/>
      <c r="N4" s="85"/>
      <c r="O4" s="85"/>
      <c r="P4" s="85"/>
      <c r="Q4" s="85"/>
      <c r="R4" s="85"/>
      <c r="S4" s="85"/>
      <c r="T4" s="85"/>
      <c r="U4" s="85"/>
      <c r="V4" s="85"/>
      <c r="W4" s="85"/>
      <c r="X4" s="85"/>
      <c r="Y4" s="85"/>
      <c r="Z4" s="89"/>
    </row>
    <row r="5" spans="1:26" ht="30" x14ac:dyDescent="0.25">
      <c r="A5" s="126" t="s">
        <v>394</v>
      </c>
      <c r="B5" s="282"/>
      <c r="C5" s="302"/>
      <c r="D5" s="302"/>
      <c r="E5" s="302"/>
      <c r="F5" s="302" t="s">
        <v>185</v>
      </c>
      <c r="G5" s="302"/>
      <c r="H5" s="302"/>
      <c r="I5" s="302" t="s">
        <v>185</v>
      </c>
      <c r="J5" s="302"/>
      <c r="K5" s="302"/>
      <c r="L5" s="302"/>
      <c r="M5" s="302"/>
      <c r="N5" s="85"/>
      <c r="O5" s="85"/>
      <c r="P5" s="85"/>
      <c r="Q5" s="85"/>
      <c r="R5" s="85"/>
      <c r="S5" s="85"/>
      <c r="T5" s="85"/>
      <c r="U5" s="85"/>
      <c r="V5" s="85"/>
      <c r="W5" s="85"/>
      <c r="X5" s="85"/>
      <c r="Y5" s="85"/>
      <c r="Z5" s="89"/>
    </row>
    <row r="6" spans="1:26" x14ac:dyDescent="0.25">
      <c r="A6" s="91"/>
      <c r="B6" s="1049"/>
      <c r="C6" s="91"/>
      <c r="D6" s="972"/>
      <c r="E6" s="85"/>
      <c r="F6" s="85"/>
      <c r="G6" s="85"/>
      <c r="H6" s="85"/>
      <c r="I6" s="85"/>
      <c r="J6" s="85"/>
      <c r="K6" s="85"/>
      <c r="L6" s="91"/>
      <c r="M6" s="91"/>
      <c r="N6" s="85"/>
      <c r="O6" s="85"/>
      <c r="P6" s="85"/>
      <c r="Q6" s="85"/>
      <c r="R6" s="85"/>
      <c r="S6" s="85"/>
      <c r="T6" s="85"/>
      <c r="U6" s="85"/>
      <c r="V6" s="85"/>
      <c r="W6" s="85"/>
      <c r="X6" s="85"/>
      <c r="Y6" s="85"/>
      <c r="Z6" s="89"/>
    </row>
    <row r="7" spans="1:26" x14ac:dyDescent="0.25">
      <c r="A7" s="85"/>
      <c r="B7" s="91"/>
      <c r="C7" s="91"/>
      <c r="D7" s="973"/>
      <c r="E7" s="91"/>
      <c r="F7" s="1105"/>
      <c r="G7" s="1105"/>
      <c r="H7" s="1105"/>
      <c r="I7" s="1105"/>
      <c r="J7" s="91"/>
      <c r="K7" s="91"/>
      <c r="L7" s="91"/>
      <c r="M7" s="91"/>
      <c r="N7" s="85"/>
      <c r="O7" s="85"/>
      <c r="P7" s="85"/>
      <c r="Q7" s="85"/>
      <c r="R7" s="85"/>
      <c r="S7" s="85"/>
      <c r="T7" s="85"/>
      <c r="U7" s="85"/>
      <c r="V7" s="85"/>
      <c r="W7" s="85"/>
      <c r="X7" s="85"/>
      <c r="Y7" s="85"/>
      <c r="Z7" s="89"/>
    </row>
    <row r="8" spans="1:26" ht="27" x14ac:dyDescent="0.25">
      <c r="A8" s="89"/>
      <c r="B8" s="526" t="s">
        <v>256</v>
      </c>
      <c r="C8" s="345" t="str">
        <f t="shared" ref="C8:J8" si="0">IF(C3="", "",C3)</f>
        <v>Total Units</v>
      </c>
      <c r="D8" s="345" t="str">
        <f t="shared" si="0"/>
        <v>Avg Sq Ft</v>
      </c>
      <c r="E8" s="345" t="str">
        <f t="shared" si="0"/>
        <v>Rental Range - Scheduled</v>
      </c>
      <c r="F8" s="345" t="str">
        <f t="shared" si="0"/>
        <v>Avg Rent Mo - Scheduled</v>
      </c>
      <c r="G8" s="345" t="str">
        <f t="shared" si="0"/>
        <v>Avg Rent / SF / Mo - Scheduled</v>
      </c>
      <c r="H8" s="345" t="str">
        <f t="shared" si="0"/>
        <v>Monthly Income - Scheduled</v>
      </c>
      <c r="I8" s="345" t="str">
        <f t="shared" si="0"/>
        <v>Avg Rent Mo - Potential</v>
      </c>
      <c r="J8" s="345" t="str">
        <f t="shared" si="0"/>
        <v>Avg Rent / SF / Mo - Potential</v>
      </c>
      <c r="K8" s="345" t="str">
        <f t="shared" ref="K8:M8" si="1">IF(K3="", "",K3)</f>
        <v>Monthly Income - Potential</v>
      </c>
      <c r="L8" s="345" t="str">
        <f t="shared" si="1"/>
        <v/>
      </c>
      <c r="M8" s="345" t="str">
        <f t="shared" si="1"/>
        <v/>
      </c>
      <c r="N8" s="88"/>
      <c r="O8" s="85"/>
      <c r="P8" s="85"/>
      <c r="Q8" s="85"/>
      <c r="R8" s="85"/>
      <c r="S8" s="85"/>
      <c r="T8" s="85"/>
      <c r="U8" s="85"/>
      <c r="V8" s="85"/>
      <c r="W8" s="85"/>
      <c r="X8" s="85"/>
      <c r="Y8" s="85"/>
      <c r="Z8" s="89"/>
    </row>
    <row r="9" spans="1:26" x14ac:dyDescent="0.25">
      <c r="A9" s="85"/>
      <c r="B9" s="122" t="str" cm="1">
        <f t="array" ref="B9:B11">IF(COUNTIF(5:5, "Yes") &gt; 0, _xlfn._xlws.FILTER('Rent Roll Calculations'!A3:A33,'Rent Roll Calculations'!A3:A33&lt;&gt;""), _xlfn._xlws.FILTER('Rent Roll Calculations'!A3:A31,'Rent Roll Calculations'!A3:A31&lt;&gt;""))</f>
        <v>Totals/Weighted Averages</v>
      </c>
      <c r="C9" s="125" cm="1">
        <f t="array" aca="1" ref="C9" ca="1">IF(C5="Yes",IFERROR(INDEX(_xlfn._xlws.FILTER('Rent Roll Calculations'!$A$3:$AH$33,'Rent Roll Calculations'!$A$3:$A$33&lt;&gt;""),0,MATCH(C3,Rent_Roll_Calculations_Headers,0)),""),IFERROR(INDEX(_xlfn._xlws.FILTER('Rent Roll Calculations'!$A$3:$AH$31,'Rent Roll Calculations'!$A$3:$A$31&lt;&gt;""),0,MATCH(C3,Rent_Roll_Calculations_Headers,0)),""))</f>
        <v>0</v>
      </c>
      <c r="D9" s="974" t="str" cm="1">
        <f t="array" aca="1" ref="D9" ca="1">IF(D5="Yes",IFERROR(INDEX(_xlfn._xlws.FILTER('Rent Roll Calculations'!$A$3:$AH$33,'Rent Roll Calculations'!$A$3:$A$33&lt;&gt;""),0,MATCH(D3,Rent_Roll_Calculations_Headers,0)),""),IFERROR(INDEX(_xlfn._xlws.FILTER('Rent Roll Calculations'!$A$3:$AH$31,'Rent Roll Calculations'!$A$3:$A$31&lt;&gt;""),0,MATCH(D3,Rent_Roll_Calculations_Headers,0)),""))</f>
        <v/>
      </c>
      <c r="E9" s="122" t="str" cm="1">
        <f t="array" aca="1" ref="E9" ca="1">IF(E5="Yes",IFERROR(INDEX(_xlfn._xlws.FILTER('Rent Roll Calculations'!$A$3:$AH$33,'Rent Roll Calculations'!$A$3:$A$33&lt;&gt;""),0,MATCH(E3,Rent_Roll_Calculations_Headers,0)),""),IFERROR(INDEX(_xlfn._xlws.FILTER('Rent Roll Calculations'!$A$3:$AH$31,'Rent Roll Calculations'!$A$3:$A$31&lt;&gt;""),0,MATCH(E3,Rent_Roll_Calculations_Headers,0)),""))</f>
        <v/>
      </c>
      <c r="F9" s="122" t="str" cm="1">
        <f t="array" aca="1" ref="F9:F11" ca="1">IF(F5="Yes",IFERROR(INDEX(_xlfn._xlws.FILTER('Rent Roll Calculations'!$A$3:$AH$33,'Rent Roll Calculations'!$A$3:$A$33&lt;&gt;""),0,MATCH(F3,Rent_Roll_Calculations_Headers,0)),""),IFERROR(INDEX(_xlfn._xlws.FILTER('Rent Roll Calculations'!$A$3:$AH$31,'Rent Roll Calculations'!$A$3:$A$31&lt;&gt;""),0,MATCH(F3,Rent_Roll_Calculations_Headers,0)),""))</f>
        <v/>
      </c>
      <c r="G9" s="121" t="str" cm="1">
        <f t="array" aca="1" ref="G9" ca="1">IF(G5="Yes",IFERROR(INDEX(_xlfn._xlws.FILTER('Rent Roll Calculations'!$A$3:$AH$33,'Rent Roll Calculations'!$A$3:$A$33&lt;&gt;""),0,MATCH(G3,Rent_Roll_Calculations_Headers,0)),""),IFERROR(INDEX(_xlfn._xlws.FILTER('Rent Roll Calculations'!$A$3:$AH$31,'Rent Roll Calculations'!$A$3:$A$31&lt;&gt;""),0,MATCH(G3,Rent_Roll_Calculations_Headers,0)),""))</f>
        <v/>
      </c>
      <c r="H9" s="122" cm="1">
        <f t="array" aca="1" ref="H9" ca="1">IF(H5="Yes",IFERROR(INDEX(_xlfn._xlws.FILTER('Rent Roll Calculations'!$A$3:$AH$33,'Rent Roll Calculations'!$A$3:$A$33&lt;&gt;""),0,MATCH(H3,Rent_Roll_Calculations_Headers,0)),""),IFERROR(INDEX(_xlfn._xlws.FILTER('Rent Roll Calculations'!$A$3:$AH$31,'Rent Roll Calculations'!$A$3:$A$31&lt;&gt;""),0,MATCH(H3,Rent_Roll_Calculations_Headers,0)),""))</f>
        <v>0</v>
      </c>
      <c r="I9" s="122" t="str" cm="1">
        <f t="array" aca="1" ref="I9:I11" ca="1">IF(I5="Yes",IFERROR(INDEX(_xlfn._xlws.FILTER('Rent Roll Calculations'!$A$3:$AH$33,'Rent Roll Calculations'!$A$3:$A$33&lt;&gt;""),0,MATCH(I3,Rent_Roll_Calculations_Headers,0)),""),IFERROR(INDEX(_xlfn._xlws.FILTER('Rent Roll Calculations'!$A$3:$AH$31,'Rent Roll Calculations'!$A$3:$A$31&lt;&gt;""),0,MATCH(I3,Rent_Roll_Calculations_Headers,0)),""))</f>
        <v/>
      </c>
      <c r="J9" s="121" t="str" cm="1">
        <f t="array" aca="1" ref="J9" ca="1">IF(J5="Yes",IFERROR(INDEX(_xlfn._xlws.FILTER('Rent Roll Calculations'!$A$3:$AH$33,'Rent Roll Calculations'!$A$3:$A$33&lt;&gt;""),0,MATCH(J3,Rent_Roll_Calculations_Headers,0)),""),IFERROR(INDEX(_xlfn._xlws.FILTER('Rent Roll Calculations'!$A$3:$AH$31,'Rent Roll Calculations'!$A$3:$A$31&lt;&gt;""),0,MATCH(J3,Rent_Roll_Calculations_Headers,0)),""))</f>
        <v/>
      </c>
      <c r="K9" s="122" cm="1">
        <f t="array" aca="1" ref="K9" ca="1">IF(K5="Yes",IFERROR(INDEX(_xlfn._xlws.FILTER('Rent Roll Calculations'!$A$3:$AH$33,'Rent Roll Calculations'!$A$3:$A$33&lt;&gt;""),0,MATCH(K3,Rent_Roll_Calculations_Headers,0)),""),IFERROR(INDEX(_xlfn._xlws.FILTER('Rent Roll Calculations'!$A$3:$AH$31,'Rent Roll Calculations'!$A$3:$A$31&lt;&gt;""),0,MATCH(K3,Rent_Roll_Calculations_Headers,0)),""))</f>
        <v>0</v>
      </c>
      <c r="L9" s="122" t="str" cm="1">
        <f t="array" aca="1" ref="L9" ca="1">IF(L5="Yes",IFERROR(INDEX(_xlfn._xlws.FILTER('Rent Roll Calculations'!$A$3:$AH$33,'Rent Roll Calculations'!$A$3:$A$33&lt;&gt;""),0,MATCH(L3,Rent_Roll_Calculations_Headers,0)),""),IFERROR(INDEX(_xlfn._xlws.FILTER('Rent Roll Calculations'!$A$3:$AH$31,'Rent Roll Calculations'!$A$3:$A$31&lt;&gt;""),0,MATCH(L3,Rent_Roll_Calculations_Headers,0)),""))</f>
        <v/>
      </c>
      <c r="M9" s="122" t="str" cm="1">
        <f t="array" aca="1" ref="M9" ca="1">IF(M5="Yes",IFERROR(INDEX(_xlfn._xlws.FILTER('Rent Roll Calculations'!$A$3:$AH$33,'Rent Roll Calculations'!$A$3:$A$33&lt;&gt;""),0,MATCH(M3,Rent_Roll_Calculations_Headers,0)),""),IFERROR(INDEX(_xlfn._xlws.FILTER('Rent Roll Calculations'!$A$3:$AH$31,'Rent Roll Calculations'!$A$3:$A$31&lt;&gt;""),0,MATCH(M3,Rent_Roll_Calculations_Headers,0)),""))</f>
        <v/>
      </c>
      <c r="N9" s="85"/>
      <c r="O9" s="85"/>
      <c r="P9" s="85"/>
      <c r="Q9" s="85"/>
      <c r="R9" s="85"/>
      <c r="S9" s="85"/>
      <c r="T9" s="85"/>
      <c r="U9" s="85"/>
      <c r="V9" s="85"/>
      <c r="W9" s="85"/>
      <c r="X9" s="85"/>
      <c r="Y9" s="85"/>
      <c r="Z9" s="89"/>
    </row>
    <row r="10" spans="1:26" x14ac:dyDescent="0.25">
      <c r="A10" s="85"/>
      <c r="B10" s="115">
        <v>0</v>
      </c>
      <c r="C10" s="123"/>
      <c r="D10" s="975"/>
      <c r="E10" s="116"/>
      <c r="F10" s="116">
        <f ca="1"/>
        <v>0</v>
      </c>
      <c r="G10" s="117"/>
      <c r="H10" s="116"/>
      <c r="I10" s="116">
        <f ca="1"/>
        <v>0</v>
      </c>
      <c r="J10" s="117"/>
      <c r="K10" s="116"/>
      <c r="L10" s="116"/>
      <c r="M10" s="116"/>
      <c r="N10" s="85"/>
      <c r="O10" s="85"/>
      <c r="P10" s="85"/>
      <c r="Q10" s="85"/>
      <c r="R10" s="85"/>
      <c r="S10" s="85"/>
      <c r="T10" s="85"/>
      <c r="U10" s="85"/>
      <c r="V10" s="85"/>
      <c r="W10" s="85"/>
      <c r="X10" s="85"/>
      <c r="Y10" s="85"/>
      <c r="Z10" s="89"/>
    </row>
    <row r="11" spans="1:26" x14ac:dyDescent="0.25">
      <c r="A11" s="85"/>
      <c r="B11" s="115" t="str">
        <v>Gross Annualized Rents</v>
      </c>
      <c r="C11" s="123"/>
      <c r="D11" s="975"/>
      <c r="E11" s="116"/>
      <c r="F11" s="116">
        <f ca="1"/>
        <v>0</v>
      </c>
      <c r="G11" s="117"/>
      <c r="H11" s="116"/>
      <c r="I11" s="116">
        <f ca="1"/>
        <v>0</v>
      </c>
      <c r="J11" s="117"/>
      <c r="K11" s="116"/>
      <c r="L11" s="116"/>
      <c r="M11" s="116"/>
      <c r="N11" s="85"/>
      <c r="O11" s="85"/>
      <c r="P11" s="85"/>
      <c r="Q11" s="85"/>
      <c r="R11" s="85"/>
      <c r="S11" s="85"/>
      <c r="T11" s="85"/>
      <c r="U11" s="85"/>
      <c r="V11" s="85"/>
      <c r="W11" s="85"/>
      <c r="X11" s="85"/>
      <c r="Y11" s="85"/>
      <c r="Z11" s="89"/>
    </row>
    <row r="12" spans="1:26" x14ac:dyDescent="0.25">
      <c r="A12" s="85"/>
      <c r="B12" s="115"/>
      <c r="C12" s="123"/>
      <c r="D12" s="975"/>
      <c r="E12" s="116"/>
      <c r="F12" s="116"/>
      <c r="G12" s="117"/>
      <c r="H12" s="116"/>
      <c r="I12" s="116"/>
      <c r="J12" s="117"/>
      <c r="K12" s="116"/>
      <c r="L12" s="116"/>
      <c r="M12" s="116"/>
      <c r="N12" s="85"/>
      <c r="O12" s="85"/>
      <c r="P12" s="85"/>
      <c r="Q12" s="85"/>
      <c r="R12" s="85"/>
      <c r="S12" s="85"/>
      <c r="T12" s="85"/>
      <c r="U12" s="85"/>
      <c r="V12" s="85"/>
      <c r="W12" s="85"/>
      <c r="X12" s="85"/>
      <c r="Y12" s="85"/>
      <c r="Z12" s="89"/>
    </row>
    <row r="13" spans="1:26" x14ac:dyDescent="0.25">
      <c r="A13" s="85"/>
      <c r="B13" s="124"/>
      <c r="C13" s="123"/>
      <c r="D13" s="975"/>
      <c r="E13" s="116"/>
      <c r="F13" s="116"/>
      <c r="G13" s="117"/>
      <c r="H13" s="116"/>
      <c r="I13" s="116"/>
      <c r="J13" s="117"/>
      <c r="K13" s="116"/>
      <c r="L13" s="116"/>
      <c r="M13" s="116"/>
      <c r="N13" s="85"/>
      <c r="O13" s="85"/>
      <c r="P13" s="85"/>
      <c r="Q13" s="85"/>
      <c r="R13" s="85"/>
      <c r="S13" s="85"/>
      <c r="T13" s="85"/>
      <c r="U13" s="85"/>
      <c r="V13" s="85"/>
      <c r="W13" s="85"/>
      <c r="X13" s="85"/>
      <c r="Y13" s="85"/>
      <c r="Z13" s="89"/>
    </row>
    <row r="14" spans="1:26" x14ac:dyDescent="0.25">
      <c r="A14" s="85"/>
      <c r="B14" s="115"/>
      <c r="C14" s="123"/>
      <c r="D14" s="975"/>
      <c r="E14" s="116"/>
      <c r="F14" s="116"/>
      <c r="G14" s="117"/>
      <c r="H14" s="116"/>
      <c r="I14" s="116"/>
      <c r="J14" s="117"/>
      <c r="K14" s="116"/>
      <c r="L14" s="116"/>
      <c r="M14" s="116"/>
      <c r="N14" s="85"/>
      <c r="O14" s="976"/>
      <c r="P14" s="85" t="str" cm="1">
        <f t="array" ref="P14">{" "}</f>
        <v xml:space="preserve"> </v>
      </c>
      <c r="Q14" s="85"/>
      <c r="R14" s="85"/>
      <c r="S14" s="85"/>
      <c r="T14" s="85"/>
      <c r="U14" s="85"/>
      <c r="V14" s="85"/>
      <c r="W14" s="85"/>
      <c r="X14" s="85"/>
      <c r="Y14" s="85"/>
      <c r="Z14" s="89"/>
    </row>
    <row r="15" spans="1:26" x14ac:dyDescent="0.25">
      <c r="A15" s="85"/>
      <c r="B15" s="115"/>
      <c r="C15" s="115"/>
      <c r="D15" s="975"/>
      <c r="E15" s="116"/>
      <c r="F15" s="116"/>
      <c r="G15" s="117"/>
      <c r="H15" s="116"/>
      <c r="I15" s="116"/>
      <c r="J15" s="117"/>
      <c r="K15" s="116"/>
      <c r="L15" s="116"/>
      <c r="M15" s="116"/>
      <c r="N15" s="85"/>
      <c r="O15" s="85"/>
      <c r="P15" s="85"/>
      <c r="Q15" s="85"/>
      <c r="R15" s="85"/>
      <c r="S15" s="85"/>
      <c r="T15" s="85"/>
      <c r="U15" s="85"/>
      <c r="V15" s="85"/>
      <c r="W15" s="85"/>
      <c r="X15" s="85"/>
      <c r="Y15" s="85"/>
      <c r="Z15" s="89"/>
    </row>
    <row r="16" spans="1:26" x14ac:dyDescent="0.25">
      <c r="A16" s="85"/>
      <c r="B16" s="115"/>
      <c r="C16" s="115"/>
      <c r="D16" s="975"/>
      <c r="E16" s="116"/>
      <c r="F16" s="116"/>
      <c r="G16" s="117"/>
      <c r="H16" s="116"/>
      <c r="I16" s="116"/>
      <c r="J16" s="117"/>
      <c r="K16" s="116"/>
      <c r="L16" s="116"/>
      <c r="M16" s="116"/>
      <c r="N16" s="85"/>
      <c r="O16" s="85"/>
      <c r="P16" s="85"/>
      <c r="Q16" s="85"/>
      <c r="R16" s="85"/>
      <c r="S16" s="85"/>
      <c r="T16" s="85"/>
      <c r="U16" s="85"/>
      <c r="V16" s="85"/>
      <c r="W16" s="85"/>
      <c r="X16" s="85"/>
      <c r="Y16" s="85"/>
      <c r="Z16" s="89"/>
    </row>
    <row r="17" spans="1:26" x14ac:dyDescent="0.25">
      <c r="A17" s="85"/>
      <c r="B17" s="115"/>
      <c r="C17" s="115"/>
      <c r="D17" s="975"/>
      <c r="E17" s="116"/>
      <c r="F17" s="116"/>
      <c r="G17" s="117"/>
      <c r="H17" s="116"/>
      <c r="I17" s="116"/>
      <c r="J17" s="117"/>
      <c r="K17" s="116"/>
      <c r="L17" s="116"/>
      <c r="M17" s="116"/>
      <c r="N17" s="85"/>
      <c r="O17" s="85"/>
      <c r="P17" s="85"/>
      <c r="Q17" s="85"/>
      <c r="R17" s="85"/>
      <c r="S17" s="85"/>
      <c r="T17" s="85"/>
      <c r="U17" s="85"/>
      <c r="V17" s="85"/>
      <c r="W17" s="85"/>
      <c r="X17" s="85"/>
      <c r="Y17" s="85"/>
      <c r="Z17" s="89"/>
    </row>
    <row r="18" spans="1:26" x14ac:dyDescent="0.25">
      <c r="A18" s="85"/>
      <c r="B18" s="115"/>
      <c r="C18" s="115"/>
      <c r="D18" s="975"/>
      <c r="E18" s="116"/>
      <c r="F18" s="116"/>
      <c r="G18" s="117"/>
      <c r="H18" s="116"/>
      <c r="I18" s="116"/>
      <c r="J18" s="117"/>
      <c r="K18" s="116"/>
      <c r="L18" s="116"/>
      <c r="M18" s="116"/>
      <c r="N18" s="85"/>
      <c r="O18" s="85"/>
      <c r="P18" s="85"/>
      <c r="Q18" s="85"/>
      <c r="R18" s="85"/>
      <c r="S18" s="85"/>
      <c r="T18" s="85"/>
      <c r="U18" s="85"/>
      <c r="V18" s="85"/>
      <c r="W18" s="85"/>
      <c r="X18" s="85"/>
      <c r="Y18" s="85"/>
      <c r="Z18" s="89"/>
    </row>
    <row r="19" spans="1:26" x14ac:dyDescent="0.25">
      <c r="A19" s="85"/>
      <c r="B19" s="115"/>
      <c r="C19" s="115"/>
      <c r="D19" s="975"/>
      <c r="E19" s="116"/>
      <c r="F19" s="116"/>
      <c r="G19" s="117"/>
      <c r="H19" s="116"/>
      <c r="I19" s="116"/>
      <c r="J19" s="117"/>
      <c r="K19" s="116"/>
      <c r="L19" s="116"/>
      <c r="M19" s="116"/>
      <c r="N19" s="85"/>
      <c r="O19" s="85"/>
      <c r="P19" s="85"/>
      <c r="Q19" s="85"/>
      <c r="R19" s="85"/>
      <c r="S19" s="85"/>
      <c r="T19" s="85"/>
      <c r="U19" s="85"/>
      <c r="V19" s="85"/>
      <c r="W19" s="85"/>
      <c r="X19" s="85"/>
      <c r="Y19" s="85"/>
      <c r="Z19" s="89"/>
    </row>
    <row r="20" spans="1:26" x14ac:dyDescent="0.25">
      <c r="A20" s="85"/>
      <c r="B20" s="115"/>
      <c r="C20" s="115"/>
      <c r="D20" s="975"/>
      <c r="E20" s="116"/>
      <c r="F20" s="116"/>
      <c r="G20" s="117"/>
      <c r="H20" s="116"/>
      <c r="I20" s="116"/>
      <c r="J20" s="117"/>
      <c r="K20" s="116"/>
      <c r="L20" s="116"/>
      <c r="M20" s="116"/>
      <c r="N20" s="85"/>
      <c r="O20" s="85"/>
      <c r="P20" s="85"/>
      <c r="Q20" s="85"/>
      <c r="R20" s="85"/>
      <c r="S20" s="85"/>
      <c r="T20" s="85"/>
      <c r="U20" s="85"/>
      <c r="V20" s="85"/>
      <c r="W20" s="85"/>
      <c r="X20" s="85"/>
      <c r="Y20" s="85"/>
      <c r="Z20" s="89"/>
    </row>
    <row r="21" spans="1:26" x14ac:dyDescent="0.25">
      <c r="A21" s="85"/>
      <c r="B21" s="115"/>
      <c r="C21" s="115"/>
      <c r="D21" s="975"/>
      <c r="E21" s="116"/>
      <c r="F21" s="116"/>
      <c r="G21" s="117"/>
      <c r="H21" s="116"/>
      <c r="I21" s="116"/>
      <c r="J21" s="117"/>
      <c r="K21" s="116"/>
      <c r="L21" s="116"/>
      <c r="M21" s="116"/>
      <c r="N21" s="85"/>
      <c r="O21" s="85"/>
      <c r="P21" s="85"/>
      <c r="Q21" s="85"/>
      <c r="R21" s="85"/>
      <c r="S21" s="85"/>
      <c r="T21" s="85"/>
      <c r="U21" s="85"/>
      <c r="V21" s="85"/>
      <c r="W21" s="85"/>
      <c r="X21" s="85"/>
      <c r="Y21" s="85"/>
      <c r="Z21" s="89"/>
    </row>
    <row r="22" spans="1:26" x14ac:dyDescent="0.25">
      <c r="A22" s="85"/>
      <c r="B22" s="115"/>
      <c r="C22" s="115"/>
      <c r="D22" s="975"/>
      <c r="E22" s="116"/>
      <c r="F22" s="116"/>
      <c r="G22" s="116"/>
      <c r="H22" s="116"/>
      <c r="I22" s="116"/>
      <c r="J22" s="116"/>
      <c r="K22" s="116"/>
      <c r="L22" s="116"/>
      <c r="M22" s="116"/>
      <c r="N22" s="85"/>
      <c r="O22" s="85"/>
      <c r="P22" s="85"/>
      <c r="Q22" s="85"/>
      <c r="R22" s="85"/>
      <c r="S22" s="85"/>
      <c r="T22" s="85"/>
      <c r="U22" s="85"/>
      <c r="V22" s="85"/>
      <c r="W22" s="85"/>
      <c r="X22" s="85"/>
      <c r="Y22" s="85"/>
      <c r="Z22" s="89"/>
    </row>
    <row r="23" spans="1:26" x14ac:dyDescent="0.25">
      <c r="A23" s="85"/>
      <c r="B23" s="115"/>
      <c r="C23" s="115"/>
      <c r="D23" s="975"/>
      <c r="E23" s="116"/>
      <c r="F23" s="116"/>
      <c r="G23" s="116"/>
      <c r="H23" s="116"/>
      <c r="I23" s="116"/>
      <c r="J23" s="116"/>
      <c r="K23" s="116"/>
      <c r="L23" s="116"/>
      <c r="M23" s="116"/>
      <c r="N23" s="85"/>
      <c r="O23" s="85"/>
      <c r="P23" s="85"/>
      <c r="Q23" s="85"/>
      <c r="R23" s="85"/>
      <c r="S23" s="85"/>
      <c r="T23" s="85"/>
      <c r="U23" s="85"/>
      <c r="V23" s="85"/>
      <c r="W23" s="85"/>
      <c r="X23" s="85"/>
      <c r="Y23" s="85"/>
      <c r="Z23" s="89"/>
    </row>
    <row r="24" spans="1:26" x14ac:dyDescent="0.25">
      <c r="A24" s="85"/>
      <c r="B24" s="115"/>
      <c r="C24" s="115"/>
      <c r="D24" s="975"/>
      <c r="E24" s="116"/>
      <c r="F24" s="116"/>
      <c r="G24" s="116"/>
      <c r="H24" s="116"/>
      <c r="I24" s="116"/>
      <c r="J24" s="116"/>
      <c r="K24" s="116"/>
      <c r="L24" s="116"/>
      <c r="M24" s="116"/>
      <c r="N24" s="85"/>
      <c r="O24" s="85"/>
      <c r="P24" s="85"/>
      <c r="Q24" s="85"/>
      <c r="R24" s="85"/>
      <c r="S24" s="85"/>
      <c r="T24" s="85"/>
      <c r="U24" s="85"/>
      <c r="V24" s="85"/>
      <c r="W24" s="85"/>
      <c r="X24" s="85"/>
      <c r="Y24" s="85"/>
      <c r="Z24" s="89"/>
    </row>
    <row r="25" spans="1:26" x14ac:dyDescent="0.25">
      <c r="A25" s="85"/>
      <c r="B25" s="115"/>
      <c r="C25" s="115"/>
      <c r="D25" s="975"/>
      <c r="E25" s="116"/>
      <c r="F25" s="116"/>
      <c r="G25" s="116"/>
      <c r="H25" s="116"/>
      <c r="I25" s="116"/>
      <c r="J25" s="116"/>
      <c r="K25" s="116"/>
      <c r="L25" s="116"/>
      <c r="M25" s="116"/>
      <c r="N25" s="85"/>
      <c r="O25" s="85"/>
      <c r="P25" s="85"/>
      <c r="Q25" s="85"/>
      <c r="R25" s="85"/>
      <c r="S25" s="85"/>
      <c r="T25" s="85"/>
      <c r="U25" s="85"/>
      <c r="V25" s="85"/>
      <c r="W25" s="85"/>
      <c r="X25" s="85"/>
      <c r="Y25" s="85"/>
      <c r="Z25" s="89"/>
    </row>
    <row r="26" spans="1:26" x14ac:dyDescent="0.25">
      <c r="A26" s="85"/>
      <c r="B26" s="115"/>
      <c r="C26" s="115"/>
      <c r="D26" s="975"/>
      <c r="E26" s="116"/>
      <c r="F26" s="116"/>
      <c r="G26" s="116"/>
      <c r="H26" s="116"/>
      <c r="I26" s="116"/>
      <c r="J26" s="116"/>
      <c r="K26" s="116"/>
      <c r="L26" s="116"/>
      <c r="M26" s="116"/>
      <c r="N26" s="85"/>
      <c r="O26" s="85"/>
      <c r="P26" s="85"/>
      <c r="Q26" s="85"/>
      <c r="R26" s="85"/>
      <c r="S26" s="85"/>
      <c r="T26" s="85"/>
      <c r="U26" s="85"/>
      <c r="V26" s="85"/>
      <c r="W26" s="85"/>
      <c r="X26" s="85"/>
      <c r="Y26" s="85"/>
      <c r="Z26" s="89"/>
    </row>
    <row r="27" spans="1:26" x14ac:dyDescent="0.25">
      <c r="A27" s="85"/>
      <c r="B27" s="115"/>
      <c r="C27" s="115"/>
      <c r="D27" s="975"/>
      <c r="E27" s="116"/>
      <c r="F27" s="116"/>
      <c r="G27" s="116"/>
      <c r="H27" s="116"/>
      <c r="I27" s="116"/>
      <c r="J27" s="116"/>
      <c r="K27" s="116"/>
      <c r="L27" s="116"/>
      <c r="M27" s="116"/>
      <c r="N27" s="85"/>
      <c r="O27" s="85"/>
      <c r="P27" s="85"/>
      <c r="Q27" s="85"/>
      <c r="R27" s="85"/>
      <c r="S27" s="85"/>
      <c r="T27" s="85"/>
      <c r="U27" s="85"/>
      <c r="V27" s="85"/>
      <c r="W27" s="85"/>
      <c r="X27" s="85"/>
      <c r="Y27" s="85"/>
      <c r="Z27" s="89"/>
    </row>
    <row r="28" spans="1:26" x14ac:dyDescent="0.25">
      <c r="A28" s="85"/>
      <c r="B28" s="115"/>
      <c r="C28" s="115"/>
      <c r="D28" s="975"/>
      <c r="E28" s="116"/>
      <c r="F28" s="116"/>
      <c r="G28" s="116"/>
      <c r="H28" s="116"/>
      <c r="I28" s="116"/>
      <c r="J28" s="116"/>
      <c r="K28" s="116"/>
      <c r="L28" s="116"/>
      <c r="M28" s="116"/>
      <c r="N28" s="85"/>
      <c r="O28" s="85"/>
      <c r="P28" s="85"/>
      <c r="Q28" s="85"/>
      <c r="R28" s="85"/>
      <c r="S28" s="85"/>
      <c r="T28" s="85"/>
      <c r="U28" s="85"/>
      <c r="V28" s="85"/>
      <c r="W28" s="85"/>
      <c r="X28" s="85"/>
      <c r="Y28" s="85"/>
      <c r="Z28" s="89"/>
    </row>
    <row r="29" spans="1:26" x14ac:dyDescent="0.25">
      <c r="A29" s="85"/>
      <c r="B29" s="115"/>
      <c r="C29" s="115"/>
      <c r="D29" s="975"/>
      <c r="E29" s="116"/>
      <c r="F29" s="116"/>
      <c r="G29" s="116"/>
      <c r="H29" s="116"/>
      <c r="I29" s="116"/>
      <c r="J29" s="116"/>
      <c r="K29" s="116"/>
      <c r="L29" s="116"/>
      <c r="M29" s="116"/>
      <c r="N29" s="85"/>
      <c r="O29" s="85"/>
      <c r="P29" s="85"/>
      <c r="Q29" s="85"/>
      <c r="R29" s="85"/>
      <c r="S29" s="85"/>
      <c r="T29" s="85"/>
      <c r="U29" s="85"/>
      <c r="V29" s="85"/>
      <c r="W29" s="85"/>
      <c r="X29" s="85"/>
      <c r="Y29" s="85"/>
      <c r="Z29" s="89"/>
    </row>
    <row r="30" spans="1:26" x14ac:dyDescent="0.25">
      <c r="A30" s="85"/>
      <c r="B30" s="115"/>
      <c r="C30" s="115"/>
      <c r="D30" s="975"/>
      <c r="E30" s="116"/>
      <c r="F30" s="116"/>
      <c r="G30" s="116"/>
      <c r="H30" s="116"/>
      <c r="I30" s="116"/>
      <c r="J30" s="116"/>
      <c r="K30" s="116"/>
      <c r="L30" s="116"/>
      <c r="M30" s="116"/>
      <c r="N30" s="85"/>
      <c r="O30" s="85"/>
      <c r="P30" s="85"/>
      <c r="Q30" s="85"/>
      <c r="R30" s="85"/>
      <c r="S30" s="85"/>
      <c r="T30" s="85"/>
      <c r="U30" s="85"/>
      <c r="V30" s="85"/>
      <c r="W30" s="85"/>
      <c r="X30" s="85"/>
      <c r="Y30" s="85"/>
      <c r="Z30" s="89"/>
    </row>
    <row r="31" spans="1:26" x14ac:dyDescent="0.25">
      <c r="A31" s="85"/>
      <c r="B31" s="115"/>
      <c r="C31" s="115"/>
      <c r="D31" s="975"/>
      <c r="E31" s="116"/>
      <c r="F31" s="116"/>
      <c r="G31" s="116"/>
      <c r="H31" s="116"/>
      <c r="I31" s="116"/>
      <c r="J31" s="116"/>
      <c r="K31" s="116"/>
      <c r="L31" s="116"/>
      <c r="M31" s="116"/>
      <c r="N31" s="85"/>
      <c r="O31" s="85"/>
      <c r="P31" s="85"/>
      <c r="Q31" s="85"/>
      <c r="R31" s="85"/>
      <c r="S31" s="85"/>
      <c r="T31" s="85"/>
      <c r="U31" s="85"/>
      <c r="V31" s="85"/>
      <c r="W31" s="85"/>
      <c r="X31" s="85"/>
      <c r="Y31" s="85"/>
      <c r="Z31" s="89"/>
    </row>
    <row r="32" spans="1:26" x14ac:dyDescent="0.25">
      <c r="A32" s="85"/>
      <c r="B32" s="115"/>
      <c r="C32" s="115"/>
      <c r="D32" s="975"/>
      <c r="E32" s="116"/>
      <c r="F32" s="116"/>
      <c r="G32" s="116"/>
      <c r="H32" s="116"/>
      <c r="I32" s="116"/>
      <c r="J32" s="116"/>
      <c r="K32" s="116"/>
      <c r="L32" s="116"/>
      <c r="M32" s="116"/>
      <c r="N32" s="85"/>
      <c r="O32" s="85"/>
      <c r="P32" s="85"/>
      <c r="Q32" s="85"/>
      <c r="R32" s="85"/>
      <c r="S32" s="85"/>
      <c r="T32" s="85"/>
      <c r="U32" s="85"/>
      <c r="V32" s="85"/>
      <c r="W32" s="85"/>
      <c r="X32" s="85"/>
      <c r="Y32" s="85"/>
      <c r="Z32" s="89"/>
    </row>
    <row r="33" spans="1:26" x14ac:dyDescent="0.25">
      <c r="A33" s="85"/>
      <c r="B33" s="115"/>
      <c r="C33" s="115"/>
      <c r="D33" s="975"/>
      <c r="E33" s="116"/>
      <c r="F33" s="116"/>
      <c r="G33" s="116"/>
      <c r="H33" s="116"/>
      <c r="I33" s="116"/>
      <c r="J33" s="116"/>
      <c r="K33" s="116"/>
      <c r="L33" s="116"/>
      <c r="M33" s="116"/>
      <c r="N33" s="85"/>
      <c r="O33" s="85"/>
      <c r="P33" s="85"/>
      <c r="Q33" s="85"/>
      <c r="R33" s="85"/>
      <c r="S33" s="85"/>
      <c r="T33" s="85"/>
      <c r="U33" s="85"/>
      <c r="V33" s="85"/>
      <c r="W33" s="85"/>
      <c r="X33" s="85"/>
      <c r="Y33" s="85"/>
      <c r="Z33" s="89"/>
    </row>
    <row r="34" spans="1:26" x14ac:dyDescent="0.25">
      <c r="A34" s="85"/>
      <c r="B34" s="115"/>
      <c r="C34" s="115"/>
      <c r="D34" s="975"/>
      <c r="E34" s="116"/>
      <c r="F34" s="116"/>
      <c r="G34" s="116"/>
      <c r="H34" s="116"/>
      <c r="I34" s="116"/>
      <c r="J34" s="116"/>
      <c r="K34" s="116"/>
      <c r="L34" s="116"/>
      <c r="M34" s="116"/>
      <c r="N34" s="85"/>
      <c r="O34" s="85"/>
      <c r="P34" s="85"/>
      <c r="Q34" s="85"/>
      <c r="R34" s="85"/>
      <c r="S34" s="85"/>
      <c r="T34" s="85"/>
      <c r="U34" s="85"/>
      <c r="V34" s="85"/>
      <c r="W34" s="85"/>
      <c r="X34" s="85"/>
      <c r="Y34" s="85"/>
      <c r="Z34" s="89"/>
    </row>
    <row r="35" spans="1:26" x14ac:dyDescent="0.25">
      <c r="A35" s="85"/>
      <c r="B35" s="115"/>
      <c r="C35" s="115"/>
      <c r="D35" s="975"/>
      <c r="E35" s="116"/>
      <c r="F35" s="116"/>
      <c r="G35" s="116"/>
      <c r="H35" s="116"/>
      <c r="I35" s="116"/>
      <c r="J35" s="116"/>
      <c r="K35" s="116"/>
      <c r="L35" s="116"/>
      <c r="M35" s="116"/>
      <c r="N35" s="85"/>
      <c r="O35" s="85"/>
      <c r="P35" s="85"/>
      <c r="Q35" s="85"/>
      <c r="R35" s="85"/>
      <c r="S35" s="85"/>
      <c r="T35" s="85"/>
      <c r="U35" s="85"/>
      <c r="V35" s="85"/>
      <c r="W35" s="85"/>
      <c r="X35" s="85"/>
      <c r="Y35" s="85"/>
      <c r="Z35" s="89"/>
    </row>
    <row r="36" spans="1:26" x14ac:dyDescent="0.25">
      <c r="A36" s="85"/>
      <c r="B36" s="115"/>
      <c r="C36" s="115"/>
      <c r="D36" s="975"/>
      <c r="E36" s="116"/>
      <c r="F36" s="116"/>
      <c r="G36" s="116"/>
      <c r="H36" s="116"/>
      <c r="I36" s="116"/>
      <c r="J36" s="116"/>
      <c r="K36" s="116"/>
      <c r="L36" s="116"/>
      <c r="M36" s="116"/>
      <c r="N36" s="85"/>
      <c r="O36" s="85"/>
      <c r="P36" s="85"/>
      <c r="Q36" s="85"/>
      <c r="R36" s="85"/>
      <c r="S36" s="85"/>
      <c r="T36" s="85"/>
      <c r="U36" s="85"/>
      <c r="V36" s="85"/>
      <c r="W36" s="85"/>
      <c r="X36" s="85"/>
      <c r="Y36" s="85"/>
      <c r="Z36" s="89"/>
    </row>
    <row r="37" spans="1:26" x14ac:dyDescent="0.25">
      <c r="A37" s="85"/>
      <c r="B37" s="115"/>
      <c r="C37" s="115"/>
      <c r="D37" s="975"/>
      <c r="E37" s="116"/>
      <c r="F37" s="116"/>
      <c r="G37" s="116"/>
      <c r="H37" s="116"/>
      <c r="I37" s="116"/>
      <c r="J37" s="116"/>
      <c r="K37" s="116"/>
      <c r="L37" s="116"/>
      <c r="M37" s="116"/>
      <c r="N37" s="85"/>
      <c r="O37" s="85"/>
      <c r="P37" s="85"/>
      <c r="Q37" s="85"/>
      <c r="R37" s="85"/>
      <c r="S37" s="85"/>
      <c r="T37" s="85"/>
      <c r="U37" s="85"/>
      <c r="V37" s="85"/>
      <c r="W37" s="85"/>
      <c r="X37" s="85"/>
      <c r="Y37" s="85"/>
      <c r="Z37" s="89"/>
    </row>
    <row r="38" spans="1:26" x14ac:dyDescent="0.25">
      <c r="A38" s="85"/>
      <c r="B38" s="115"/>
      <c r="C38" s="115"/>
      <c r="D38" s="975"/>
      <c r="E38" s="116"/>
      <c r="F38" s="116"/>
      <c r="G38" s="116"/>
      <c r="H38" s="116"/>
      <c r="I38" s="116"/>
      <c r="J38" s="116"/>
      <c r="K38" s="116"/>
      <c r="L38" s="116"/>
      <c r="M38" s="116"/>
      <c r="N38" s="85"/>
      <c r="O38" s="85"/>
      <c r="P38" s="85"/>
      <c r="Q38" s="85"/>
      <c r="R38" s="85"/>
      <c r="S38" s="85"/>
      <c r="T38" s="85"/>
      <c r="U38" s="85"/>
      <c r="V38" s="85"/>
      <c r="W38" s="85"/>
      <c r="X38" s="85"/>
      <c r="Y38" s="85"/>
      <c r="Z38" s="89"/>
    </row>
    <row r="39" spans="1:26" x14ac:dyDescent="0.25">
      <c r="A39" s="85"/>
      <c r="B39" s="115"/>
      <c r="C39" s="115"/>
      <c r="D39" s="975"/>
      <c r="E39" s="116"/>
      <c r="F39" s="116"/>
      <c r="G39" s="116"/>
      <c r="I39" s="116"/>
      <c r="J39" s="116"/>
      <c r="K39" s="116"/>
      <c r="L39" s="116"/>
      <c r="M39" s="116"/>
      <c r="N39" s="85"/>
      <c r="O39" s="85"/>
      <c r="P39" s="85"/>
      <c r="Q39" s="85"/>
      <c r="R39" s="85"/>
      <c r="S39" s="85"/>
      <c r="T39" s="85"/>
      <c r="U39" s="85"/>
      <c r="V39" s="85"/>
      <c r="W39" s="85"/>
      <c r="X39" s="85"/>
      <c r="Y39" s="85"/>
      <c r="Z39" s="89"/>
    </row>
    <row r="40" spans="1:26" x14ac:dyDescent="0.25">
      <c r="A40" s="85"/>
      <c r="B40" s="115"/>
      <c r="C40" s="115"/>
      <c r="D40" s="975"/>
      <c r="E40" s="116"/>
      <c r="F40" s="116"/>
      <c r="G40" s="116"/>
      <c r="H40" s="116"/>
      <c r="I40" s="116"/>
      <c r="J40" s="116"/>
      <c r="K40" s="116"/>
      <c r="L40" s="116"/>
      <c r="M40" s="116"/>
      <c r="N40" s="85"/>
      <c r="O40" s="85"/>
      <c r="P40" s="85"/>
      <c r="Q40" s="85"/>
      <c r="R40" s="85"/>
      <c r="S40" s="85"/>
      <c r="T40" s="85"/>
      <c r="U40" s="85"/>
      <c r="V40" s="85"/>
      <c r="W40" s="85"/>
      <c r="X40" s="85"/>
      <c r="Y40" s="85"/>
      <c r="Z40" s="89"/>
    </row>
    <row r="41" spans="1:26" x14ac:dyDescent="0.25">
      <c r="A41" s="85"/>
      <c r="B41" s="115"/>
      <c r="C41" s="115"/>
      <c r="D41" s="975"/>
      <c r="E41" s="116"/>
      <c r="F41" s="116"/>
      <c r="G41" s="116"/>
      <c r="H41" s="116"/>
      <c r="I41" s="116"/>
      <c r="J41" s="116"/>
      <c r="K41" s="116"/>
      <c r="L41" s="116"/>
      <c r="M41" s="116"/>
      <c r="N41" s="85"/>
      <c r="O41" s="85"/>
      <c r="P41" s="85"/>
      <c r="Q41" s="85"/>
      <c r="R41" s="85"/>
      <c r="S41" s="85"/>
      <c r="T41" s="85"/>
      <c r="U41" s="85"/>
      <c r="V41" s="85"/>
      <c r="W41" s="85"/>
      <c r="X41" s="85"/>
      <c r="Y41" s="85"/>
      <c r="Z41" s="89"/>
    </row>
    <row r="42" spans="1:26" x14ac:dyDescent="0.25">
      <c r="A42" s="85"/>
      <c r="B42" s="115"/>
      <c r="C42" s="115"/>
      <c r="D42" s="975"/>
      <c r="E42" s="116"/>
      <c r="F42" s="116"/>
      <c r="G42" s="116"/>
      <c r="H42" s="116"/>
      <c r="I42" s="116"/>
      <c r="J42" s="116"/>
      <c r="K42" s="116"/>
      <c r="L42" s="116"/>
      <c r="M42" s="116"/>
      <c r="N42" s="85"/>
      <c r="O42" s="85"/>
      <c r="P42" s="85"/>
      <c r="Q42" s="85"/>
      <c r="R42" s="85"/>
      <c r="S42" s="85"/>
      <c r="T42" s="85"/>
      <c r="U42" s="85"/>
      <c r="V42" s="85"/>
      <c r="W42" s="85"/>
      <c r="X42" s="85"/>
      <c r="Y42" s="85"/>
      <c r="Z42" s="89"/>
    </row>
    <row r="43" spans="1:26" x14ac:dyDescent="0.25">
      <c r="A43" s="85"/>
      <c r="B43" s="115"/>
      <c r="C43" s="115"/>
      <c r="D43" s="975"/>
      <c r="E43" s="116"/>
      <c r="F43" s="116"/>
      <c r="G43" s="116"/>
      <c r="H43" s="116"/>
      <c r="I43" s="116"/>
      <c r="J43" s="116"/>
      <c r="K43" s="116"/>
      <c r="L43" s="116"/>
      <c r="M43" s="116"/>
      <c r="N43" s="85"/>
      <c r="O43" s="85"/>
      <c r="P43" s="85"/>
      <c r="Q43" s="85"/>
      <c r="R43" s="85"/>
      <c r="S43" s="85"/>
      <c r="T43" s="85"/>
      <c r="U43" s="85"/>
      <c r="V43" s="85"/>
      <c r="W43" s="85"/>
      <c r="X43" s="85"/>
      <c r="Y43" s="85"/>
      <c r="Z43" s="89"/>
    </row>
    <row r="44" spans="1:26" x14ac:dyDescent="0.25">
      <c r="A44" s="85"/>
      <c r="B44" s="115"/>
      <c r="C44" s="115"/>
      <c r="D44" s="975"/>
      <c r="E44" s="116"/>
      <c r="F44" s="116"/>
      <c r="G44" s="116"/>
      <c r="H44" s="116"/>
      <c r="I44" s="116"/>
      <c r="J44" s="116"/>
      <c r="K44" s="116"/>
      <c r="L44" s="116"/>
      <c r="M44" s="116"/>
      <c r="N44" s="85"/>
      <c r="O44" s="85"/>
      <c r="P44" s="85"/>
      <c r="Q44" s="85"/>
      <c r="R44" s="85"/>
      <c r="S44" s="85"/>
      <c r="T44" s="85"/>
      <c r="U44" s="85"/>
      <c r="V44" s="85"/>
      <c r="W44" s="85"/>
      <c r="X44" s="85"/>
      <c r="Y44" s="85"/>
      <c r="Z44" s="89"/>
    </row>
    <row r="45" spans="1:26" x14ac:dyDescent="0.25">
      <c r="A45" s="85"/>
      <c r="B45" s="115"/>
      <c r="C45" s="115"/>
      <c r="D45" s="975"/>
      <c r="E45" s="116"/>
      <c r="F45" s="116"/>
      <c r="G45" s="116"/>
      <c r="H45" s="116"/>
      <c r="I45" s="116"/>
      <c r="J45" s="116"/>
      <c r="K45" s="116"/>
      <c r="L45" s="116"/>
      <c r="M45" s="116"/>
      <c r="N45" s="85"/>
      <c r="O45" s="85"/>
      <c r="P45" s="85"/>
      <c r="Q45" s="85"/>
      <c r="R45" s="85"/>
      <c r="S45" s="85"/>
      <c r="T45" s="85"/>
      <c r="U45" s="85"/>
      <c r="V45" s="85"/>
      <c r="W45" s="85"/>
      <c r="X45" s="85"/>
      <c r="Y45" s="85"/>
      <c r="Z45" s="89"/>
    </row>
    <row r="46" spans="1:26" x14ac:dyDescent="0.25">
      <c r="A46" s="85"/>
      <c r="B46" s="115"/>
      <c r="C46" s="115"/>
      <c r="D46" s="975"/>
      <c r="E46" s="116"/>
      <c r="F46" s="116"/>
      <c r="G46" s="116"/>
      <c r="I46" s="116"/>
      <c r="J46" s="116"/>
      <c r="K46" s="116"/>
      <c r="L46" s="116"/>
      <c r="M46" s="116"/>
      <c r="N46" s="85"/>
      <c r="O46" s="85"/>
      <c r="P46" s="85"/>
      <c r="Q46" s="85"/>
      <c r="R46" s="85"/>
      <c r="S46" s="85"/>
      <c r="T46" s="85"/>
      <c r="U46" s="85"/>
      <c r="V46" s="85"/>
      <c r="W46" s="85"/>
      <c r="X46" s="85"/>
      <c r="Y46" s="85"/>
      <c r="Z46" s="89"/>
    </row>
    <row r="47" spans="1:26" x14ac:dyDescent="0.25">
      <c r="A47" s="85"/>
      <c r="B47" s="115"/>
      <c r="C47" s="115"/>
      <c r="D47" s="975"/>
      <c r="E47" s="116"/>
      <c r="F47" s="116"/>
      <c r="G47" s="116"/>
      <c r="H47" s="116"/>
      <c r="I47" s="116"/>
      <c r="J47" s="116"/>
      <c r="K47" s="116"/>
      <c r="L47" s="116"/>
      <c r="M47" s="116"/>
      <c r="N47" s="85"/>
      <c r="O47" s="85"/>
      <c r="P47" s="85"/>
      <c r="Q47" s="85"/>
      <c r="R47" s="85"/>
      <c r="S47" s="85"/>
      <c r="T47" s="85"/>
      <c r="U47" s="85"/>
      <c r="V47" s="85"/>
      <c r="W47" s="85"/>
      <c r="X47" s="85"/>
      <c r="Y47" s="85"/>
      <c r="Z47" s="89"/>
    </row>
    <row r="48" spans="1:26" x14ac:dyDescent="0.25">
      <c r="A48" s="85"/>
      <c r="B48" s="115"/>
      <c r="C48" s="115"/>
      <c r="D48" s="975"/>
      <c r="E48" s="116"/>
      <c r="F48" s="116"/>
      <c r="G48" s="116"/>
      <c r="H48" s="116"/>
      <c r="I48" s="116"/>
      <c r="J48" s="116"/>
      <c r="K48" s="116"/>
      <c r="L48" s="116"/>
      <c r="M48" s="116"/>
      <c r="N48" s="85"/>
      <c r="O48" s="85"/>
      <c r="P48" s="85"/>
      <c r="Q48" s="85"/>
      <c r="R48" s="85"/>
      <c r="S48" s="85"/>
      <c r="T48" s="85"/>
      <c r="U48" s="85"/>
      <c r="V48" s="85"/>
      <c r="W48" s="85"/>
      <c r="X48" s="85"/>
      <c r="Y48" s="85"/>
      <c r="Z48" s="89"/>
    </row>
    <row r="49" spans="1:26" x14ac:dyDescent="0.25">
      <c r="A49" s="85"/>
      <c r="B49" s="115"/>
      <c r="C49" s="115"/>
      <c r="D49" s="975"/>
      <c r="E49" s="116"/>
      <c r="F49" s="116"/>
      <c r="G49" s="116"/>
      <c r="H49" s="116"/>
      <c r="I49" s="116"/>
      <c r="J49" s="116"/>
      <c r="K49" s="116"/>
      <c r="L49" s="116"/>
      <c r="M49" s="116"/>
      <c r="N49" s="85"/>
      <c r="O49" s="85"/>
      <c r="P49" s="85"/>
      <c r="Q49" s="85"/>
      <c r="R49" s="85"/>
      <c r="S49" s="85"/>
      <c r="T49" s="85"/>
      <c r="U49" s="85"/>
      <c r="V49" s="85"/>
      <c r="W49" s="85"/>
      <c r="X49" s="85"/>
      <c r="Y49" s="85"/>
      <c r="Z49" s="89"/>
    </row>
    <row r="50" spans="1:26" x14ac:dyDescent="0.25">
      <c r="A50" s="85"/>
      <c r="B50" s="115"/>
      <c r="C50" s="115"/>
      <c r="D50" s="975"/>
      <c r="E50" s="116"/>
      <c r="F50" s="116"/>
      <c r="G50" s="116"/>
      <c r="H50" s="116"/>
      <c r="I50" s="116"/>
      <c r="J50" s="116"/>
      <c r="K50" s="116"/>
      <c r="L50" s="116"/>
      <c r="M50" s="116"/>
      <c r="N50" s="85"/>
      <c r="O50" s="85"/>
      <c r="P50" s="85"/>
      <c r="Q50" s="85"/>
      <c r="R50" s="85"/>
      <c r="S50" s="85"/>
      <c r="T50" s="85"/>
      <c r="U50" s="85"/>
      <c r="V50" s="85"/>
      <c r="W50" s="85"/>
      <c r="X50" s="85"/>
      <c r="Y50" s="85"/>
      <c r="Z50" s="89"/>
    </row>
    <row r="51" spans="1:26" x14ac:dyDescent="0.25">
      <c r="A51" s="85"/>
      <c r="B51" s="115"/>
      <c r="C51" s="115"/>
      <c r="D51" s="975"/>
      <c r="E51" s="116"/>
      <c r="F51" s="116"/>
      <c r="G51" s="116"/>
      <c r="H51" s="116"/>
      <c r="I51" s="116"/>
      <c r="J51" s="116"/>
      <c r="K51" s="116"/>
      <c r="L51" s="116"/>
      <c r="M51" s="116"/>
      <c r="N51" s="85"/>
      <c r="O51" s="85"/>
      <c r="P51" s="85"/>
      <c r="Q51" s="85"/>
      <c r="R51" s="85"/>
      <c r="S51" s="85"/>
      <c r="T51" s="85"/>
      <c r="U51" s="85"/>
      <c r="V51" s="85"/>
      <c r="W51" s="85"/>
      <c r="X51" s="85"/>
      <c r="Y51" s="85"/>
      <c r="Z51" s="89"/>
    </row>
    <row r="52" spans="1:26" x14ac:dyDescent="0.25">
      <c r="A52" s="85"/>
      <c r="B52" s="115"/>
      <c r="C52" s="115"/>
      <c r="D52" s="975"/>
      <c r="E52" s="116"/>
      <c r="F52" s="116"/>
      <c r="G52" s="116"/>
      <c r="H52" s="116"/>
      <c r="I52" s="116"/>
      <c r="J52" s="116"/>
      <c r="K52" s="116"/>
      <c r="L52" s="116"/>
      <c r="M52" s="116"/>
      <c r="N52" s="85"/>
      <c r="O52" s="85"/>
      <c r="P52" s="85"/>
      <c r="Q52" s="85"/>
      <c r="R52" s="85"/>
      <c r="S52" s="85"/>
      <c r="T52" s="85"/>
      <c r="U52" s="85"/>
      <c r="V52" s="85"/>
      <c r="W52" s="85"/>
      <c r="X52" s="85"/>
      <c r="Y52" s="85"/>
      <c r="Z52" s="89"/>
    </row>
    <row r="53" spans="1:26" x14ac:dyDescent="0.25">
      <c r="A53" s="85"/>
      <c r="B53" s="115"/>
      <c r="C53" s="115"/>
      <c r="D53" s="303"/>
      <c r="E53" s="116"/>
      <c r="F53" s="116"/>
      <c r="G53" s="116"/>
      <c r="H53" s="116"/>
      <c r="I53" s="116"/>
      <c r="J53" s="116"/>
      <c r="K53" s="116"/>
      <c r="L53" s="116"/>
      <c r="M53" s="116"/>
      <c r="N53" s="85"/>
      <c r="O53" s="85"/>
      <c r="P53" s="85"/>
      <c r="Q53" s="85"/>
      <c r="R53" s="85"/>
      <c r="S53" s="85"/>
      <c r="T53" s="85"/>
      <c r="U53" s="85"/>
      <c r="V53" s="85"/>
      <c r="W53" s="85"/>
      <c r="X53" s="85"/>
      <c r="Y53" s="85"/>
      <c r="Z53" s="89"/>
    </row>
    <row r="54" spans="1:26" x14ac:dyDescent="0.25">
      <c r="A54" s="85"/>
      <c r="B54" s="115"/>
      <c r="C54" s="115"/>
      <c r="D54" s="303"/>
      <c r="E54" s="116"/>
      <c r="F54" s="116"/>
      <c r="G54" s="116"/>
      <c r="H54" s="116"/>
      <c r="I54" s="116"/>
      <c r="J54" s="116"/>
      <c r="K54" s="116"/>
      <c r="L54" s="116"/>
      <c r="M54" s="116"/>
      <c r="N54" s="85"/>
      <c r="O54" s="85"/>
      <c r="P54" s="85"/>
      <c r="Q54" s="85"/>
      <c r="R54" s="85"/>
      <c r="S54" s="85"/>
      <c r="T54" s="85"/>
      <c r="U54" s="85"/>
      <c r="V54" s="85"/>
      <c r="W54" s="85"/>
      <c r="X54" s="85"/>
      <c r="Y54" s="85"/>
      <c r="Z54" s="89"/>
    </row>
    <row r="55" spans="1:26" x14ac:dyDescent="0.25">
      <c r="A55" s="85"/>
      <c r="B55" s="115"/>
      <c r="C55" s="115"/>
      <c r="D55" s="303"/>
      <c r="E55" s="116"/>
      <c r="F55" s="116"/>
      <c r="G55" s="116"/>
      <c r="H55" s="116"/>
      <c r="I55" s="116"/>
      <c r="J55" s="116"/>
      <c r="K55" s="116"/>
      <c r="L55" s="116"/>
      <c r="M55" s="116"/>
      <c r="N55" s="85"/>
      <c r="O55" s="85"/>
      <c r="P55" s="85"/>
      <c r="Q55" s="85"/>
      <c r="R55" s="85"/>
      <c r="S55" s="85"/>
      <c r="T55" s="85"/>
      <c r="U55" s="85"/>
      <c r="V55" s="85"/>
      <c r="W55" s="85"/>
      <c r="X55" s="85"/>
      <c r="Y55" s="85"/>
      <c r="Z55" s="89"/>
    </row>
    <row r="56" spans="1:26" x14ac:dyDescent="0.25">
      <c r="A56" s="85"/>
      <c r="B56" s="115"/>
      <c r="C56" s="115"/>
      <c r="D56" s="303"/>
      <c r="E56" s="116"/>
      <c r="F56" s="116"/>
      <c r="G56" s="116"/>
      <c r="H56" s="116"/>
      <c r="I56" s="116"/>
      <c r="J56" s="116"/>
      <c r="K56" s="116"/>
      <c r="L56" s="116"/>
      <c r="M56" s="116"/>
      <c r="N56" s="85"/>
      <c r="O56" s="85"/>
      <c r="P56" s="85"/>
      <c r="Q56" s="85"/>
      <c r="R56" s="85"/>
      <c r="S56" s="85"/>
      <c r="T56" s="85"/>
      <c r="U56" s="85"/>
      <c r="V56" s="85"/>
      <c r="W56" s="85"/>
      <c r="X56" s="85"/>
      <c r="Y56" s="85"/>
      <c r="Z56" s="89"/>
    </row>
    <row r="57" spans="1:26" x14ac:dyDescent="0.25">
      <c r="A57" s="85"/>
      <c r="B57" s="115"/>
      <c r="C57" s="115"/>
      <c r="D57" s="303"/>
      <c r="E57" s="116"/>
      <c r="F57" s="116"/>
      <c r="G57" s="116"/>
      <c r="H57" s="116"/>
      <c r="I57" s="116"/>
      <c r="J57" s="116"/>
      <c r="K57" s="116"/>
      <c r="L57" s="116"/>
      <c r="M57" s="116"/>
      <c r="N57" s="85"/>
      <c r="O57" s="85"/>
      <c r="P57" s="85"/>
      <c r="Q57" s="85"/>
      <c r="R57" s="85"/>
      <c r="S57" s="85"/>
      <c r="T57" s="85"/>
      <c r="U57" s="85"/>
      <c r="V57" s="85"/>
      <c r="W57" s="85"/>
      <c r="X57" s="85"/>
      <c r="Y57" s="85"/>
      <c r="Z57" s="89"/>
    </row>
    <row r="58" spans="1:26" x14ac:dyDescent="0.25">
      <c r="A58" s="85"/>
      <c r="B58" s="115"/>
      <c r="C58" s="115"/>
      <c r="D58" s="303"/>
      <c r="E58" s="116"/>
      <c r="F58" s="116"/>
      <c r="G58" s="116"/>
      <c r="H58" s="116"/>
      <c r="I58" s="116"/>
      <c r="J58" s="116"/>
      <c r="K58" s="116"/>
      <c r="L58" s="116"/>
      <c r="M58" s="116"/>
      <c r="N58" s="85"/>
      <c r="O58" s="85"/>
      <c r="P58" s="85"/>
      <c r="Q58" s="85"/>
      <c r="R58" s="85"/>
      <c r="S58" s="85"/>
      <c r="T58" s="85"/>
      <c r="U58" s="85"/>
      <c r="V58" s="85"/>
      <c r="W58" s="85"/>
      <c r="X58" s="85"/>
      <c r="Y58" s="85"/>
      <c r="Z58" s="89"/>
    </row>
    <row r="59" spans="1:26" x14ac:dyDescent="0.25">
      <c r="A59" s="85"/>
      <c r="B59" s="115"/>
      <c r="C59" s="115"/>
      <c r="D59" s="303"/>
      <c r="E59" s="116"/>
      <c r="F59" s="116"/>
      <c r="G59" s="116"/>
      <c r="H59" s="116"/>
      <c r="I59" s="116"/>
      <c r="J59" s="116"/>
      <c r="K59" s="116"/>
      <c r="L59" s="116"/>
      <c r="M59" s="116"/>
      <c r="N59" s="85"/>
      <c r="O59" s="85"/>
      <c r="P59" s="85"/>
      <c r="Q59" s="85"/>
      <c r="R59" s="85"/>
      <c r="S59" s="85"/>
      <c r="T59" s="85"/>
      <c r="U59" s="85"/>
      <c r="V59" s="85"/>
      <c r="W59" s="85"/>
      <c r="X59" s="85"/>
      <c r="Y59" s="85"/>
      <c r="Z59" s="89"/>
    </row>
    <row r="60" spans="1:26" x14ac:dyDescent="0.25">
      <c r="A60" s="85"/>
      <c r="B60" s="115"/>
      <c r="C60" s="115"/>
      <c r="D60" s="303"/>
      <c r="E60" s="116"/>
      <c r="F60" s="116"/>
      <c r="G60" s="116"/>
      <c r="H60" s="116"/>
      <c r="I60" s="116"/>
      <c r="J60" s="116"/>
      <c r="K60" s="116"/>
      <c r="L60" s="116"/>
      <c r="M60" s="116"/>
      <c r="N60" s="85"/>
      <c r="O60" s="85"/>
      <c r="P60" s="85"/>
      <c r="Q60" s="85"/>
      <c r="R60" s="85"/>
      <c r="S60" s="85"/>
      <c r="T60" s="85"/>
      <c r="U60" s="85"/>
      <c r="V60" s="85"/>
      <c r="W60" s="85"/>
      <c r="X60" s="85"/>
      <c r="Y60" s="85"/>
      <c r="Z60" s="89"/>
    </row>
    <row r="61" spans="1:26" x14ac:dyDescent="0.25">
      <c r="A61" s="85"/>
      <c r="B61" s="115"/>
      <c r="C61" s="115"/>
      <c r="D61" s="303"/>
      <c r="E61" s="116"/>
      <c r="F61" s="116"/>
      <c r="G61" s="116"/>
      <c r="H61" s="116"/>
      <c r="I61" s="116"/>
      <c r="J61" s="116"/>
      <c r="K61" s="116"/>
      <c r="L61" s="116"/>
      <c r="M61" s="116"/>
      <c r="N61" s="85"/>
      <c r="O61" s="85"/>
      <c r="P61" s="85"/>
      <c r="Q61" s="85"/>
      <c r="R61" s="85"/>
      <c r="S61" s="85"/>
      <c r="T61" s="85"/>
      <c r="U61" s="85"/>
      <c r="V61" s="85"/>
      <c r="W61" s="85"/>
      <c r="X61" s="85"/>
      <c r="Y61" s="85"/>
      <c r="Z61" s="89"/>
    </row>
    <row r="62" spans="1:26" x14ac:dyDescent="0.25">
      <c r="A62" s="85"/>
      <c r="B62" s="115"/>
      <c r="C62" s="115"/>
      <c r="D62" s="303"/>
      <c r="E62" s="116"/>
      <c r="F62" s="116"/>
      <c r="G62" s="116"/>
      <c r="H62" s="116"/>
      <c r="I62" s="116"/>
      <c r="J62" s="116"/>
      <c r="K62" s="116"/>
      <c r="L62" s="116"/>
      <c r="M62" s="116"/>
      <c r="N62" s="85"/>
      <c r="O62" s="85"/>
      <c r="P62" s="85"/>
      <c r="Q62" s="85"/>
      <c r="R62" s="85"/>
      <c r="S62" s="85"/>
      <c r="T62" s="85"/>
      <c r="U62" s="85"/>
      <c r="V62" s="85"/>
      <c r="W62" s="85"/>
      <c r="X62" s="85"/>
      <c r="Y62" s="85"/>
      <c r="Z62" s="89"/>
    </row>
    <row r="63" spans="1:26" x14ac:dyDescent="0.25">
      <c r="A63" s="85"/>
      <c r="B63" s="115"/>
      <c r="C63" s="115"/>
      <c r="D63" s="303"/>
      <c r="E63" s="116"/>
      <c r="F63" s="116"/>
      <c r="G63" s="116"/>
      <c r="H63" s="116"/>
      <c r="I63" s="116"/>
      <c r="J63" s="116"/>
      <c r="K63" s="116"/>
      <c r="L63" s="116"/>
      <c r="M63" s="116"/>
      <c r="N63" s="85"/>
      <c r="O63" s="85"/>
      <c r="P63" s="85"/>
      <c r="Q63" s="85"/>
      <c r="R63" s="85"/>
      <c r="S63" s="85"/>
      <c r="T63" s="85"/>
      <c r="U63" s="85"/>
      <c r="V63" s="85"/>
      <c r="W63" s="85"/>
      <c r="X63" s="85"/>
      <c r="Y63" s="85"/>
      <c r="Z63" s="89"/>
    </row>
    <row r="64" spans="1:26" x14ac:dyDescent="0.25">
      <c r="A64" s="85"/>
      <c r="B64" s="115"/>
      <c r="C64" s="115"/>
      <c r="D64" s="303"/>
      <c r="E64" s="116"/>
      <c r="F64" s="116"/>
      <c r="G64" s="116"/>
      <c r="H64" s="116"/>
      <c r="I64" s="116"/>
      <c r="J64" s="116"/>
      <c r="K64" s="116"/>
      <c r="L64" s="116"/>
      <c r="M64" s="116"/>
      <c r="N64" s="85"/>
      <c r="O64" s="85"/>
      <c r="P64" s="85"/>
      <c r="Q64" s="85"/>
      <c r="R64" s="85"/>
      <c r="S64" s="85"/>
      <c r="T64" s="85"/>
      <c r="U64" s="85"/>
      <c r="V64" s="85"/>
      <c r="W64" s="85"/>
      <c r="X64" s="85"/>
      <c r="Y64" s="85"/>
      <c r="Z64" s="89"/>
    </row>
    <row r="65" spans="1:26" x14ac:dyDescent="0.25">
      <c r="A65" s="85"/>
      <c r="B65" s="115"/>
      <c r="C65" s="115"/>
      <c r="D65" s="303"/>
      <c r="E65" s="116"/>
      <c r="F65" s="116"/>
      <c r="G65" s="116"/>
      <c r="H65" s="116"/>
      <c r="I65" s="116"/>
      <c r="J65" s="116"/>
      <c r="K65" s="116"/>
      <c r="L65" s="116"/>
      <c r="M65" s="116"/>
      <c r="N65" s="85"/>
      <c r="O65" s="85"/>
      <c r="P65" s="85"/>
      <c r="Q65" s="85"/>
      <c r="R65" s="85"/>
      <c r="S65" s="85"/>
      <c r="T65" s="85"/>
      <c r="U65" s="85"/>
      <c r="V65" s="85"/>
      <c r="W65" s="85"/>
      <c r="X65" s="85"/>
      <c r="Y65" s="85"/>
      <c r="Z65" s="89"/>
    </row>
    <row r="66" spans="1:26" x14ac:dyDescent="0.25">
      <c r="A66" s="85"/>
      <c r="B66" s="115"/>
      <c r="C66" s="115"/>
      <c r="D66" s="115"/>
      <c r="E66" s="116"/>
      <c r="F66" s="116"/>
      <c r="G66" s="116"/>
      <c r="H66" s="116"/>
      <c r="I66" s="116"/>
      <c r="J66" s="116"/>
      <c r="K66" s="116"/>
      <c r="L66" s="116"/>
      <c r="M66" s="116"/>
      <c r="N66" s="85"/>
      <c r="O66" s="85"/>
      <c r="P66" s="85"/>
      <c r="Q66" s="85"/>
      <c r="R66" s="85"/>
      <c r="S66" s="85"/>
      <c r="T66" s="85"/>
      <c r="U66" s="85"/>
      <c r="V66" s="85"/>
      <c r="W66" s="85"/>
      <c r="X66" s="85"/>
      <c r="Y66" s="85"/>
      <c r="Z66" s="89"/>
    </row>
    <row r="67" spans="1:26" x14ac:dyDescent="0.25">
      <c r="A67" s="85"/>
      <c r="B67" s="115"/>
      <c r="C67" s="115"/>
      <c r="D67" s="115"/>
      <c r="E67" s="116"/>
      <c r="F67" s="116"/>
      <c r="G67" s="116"/>
      <c r="H67" s="116"/>
      <c r="I67" s="116"/>
      <c r="J67" s="116"/>
      <c r="K67" s="116"/>
      <c r="L67" s="116"/>
      <c r="M67" s="116"/>
      <c r="N67" s="85"/>
      <c r="O67" s="85"/>
      <c r="P67" s="85"/>
      <c r="Q67" s="85"/>
      <c r="R67" s="85"/>
      <c r="S67" s="85"/>
      <c r="T67" s="85"/>
      <c r="U67" s="85"/>
      <c r="V67" s="85"/>
      <c r="W67" s="85"/>
      <c r="X67" s="85"/>
      <c r="Y67" s="85"/>
      <c r="Z67" s="89"/>
    </row>
    <row r="68" spans="1:26" x14ac:dyDescent="0.25">
      <c r="A68" s="85"/>
      <c r="B68" s="115"/>
      <c r="C68" s="115"/>
      <c r="D68" s="115"/>
      <c r="E68" s="116"/>
      <c r="F68" s="116"/>
      <c r="G68" s="116"/>
      <c r="H68" s="116"/>
      <c r="I68" s="116"/>
      <c r="J68" s="116"/>
      <c r="K68" s="116"/>
      <c r="L68" s="116"/>
      <c r="M68" s="116"/>
      <c r="N68" s="85"/>
      <c r="O68" s="85"/>
      <c r="P68" s="85"/>
      <c r="Q68" s="85"/>
      <c r="R68" s="85"/>
      <c r="S68" s="85"/>
      <c r="T68" s="85"/>
      <c r="U68" s="85"/>
      <c r="V68" s="85"/>
      <c r="W68" s="85"/>
      <c r="X68" s="85"/>
      <c r="Y68" s="85"/>
      <c r="Z68" s="89"/>
    </row>
    <row r="69" spans="1:26" x14ac:dyDescent="0.25">
      <c r="A69" s="85"/>
      <c r="B69" s="115"/>
      <c r="C69" s="115"/>
      <c r="D69" s="115"/>
      <c r="E69" s="116"/>
      <c r="F69" s="116"/>
      <c r="G69" s="116"/>
      <c r="H69" s="116"/>
      <c r="I69" s="116"/>
      <c r="J69" s="116"/>
      <c r="K69" s="116"/>
      <c r="L69" s="116"/>
      <c r="M69" s="116"/>
      <c r="N69" s="85"/>
      <c r="O69" s="85"/>
      <c r="P69" s="85"/>
      <c r="Q69" s="85"/>
      <c r="R69" s="85"/>
      <c r="S69" s="85"/>
      <c r="T69" s="85"/>
      <c r="U69" s="85"/>
      <c r="V69" s="85"/>
      <c r="W69" s="85"/>
      <c r="X69" s="85"/>
      <c r="Y69" s="85"/>
      <c r="Z69" s="89"/>
    </row>
    <row r="70" spans="1:26" x14ac:dyDescent="0.25">
      <c r="A70" s="85"/>
      <c r="B70" s="115"/>
      <c r="C70" s="115"/>
      <c r="D70" s="115"/>
      <c r="E70" s="116"/>
      <c r="F70" s="116"/>
      <c r="G70" s="116"/>
      <c r="H70" s="116"/>
      <c r="I70" s="116"/>
      <c r="J70" s="116"/>
      <c r="K70" s="116"/>
      <c r="L70" s="116"/>
      <c r="M70" s="116"/>
      <c r="N70" s="85"/>
      <c r="O70" s="85"/>
      <c r="P70" s="85"/>
      <c r="Q70" s="85"/>
      <c r="R70" s="85"/>
      <c r="S70" s="85"/>
      <c r="T70" s="85"/>
      <c r="U70" s="85"/>
      <c r="V70" s="85"/>
      <c r="W70" s="85"/>
      <c r="X70" s="85"/>
      <c r="Y70" s="85"/>
      <c r="Z70" s="89"/>
    </row>
    <row r="71" spans="1:26" x14ac:dyDescent="0.25">
      <c r="A71" s="85"/>
      <c r="B71" s="115"/>
      <c r="C71" s="115"/>
      <c r="D71" s="115"/>
      <c r="E71" s="116"/>
      <c r="F71" s="116"/>
      <c r="G71" s="116"/>
      <c r="H71" s="116"/>
      <c r="I71" s="116"/>
      <c r="J71" s="116"/>
      <c r="K71" s="116"/>
      <c r="L71" s="116"/>
      <c r="M71" s="116"/>
      <c r="N71" s="85"/>
      <c r="O71" s="85"/>
      <c r="P71" s="85"/>
      <c r="Q71" s="85"/>
      <c r="R71" s="85"/>
      <c r="S71" s="85"/>
      <c r="T71" s="85"/>
      <c r="U71" s="85"/>
      <c r="V71" s="85"/>
      <c r="W71" s="85"/>
      <c r="X71" s="85"/>
      <c r="Y71" s="85"/>
      <c r="Z71" s="89"/>
    </row>
    <row r="72" spans="1:26" x14ac:dyDescent="0.25">
      <c r="A72" s="85"/>
      <c r="B72" s="115"/>
      <c r="C72" s="115"/>
      <c r="D72" s="115"/>
      <c r="E72" s="116"/>
      <c r="F72" s="116"/>
      <c r="G72" s="116"/>
      <c r="H72" s="116"/>
      <c r="I72" s="116"/>
      <c r="J72" s="116"/>
      <c r="K72" s="116"/>
      <c r="L72" s="116"/>
      <c r="M72" s="116"/>
      <c r="N72" s="85"/>
      <c r="O72" s="85"/>
      <c r="P72" s="85"/>
      <c r="Q72" s="85"/>
      <c r="R72" s="85"/>
      <c r="S72" s="85"/>
      <c r="T72" s="85"/>
      <c r="U72" s="85"/>
      <c r="V72" s="85"/>
      <c r="W72" s="85"/>
      <c r="X72" s="85"/>
      <c r="Y72" s="85"/>
      <c r="Z72" s="89"/>
    </row>
    <row r="73" spans="1:26" x14ac:dyDescent="0.25">
      <c r="A73" s="85"/>
      <c r="B73" s="115"/>
      <c r="C73" s="115"/>
      <c r="D73" s="115"/>
      <c r="E73" s="116"/>
      <c r="F73" s="116"/>
      <c r="G73" s="116"/>
      <c r="H73" s="116"/>
      <c r="I73" s="116"/>
      <c r="J73" s="116"/>
      <c r="K73" s="116"/>
      <c r="L73" s="116"/>
      <c r="M73" s="116"/>
      <c r="N73" s="85"/>
      <c r="O73" s="85"/>
      <c r="P73" s="85"/>
      <c r="Q73" s="85"/>
      <c r="R73" s="85"/>
      <c r="S73" s="85"/>
      <c r="T73" s="85"/>
      <c r="U73" s="85"/>
      <c r="V73" s="85"/>
      <c r="W73" s="85"/>
      <c r="X73" s="85"/>
      <c r="Y73" s="85"/>
      <c r="Z73" s="89"/>
    </row>
    <row r="74" spans="1:26" x14ac:dyDescent="0.25">
      <c r="A74" s="85"/>
      <c r="B74" s="115"/>
      <c r="C74" s="115"/>
      <c r="D74" s="115"/>
      <c r="E74" s="116"/>
      <c r="F74" s="116"/>
      <c r="G74" s="116"/>
      <c r="H74" s="116"/>
      <c r="I74" s="116"/>
      <c r="J74" s="116"/>
      <c r="K74" s="116"/>
      <c r="L74" s="116"/>
      <c r="M74" s="116"/>
      <c r="N74" s="85"/>
      <c r="O74" s="85"/>
      <c r="P74" s="85"/>
      <c r="Q74" s="85"/>
      <c r="R74" s="85"/>
      <c r="S74" s="85"/>
      <c r="T74" s="85"/>
      <c r="U74" s="85"/>
      <c r="V74" s="85"/>
      <c r="W74" s="85"/>
      <c r="X74" s="85"/>
      <c r="Y74" s="85"/>
      <c r="Z74" s="89"/>
    </row>
    <row r="75" spans="1:26" x14ac:dyDescent="0.25">
      <c r="A75" s="85"/>
      <c r="B75" s="115"/>
      <c r="C75" s="115"/>
      <c r="D75" s="115"/>
      <c r="E75" s="116"/>
      <c r="F75" s="116"/>
      <c r="G75" s="116"/>
      <c r="H75" s="116"/>
      <c r="I75" s="116"/>
      <c r="J75" s="116"/>
      <c r="K75" s="116"/>
      <c r="L75" s="116"/>
      <c r="M75" s="116"/>
      <c r="N75" s="85"/>
      <c r="O75" s="85"/>
      <c r="P75" s="85"/>
      <c r="Q75" s="85"/>
      <c r="R75" s="85"/>
      <c r="S75" s="85"/>
      <c r="T75" s="85"/>
      <c r="U75" s="85"/>
      <c r="V75" s="85"/>
      <c r="W75" s="85"/>
      <c r="X75" s="85"/>
      <c r="Y75" s="85"/>
      <c r="Z75" s="89"/>
    </row>
    <row r="76" spans="1:26" x14ac:dyDescent="0.25">
      <c r="A76" s="85"/>
      <c r="B76" s="115"/>
      <c r="C76" s="115"/>
      <c r="D76" s="115"/>
      <c r="E76" s="116"/>
      <c r="F76" s="116"/>
      <c r="G76" s="116"/>
      <c r="H76" s="116"/>
      <c r="I76" s="116"/>
      <c r="J76" s="116"/>
      <c r="K76" s="116"/>
      <c r="L76" s="116"/>
      <c r="M76" s="116"/>
      <c r="N76" s="85"/>
      <c r="O76" s="85"/>
      <c r="P76" s="85"/>
      <c r="Q76" s="85"/>
      <c r="R76" s="85"/>
      <c r="S76" s="85"/>
      <c r="T76" s="85"/>
      <c r="U76" s="85"/>
      <c r="V76" s="85"/>
      <c r="W76" s="85"/>
      <c r="X76" s="85"/>
      <c r="Y76" s="85"/>
      <c r="Z76" s="89"/>
    </row>
    <row r="77" spans="1:26" x14ac:dyDescent="0.25">
      <c r="A77" s="85"/>
      <c r="B77" s="115"/>
      <c r="C77" s="115"/>
      <c r="D77" s="115"/>
      <c r="E77" s="116"/>
      <c r="F77" s="116"/>
      <c r="G77" s="116"/>
      <c r="H77" s="116"/>
      <c r="I77" s="116"/>
      <c r="J77" s="116"/>
      <c r="K77" s="116"/>
      <c r="L77" s="116"/>
      <c r="M77" s="116"/>
      <c r="N77" s="85"/>
      <c r="O77" s="85"/>
      <c r="P77" s="85"/>
      <c r="Q77" s="85"/>
      <c r="R77" s="85"/>
      <c r="S77" s="85"/>
      <c r="T77" s="85"/>
      <c r="U77" s="85"/>
      <c r="V77" s="85"/>
      <c r="W77" s="85"/>
      <c r="X77" s="85"/>
      <c r="Y77" s="85"/>
      <c r="Z77" s="89"/>
    </row>
    <row r="78" spans="1:26" x14ac:dyDescent="0.25">
      <c r="A78" s="85"/>
      <c r="B78" s="115"/>
      <c r="C78" s="115"/>
      <c r="D78" s="115"/>
      <c r="E78" s="116"/>
      <c r="F78" s="116"/>
      <c r="G78" s="116"/>
      <c r="H78" s="116"/>
      <c r="I78" s="116"/>
      <c r="J78" s="116"/>
      <c r="K78" s="116"/>
      <c r="L78" s="116"/>
      <c r="M78" s="116"/>
      <c r="N78" s="85"/>
      <c r="O78" s="85"/>
      <c r="P78" s="85"/>
      <c r="Q78" s="85"/>
      <c r="R78" s="85"/>
      <c r="S78" s="85"/>
      <c r="T78" s="85"/>
      <c r="U78" s="85"/>
      <c r="V78" s="85"/>
      <c r="W78" s="85"/>
      <c r="X78" s="85"/>
      <c r="Y78" s="85"/>
      <c r="Z78" s="89"/>
    </row>
    <row r="79" spans="1:26" x14ac:dyDescent="0.25">
      <c r="A79" s="85"/>
      <c r="B79" s="115"/>
      <c r="C79" s="115"/>
      <c r="D79" s="115"/>
      <c r="E79" s="116"/>
      <c r="F79" s="116"/>
      <c r="G79" s="116"/>
      <c r="H79" s="116"/>
      <c r="I79" s="116"/>
      <c r="J79" s="116"/>
      <c r="K79" s="116"/>
      <c r="L79" s="116"/>
      <c r="M79" s="116"/>
      <c r="N79" s="85"/>
      <c r="O79" s="85"/>
      <c r="P79" s="85"/>
      <c r="Q79" s="85"/>
      <c r="R79" s="85"/>
      <c r="S79" s="85"/>
      <c r="T79" s="85"/>
      <c r="U79" s="85"/>
      <c r="V79" s="85"/>
      <c r="W79" s="85"/>
      <c r="X79" s="85"/>
      <c r="Y79" s="85"/>
      <c r="Z79" s="89"/>
    </row>
    <row r="80" spans="1:26" x14ac:dyDescent="0.25">
      <c r="A80" s="85"/>
      <c r="B80" s="115"/>
      <c r="C80" s="115"/>
      <c r="D80" s="115"/>
      <c r="E80" s="116"/>
      <c r="F80" s="116"/>
      <c r="G80" s="116"/>
      <c r="H80" s="116"/>
      <c r="I80" s="116"/>
      <c r="J80" s="116"/>
      <c r="K80" s="116"/>
      <c r="L80" s="116"/>
      <c r="M80" s="116"/>
      <c r="N80" s="85"/>
      <c r="O80" s="85"/>
      <c r="P80" s="85"/>
      <c r="Q80" s="85"/>
      <c r="R80" s="85"/>
      <c r="S80" s="85"/>
      <c r="T80" s="85"/>
      <c r="U80" s="85"/>
      <c r="V80" s="85"/>
      <c r="W80" s="85"/>
      <c r="X80" s="85"/>
      <c r="Y80" s="85"/>
      <c r="Z80" s="89"/>
    </row>
    <row r="81" spans="1:26" x14ac:dyDescent="0.25">
      <c r="A81" s="85"/>
      <c r="B81" s="115"/>
      <c r="C81" s="115"/>
      <c r="D81" s="115"/>
      <c r="E81" s="116"/>
      <c r="F81" s="116"/>
      <c r="G81" s="116"/>
      <c r="H81" s="116"/>
      <c r="I81" s="116"/>
      <c r="J81" s="116"/>
      <c r="K81" s="116"/>
      <c r="L81" s="116"/>
      <c r="M81" s="116"/>
      <c r="N81" s="85"/>
      <c r="O81" s="85"/>
      <c r="P81" s="85"/>
      <c r="Q81" s="85"/>
      <c r="R81" s="85"/>
      <c r="S81" s="85"/>
      <c r="T81" s="85"/>
      <c r="U81" s="85"/>
      <c r="V81" s="85"/>
      <c r="W81" s="85"/>
      <c r="X81" s="85"/>
      <c r="Y81" s="85"/>
      <c r="Z81" s="89"/>
    </row>
    <row r="82" spans="1:26" x14ac:dyDescent="0.25">
      <c r="A82" s="85"/>
      <c r="B82" s="115"/>
      <c r="C82" s="115"/>
      <c r="D82" s="115"/>
      <c r="E82" s="116"/>
      <c r="F82" s="116"/>
      <c r="G82" s="116"/>
      <c r="H82" s="116"/>
      <c r="I82" s="116"/>
      <c r="J82" s="116"/>
      <c r="K82" s="116"/>
      <c r="L82" s="116"/>
      <c r="M82" s="116"/>
      <c r="N82" s="85"/>
      <c r="O82" s="85"/>
      <c r="P82" s="85"/>
      <c r="Q82" s="85"/>
      <c r="R82" s="85"/>
      <c r="S82" s="85"/>
      <c r="T82" s="85"/>
      <c r="U82" s="85"/>
      <c r="V82" s="85"/>
      <c r="W82" s="85"/>
      <c r="X82" s="85"/>
      <c r="Y82" s="85"/>
      <c r="Z82" s="89"/>
    </row>
    <row r="83" spans="1:26" x14ac:dyDescent="0.25">
      <c r="A83" s="85"/>
      <c r="B83" s="115"/>
      <c r="C83" s="115"/>
      <c r="D83" s="115"/>
      <c r="E83" s="116"/>
      <c r="F83" s="116"/>
      <c r="G83" s="116"/>
      <c r="H83" s="116"/>
      <c r="I83" s="116"/>
      <c r="J83" s="116"/>
      <c r="K83" s="116"/>
      <c r="L83" s="116"/>
      <c r="M83" s="116"/>
      <c r="N83" s="85"/>
      <c r="O83" s="85"/>
      <c r="P83" s="85"/>
      <c r="Q83" s="85"/>
      <c r="R83" s="85"/>
      <c r="S83" s="85"/>
      <c r="T83" s="85"/>
      <c r="U83" s="85"/>
      <c r="V83" s="85"/>
      <c r="W83" s="85"/>
      <c r="X83" s="85"/>
      <c r="Y83" s="85"/>
      <c r="Z83" s="89"/>
    </row>
    <row r="84" spans="1:26" x14ac:dyDescent="0.25">
      <c r="A84" s="85"/>
      <c r="B84" s="115"/>
      <c r="C84" s="115"/>
      <c r="D84" s="115"/>
      <c r="E84" s="116"/>
      <c r="F84" s="116"/>
      <c r="G84" s="116"/>
      <c r="H84" s="116"/>
      <c r="I84" s="116"/>
      <c r="J84" s="116"/>
      <c r="K84" s="116"/>
      <c r="L84" s="116"/>
      <c r="M84" s="116"/>
      <c r="N84" s="85"/>
      <c r="O84" s="85"/>
      <c r="P84" s="85"/>
      <c r="Q84" s="85"/>
      <c r="R84" s="85"/>
      <c r="S84" s="85"/>
      <c r="T84" s="85"/>
      <c r="U84" s="85"/>
      <c r="V84" s="85"/>
      <c r="W84" s="85"/>
      <c r="X84" s="85"/>
      <c r="Y84" s="85"/>
      <c r="Z84" s="89"/>
    </row>
    <row r="85" spans="1:26" x14ac:dyDescent="0.25">
      <c r="A85" s="85"/>
      <c r="B85" s="115"/>
      <c r="C85" s="115"/>
      <c r="D85" s="115"/>
      <c r="E85" s="116"/>
      <c r="F85" s="116"/>
      <c r="G85" s="116"/>
      <c r="H85" s="116"/>
      <c r="I85" s="116"/>
      <c r="J85" s="116"/>
      <c r="K85" s="116"/>
      <c r="L85" s="116"/>
      <c r="M85" s="116"/>
      <c r="N85" s="85"/>
      <c r="O85" s="85"/>
      <c r="P85" s="85"/>
      <c r="Q85" s="85"/>
      <c r="R85" s="85"/>
      <c r="S85" s="85"/>
      <c r="T85" s="85"/>
      <c r="U85" s="85"/>
      <c r="V85" s="85"/>
      <c r="W85" s="85"/>
      <c r="X85" s="85"/>
      <c r="Y85" s="85"/>
      <c r="Z85" s="89"/>
    </row>
    <row r="86" spans="1:26" x14ac:dyDescent="0.25">
      <c r="A86" s="85"/>
      <c r="B86" s="115"/>
      <c r="C86" s="115"/>
      <c r="D86" s="115"/>
      <c r="E86" s="116"/>
      <c r="F86" s="116"/>
      <c r="G86" s="116"/>
      <c r="H86" s="116"/>
      <c r="I86" s="116"/>
      <c r="J86" s="116"/>
      <c r="K86" s="116"/>
      <c r="L86" s="116"/>
      <c r="M86" s="116"/>
      <c r="N86" s="85"/>
      <c r="O86" s="85"/>
      <c r="P86" s="85"/>
      <c r="Q86" s="85"/>
      <c r="R86" s="85"/>
      <c r="S86" s="85"/>
      <c r="T86" s="85"/>
      <c r="U86" s="85"/>
      <c r="V86" s="85"/>
      <c r="W86" s="85"/>
      <c r="X86" s="85"/>
      <c r="Y86" s="85"/>
      <c r="Z86" s="89"/>
    </row>
    <row r="87" spans="1:26" x14ac:dyDescent="0.25">
      <c r="A87" s="85"/>
      <c r="B87" s="115"/>
      <c r="C87" s="115"/>
      <c r="D87" s="115"/>
      <c r="E87" s="116"/>
      <c r="F87" s="116"/>
      <c r="G87" s="116"/>
      <c r="H87" s="116"/>
      <c r="I87" s="116"/>
      <c r="J87" s="116"/>
      <c r="K87" s="116"/>
      <c r="L87" s="116"/>
      <c r="M87" s="116"/>
      <c r="N87" s="85"/>
      <c r="O87" s="85"/>
      <c r="P87" s="85"/>
      <c r="Q87" s="85"/>
      <c r="R87" s="85"/>
      <c r="S87" s="85"/>
      <c r="T87" s="85"/>
      <c r="U87" s="85"/>
      <c r="V87" s="85"/>
      <c r="W87" s="85"/>
      <c r="X87" s="85"/>
      <c r="Y87" s="85"/>
      <c r="Z87" s="89"/>
    </row>
    <row r="88" spans="1:26" x14ac:dyDescent="0.25">
      <c r="A88" s="85"/>
      <c r="B88" s="115"/>
      <c r="C88" s="115"/>
      <c r="D88" s="115"/>
      <c r="E88" s="116"/>
      <c r="F88" s="116"/>
      <c r="G88" s="116"/>
      <c r="H88" s="116"/>
      <c r="I88" s="116"/>
      <c r="J88" s="116"/>
      <c r="K88" s="116"/>
      <c r="L88" s="116"/>
      <c r="M88" s="116"/>
      <c r="N88" s="85"/>
      <c r="O88" s="85"/>
      <c r="P88" s="85"/>
      <c r="Q88" s="85"/>
      <c r="R88" s="85"/>
      <c r="S88" s="85"/>
      <c r="T88" s="85"/>
      <c r="U88" s="85"/>
      <c r="V88" s="85"/>
      <c r="W88" s="85"/>
      <c r="X88" s="85"/>
      <c r="Y88" s="85"/>
      <c r="Z88" s="89"/>
    </row>
    <row r="89" spans="1:26" x14ac:dyDescent="0.25">
      <c r="A89" s="85"/>
      <c r="B89" s="115"/>
      <c r="C89" s="115"/>
      <c r="D89" s="115"/>
      <c r="E89" s="116"/>
      <c r="F89" s="116"/>
      <c r="G89" s="116"/>
      <c r="H89" s="116"/>
      <c r="I89" s="116"/>
      <c r="J89" s="116"/>
      <c r="K89" s="116"/>
      <c r="L89" s="116"/>
      <c r="M89" s="116"/>
      <c r="N89" s="85"/>
      <c r="O89" s="85"/>
      <c r="P89" s="85"/>
      <c r="Q89" s="85"/>
      <c r="R89" s="85"/>
      <c r="S89" s="85"/>
      <c r="T89" s="85"/>
      <c r="U89" s="85"/>
      <c r="V89" s="85"/>
      <c r="W89" s="85"/>
      <c r="X89" s="85"/>
      <c r="Y89" s="85"/>
      <c r="Z89" s="89"/>
    </row>
    <row r="90" spans="1:26" x14ac:dyDescent="0.25">
      <c r="A90" s="85"/>
      <c r="B90" s="115"/>
      <c r="C90" s="115"/>
      <c r="D90" s="115"/>
      <c r="E90" s="116"/>
      <c r="F90" s="116"/>
      <c r="G90" s="116"/>
      <c r="H90" s="116"/>
      <c r="I90" s="116"/>
      <c r="J90" s="116"/>
      <c r="K90" s="116"/>
      <c r="L90" s="116"/>
      <c r="M90" s="116"/>
      <c r="N90" s="85"/>
      <c r="O90" s="85"/>
      <c r="P90" s="85"/>
      <c r="Q90" s="85"/>
      <c r="R90" s="85"/>
      <c r="S90" s="85"/>
      <c r="T90" s="85"/>
      <c r="U90" s="85"/>
      <c r="V90" s="85"/>
      <c r="W90" s="85"/>
      <c r="X90" s="85"/>
      <c r="Y90" s="85"/>
      <c r="Z90" s="89"/>
    </row>
    <row r="91" spans="1:26" x14ac:dyDescent="0.25">
      <c r="A91" s="85"/>
      <c r="B91" s="115"/>
      <c r="C91" s="115"/>
      <c r="D91" s="115"/>
      <c r="E91" s="116"/>
      <c r="F91" s="116"/>
      <c r="G91" s="116"/>
      <c r="H91" s="116"/>
      <c r="I91" s="116"/>
      <c r="J91" s="116"/>
      <c r="K91" s="116"/>
      <c r="L91" s="116"/>
      <c r="M91" s="116"/>
      <c r="N91" s="85"/>
      <c r="O91" s="85"/>
      <c r="P91" s="85"/>
      <c r="Q91" s="85"/>
      <c r="R91" s="85"/>
      <c r="S91" s="85"/>
      <c r="T91" s="85"/>
      <c r="U91" s="85"/>
      <c r="V91" s="85"/>
      <c r="W91" s="85"/>
      <c r="X91" s="85"/>
      <c r="Y91" s="85"/>
      <c r="Z91" s="89"/>
    </row>
    <row r="92" spans="1:26" x14ac:dyDescent="0.25">
      <c r="A92" s="85"/>
      <c r="B92" s="115"/>
      <c r="C92" s="115"/>
      <c r="D92" s="115"/>
      <c r="E92" s="116"/>
      <c r="F92" s="116"/>
      <c r="G92" s="116"/>
      <c r="H92" s="116"/>
      <c r="I92" s="116"/>
      <c r="J92" s="116"/>
      <c r="K92" s="116"/>
      <c r="L92" s="116"/>
      <c r="M92" s="116"/>
      <c r="N92" s="85"/>
      <c r="O92" s="85"/>
      <c r="P92" s="85"/>
      <c r="Q92" s="85"/>
      <c r="R92" s="85"/>
      <c r="S92" s="85"/>
      <c r="T92" s="85"/>
      <c r="U92" s="85"/>
      <c r="V92" s="85"/>
      <c r="W92" s="85"/>
      <c r="X92" s="85"/>
      <c r="Y92" s="85"/>
      <c r="Z92" s="89"/>
    </row>
    <row r="93" spans="1:26" x14ac:dyDescent="0.25">
      <c r="A93" s="85"/>
      <c r="B93" s="115"/>
      <c r="C93" s="115"/>
      <c r="D93" s="115"/>
      <c r="E93" s="116"/>
      <c r="F93" s="116"/>
      <c r="G93" s="116"/>
      <c r="H93" s="116"/>
      <c r="I93" s="116"/>
      <c r="J93" s="116"/>
      <c r="K93" s="116"/>
      <c r="L93" s="116"/>
      <c r="M93" s="116"/>
      <c r="N93" s="85"/>
      <c r="O93" s="85"/>
      <c r="P93" s="85"/>
      <c r="Q93" s="85"/>
      <c r="R93" s="85"/>
      <c r="S93" s="85"/>
      <c r="T93" s="85"/>
      <c r="U93" s="85"/>
      <c r="V93" s="85"/>
      <c r="W93" s="85"/>
      <c r="X93" s="85"/>
      <c r="Y93" s="85"/>
      <c r="Z93" s="89"/>
    </row>
    <row r="94" spans="1:26" x14ac:dyDescent="0.25">
      <c r="A94" s="85"/>
      <c r="B94" s="115"/>
      <c r="C94" s="115"/>
      <c r="D94" s="115"/>
      <c r="E94" s="116"/>
      <c r="F94" s="116"/>
      <c r="G94" s="116"/>
      <c r="H94" s="116"/>
      <c r="I94" s="116"/>
      <c r="J94" s="116"/>
      <c r="K94" s="116"/>
      <c r="L94" s="116"/>
      <c r="M94" s="116"/>
      <c r="N94" s="85"/>
      <c r="O94" s="85"/>
      <c r="P94" s="85"/>
      <c r="Q94" s="85"/>
      <c r="R94" s="85"/>
      <c r="S94" s="85"/>
      <c r="T94" s="85"/>
      <c r="U94" s="85"/>
      <c r="V94" s="85"/>
      <c r="W94" s="85"/>
      <c r="X94" s="85"/>
      <c r="Y94" s="85"/>
      <c r="Z94" s="89"/>
    </row>
    <row r="95" spans="1:26" x14ac:dyDescent="0.25">
      <c r="A95" s="85"/>
      <c r="B95" s="115"/>
      <c r="C95" s="115"/>
      <c r="D95" s="115"/>
      <c r="E95" s="116"/>
      <c r="F95" s="116"/>
      <c r="G95" s="116"/>
      <c r="H95" s="116"/>
      <c r="I95" s="116"/>
      <c r="J95" s="116"/>
      <c r="K95" s="85"/>
      <c r="L95" s="85"/>
      <c r="M95" s="85"/>
      <c r="N95" s="85"/>
      <c r="O95" s="85"/>
      <c r="P95" s="85"/>
      <c r="Q95" s="85"/>
      <c r="R95" s="85"/>
      <c r="S95" s="85"/>
      <c r="T95" s="85"/>
      <c r="U95" s="85"/>
      <c r="V95" s="85"/>
      <c r="W95" s="85"/>
      <c r="X95" s="85"/>
      <c r="Y95" s="85"/>
      <c r="Z95" s="89"/>
    </row>
    <row r="96" spans="1:26" x14ac:dyDescent="0.25">
      <c r="A96" s="85"/>
      <c r="B96" s="115"/>
      <c r="C96" s="115"/>
      <c r="D96" s="115"/>
      <c r="E96" s="116"/>
      <c r="F96" s="116"/>
      <c r="G96" s="116"/>
      <c r="H96" s="116"/>
      <c r="I96" s="116"/>
      <c r="J96" s="116"/>
      <c r="K96" s="85"/>
      <c r="L96" s="85"/>
      <c r="M96" s="85"/>
      <c r="N96" s="85"/>
      <c r="O96" s="85"/>
      <c r="P96" s="85"/>
      <c r="Q96" s="85"/>
      <c r="R96" s="85"/>
      <c r="S96" s="85"/>
      <c r="T96" s="85"/>
      <c r="U96" s="85"/>
      <c r="V96" s="85"/>
      <c r="W96" s="85"/>
      <c r="X96" s="85"/>
      <c r="Y96" s="85"/>
      <c r="Z96" s="89"/>
    </row>
    <row r="97" spans="1:26" x14ac:dyDescent="0.25">
      <c r="A97" s="85"/>
      <c r="B97" s="115"/>
      <c r="C97" s="115"/>
      <c r="D97" s="115"/>
      <c r="E97" s="116"/>
      <c r="F97" s="116"/>
      <c r="G97" s="116"/>
      <c r="H97" s="116"/>
      <c r="I97" s="116"/>
      <c r="J97" s="116"/>
      <c r="K97" s="85"/>
      <c r="L97" s="85"/>
      <c r="M97" s="85"/>
      <c r="N97" s="85"/>
      <c r="O97" s="85"/>
      <c r="P97" s="85"/>
      <c r="Q97" s="85"/>
      <c r="R97" s="85"/>
      <c r="S97" s="85"/>
      <c r="T97" s="85"/>
      <c r="U97" s="85"/>
      <c r="V97" s="85"/>
      <c r="W97" s="85"/>
      <c r="X97" s="85"/>
      <c r="Y97" s="85"/>
      <c r="Z97" s="89"/>
    </row>
    <row r="98" spans="1:26" x14ac:dyDescent="0.25">
      <c r="A98" s="85"/>
      <c r="B98" s="115"/>
      <c r="C98" s="115"/>
      <c r="D98" s="115"/>
      <c r="E98" s="116"/>
      <c r="F98" s="116"/>
      <c r="G98" s="116"/>
      <c r="H98" s="116"/>
      <c r="I98" s="116"/>
      <c r="J98" s="116"/>
      <c r="K98" s="85"/>
      <c r="L98" s="85"/>
      <c r="M98" s="85"/>
      <c r="N98" s="85"/>
      <c r="O98" s="85"/>
      <c r="P98" s="85"/>
      <c r="Q98" s="85"/>
      <c r="R98" s="85"/>
      <c r="S98" s="85"/>
      <c r="T98" s="85"/>
      <c r="U98" s="85"/>
      <c r="V98" s="85"/>
      <c r="W98" s="85"/>
      <c r="X98" s="85"/>
      <c r="Y98" s="85"/>
      <c r="Z98" s="89"/>
    </row>
    <row r="99" spans="1:26" x14ac:dyDescent="0.25">
      <c r="A99" s="85"/>
      <c r="B99" s="115"/>
      <c r="C99" s="115"/>
      <c r="D99" s="115"/>
      <c r="E99" s="116"/>
      <c r="F99" s="116"/>
      <c r="G99" s="116"/>
      <c r="H99" s="116"/>
      <c r="I99" s="116"/>
      <c r="J99" s="116"/>
      <c r="K99" s="85"/>
      <c r="L99" s="85"/>
      <c r="M99" s="85"/>
      <c r="N99" s="85"/>
      <c r="O99" s="85"/>
      <c r="P99" s="85"/>
      <c r="Q99" s="85"/>
      <c r="R99" s="85"/>
      <c r="S99" s="85"/>
      <c r="T99" s="85"/>
      <c r="U99" s="85"/>
      <c r="V99" s="85"/>
      <c r="W99" s="85"/>
      <c r="X99" s="85"/>
      <c r="Y99" s="85"/>
      <c r="Z99" s="89"/>
    </row>
    <row r="100" spans="1:26" x14ac:dyDescent="0.25">
      <c r="A100" s="85"/>
      <c r="B100" s="115"/>
      <c r="C100" s="115"/>
      <c r="D100" s="115"/>
      <c r="E100" s="116"/>
      <c r="F100" s="116"/>
      <c r="G100" s="116"/>
      <c r="H100" s="116"/>
      <c r="I100" s="116"/>
      <c r="J100" s="116"/>
      <c r="K100" s="85"/>
      <c r="L100" s="85"/>
      <c r="M100" s="85"/>
      <c r="N100" s="85"/>
      <c r="O100" s="85"/>
      <c r="P100" s="85"/>
      <c r="Q100" s="85"/>
      <c r="R100" s="85"/>
      <c r="S100" s="85"/>
      <c r="T100" s="85"/>
      <c r="U100" s="85"/>
      <c r="V100" s="85"/>
      <c r="W100" s="85"/>
      <c r="X100" s="85"/>
      <c r="Y100" s="85"/>
      <c r="Z100" s="89"/>
    </row>
    <row r="101" spans="1:26" x14ac:dyDescent="0.25">
      <c r="N101" s="90"/>
      <c r="O101" s="91"/>
      <c r="P101" s="91"/>
      <c r="Q101" s="91"/>
      <c r="R101" s="91"/>
      <c r="S101" s="91"/>
      <c r="T101" s="91"/>
      <c r="U101" s="91"/>
      <c r="V101" s="91"/>
      <c r="W101" s="91"/>
      <c r="X101" s="91"/>
      <c r="Y101" s="91"/>
      <c r="Z101" s="92"/>
    </row>
  </sheetData>
  <mergeCells count="2">
    <mergeCell ref="F7:G7"/>
    <mergeCell ref="H7:I7"/>
  </mergeCells>
  <conditionalFormatting sqref="B9:M38 B39:G40 I39:M40 B41:M45 B46:G47 I46:M47 B48:M51">
    <cfRule type="expression" dxfId="53" priority="5">
      <formula>AND(IF(ISERROR(_xlfn._xlws.FILTER(9:9,9:9="Gross Annualized Rents")), FALSE, TRUE),B$8&lt;&gt;"")</formula>
    </cfRule>
    <cfRule type="expression" dxfId="52" priority="7">
      <formula>AND(B$5="Yes",B9=0)</formula>
    </cfRule>
  </conditionalFormatting>
  <conditionalFormatting sqref="B9:N38 B39:G40 I39:N40 B41:N45 B46:G47 I46:N47 B48:N50">
    <cfRule type="expression" dxfId="50" priority="3">
      <formula>AND($B9 = 0, B9 = 0)</formula>
    </cfRule>
  </conditionalFormatting>
  <conditionalFormatting sqref="C8:M8">
    <cfRule type="expression" dxfId="49" priority="1">
      <formula>C$3&lt;&gt;""</formula>
    </cfRule>
  </conditionalFormatting>
  <conditionalFormatting sqref="C9:N38 C39:G40 I39:N40 C41:N45 C46:G47 I46:N47 C48:N50">
    <cfRule type="expression" dxfId="48" priority="2">
      <formula>AND($B9 = "Gross Annualized Rents", C9 = 0)</formula>
    </cfRule>
  </conditionalFormatting>
  <conditionalFormatting sqref="H40 H47">
    <cfRule type="expression" dxfId="47" priority="35">
      <formula>AND(IF(ISERROR(_xlfn._xlws.FILTER(39:39,39:39="Gross Annualized Rents")), FALSE, TRUE),H$8&lt;&gt;"")</formula>
    </cfRule>
    <cfRule type="expression" dxfId="46" priority="36">
      <formula>AND(H$5="Yes",H40=0)</formula>
    </cfRule>
    <cfRule type="expression" dxfId="45" priority="52">
      <formula>AND($B39 = 0, H40 = 0)</formula>
    </cfRule>
    <cfRule type="expression" dxfId="44" priority="54">
      <formula>AND($B39 = "Gross Annualized Rents", H40 = 0)</formula>
    </cfRule>
  </conditionalFormatting>
  <dataValidations count="3">
    <dataValidation type="list" allowBlank="1" showInputMessage="1" showErrorMessage="1" sqref="C3:M3" xr:uid="{0C4635D4-5C31-4084-A683-9973C39111DC}">
      <formula1>List_Rent_Roll_Item</formula1>
    </dataValidation>
    <dataValidation type="list" allowBlank="1" sqref="C5:M5" xr:uid="{05467D7D-495C-40B0-8D37-FD905C99A572}">
      <formula1>"Yes, No"</formula1>
    </dataValidation>
    <dataValidation allowBlank="1" sqref="B5" xr:uid="{7527ED00-BD3C-429E-B2DD-4F5BF75C1BE4}"/>
  </dataValidations>
  <printOptions horizontalCentered="1" verticalCentered="1"/>
  <pageMargins left="0.5" right="0.5" top="1.75" bottom="0.5" header="0" footer="0"/>
  <pageSetup scale="68" orientation="landscape" r:id="rId1"/>
  <customProperties>
    <customPr name="GUID" r:id="rId2"/>
  </customProperties>
  <drawing r:id="rId3"/>
  <extLst>
    <ext xmlns:x14="http://schemas.microsoft.com/office/spreadsheetml/2009/9/main" uri="{78C0D931-6437-407d-A8EE-F0AAD7539E65}">
      <x14:conditionalFormattings>
        <x14:conditionalFormatting xmlns:xm="http://schemas.microsoft.com/office/excel/2006/main">
          <x14:cfRule type="expression" priority="8" id="{8094F8D7-BA6F-4196-9F3D-522DC544D2E9}">
            <xm:f>IF(B3="", "", ISERROR(_xlfn._xlws.FILTER(IFERROR(FIND(B3,'Annualized Rents'!XER1:XER4),""), IFERROR(FIND(B3,'Annualized Rents'!$A$1:$A$4),"")&lt;&gt;""))) = FALSE</xm:f>
            <x14:dxf>
              <fill>
                <patternFill>
                  <bgColor rgb="FFD8E2EC"/>
                </patternFill>
              </fill>
            </x14:dxf>
          </x14:cfRule>
          <xm:sqref>B5:F5</xm:sqref>
        </x14:conditionalFormatting>
        <x14:conditionalFormatting xmlns:xm="http://schemas.microsoft.com/office/excel/2006/main">
          <x14:cfRule type="expression" priority="11" id="{00000000-000E-0000-0400-000008000000}">
            <xm:f>AND(IF(ISERROR(_xlfn._xlws.FILTER(9:9,9:9='Rent Roll Input'!$U$4)), FALSE, TRUE),B$8&lt;&gt;"")</xm:f>
            <x14: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x14:dxf>
          </x14:cfRule>
          <xm:sqref>B9:M38 B39:G40 I39:M40 B41:M45 B46:G47 I46:M47 B48:M51</xm:sqref>
        </x14:conditionalFormatting>
        <x14:conditionalFormatting xmlns:xm="http://schemas.microsoft.com/office/excel/2006/main">
          <x14:cfRule type="expression" priority="56" id="{00000000-000E-0000-0400-000008000000}">
            <xm:f>AND(IF(ISERROR(_xlfn._xlws.FILTER(39:39,39:39='Rent Roll Input'!$U$4)), FALSE, TRUE),H$8&lt;&gt;"")</xm:f>
            <x14:dxf>
              <fill>
                <patternFill>
                  <bgColor theme="0" tint="-4.9989318521683403E-2"/>
                </patternFill>
              </fill>
              <border>
                <left style="thin">
                  <color theme="0" tint="-4.9989318521683403E-2"/>
                </left>
                <right style="thin">
                  <color theme="0" tint="-4.9989318521683403E-2"/>
                </right>
                <top style="thin">
                  <color rgb="FF4D4D4D"/>
                </top>
                <bottom style="thin">
                  <color rgb="FF4D4D4D"/>
                </bottom>
                <vertical/>
                <horizontal/>
              </border>
            </x14:dxf>
          </x14:cfRule>
          <xm:sqref>H40 H47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DB35D-DB55-418E-90FD-58244E1FC33D}">
  <sheetPr codeName="Sheet13">
    <tabColor rgb="FF92D050"/>
    <pageSetUpPr fitToPage="1"/>
  </sheetPr>
  <dimension ref="B1:AA43"/>
  <sheetViews>
    <sheetView zoomScale="125" zoomScaleNormal="125" workbookViewId="0">
      <selection activeCell="O11" sqref="O11"/>
    </sheetView>
  </sheetViews>
  <sheetFormatPr defaultColWidth="9.140625" defaultRowHeight="15" x14ac:dyDescent="0.25"/>
  <cols>
    <col min="1" max="1" width="1.42578125" style="85" customWidth="1"/>
    <col min="2" max="2" width="1.28515625" style="85" customWidth="1"/>
    <col min="3" max="3" width="3.85546875" style="85" customWidth="1"/>
    <col min="4" max="4" width="0.85546875" style="85" customWidth="1"/>
    <col min="5" max="5" width="14.7109375" style="85" customWidth="1"/>
    <col min="6" max="6" width="9.140625" style="85"/>
    <col min="7" max="7" width="9.140625" style="85" customWidth="1"/>
    <col min="8" max="8" width="7.28515625" style="85" customWidth="1"/>
    <col min="9" max="9" width="10.42578125" style="281" customWidth="1"/>
    <col min="10" max="10" width="5.140625" style="281" customWidth="1"/>
    <col min="11" max="11" width="7" style="281" customWidth="1"/>
    <col min="12" max="12" width="5.140625" style="281" customWidth="1"/>
    <col min="13" max="13" width="8.85546875" style="281" customWidth="1"/>
    <col min="14" max="14" width="5.140625" style="281" customWidth="1"/>
    <col min="15" max="15" width="7.42578125" style="281" bestFit="1" customWidth="1"/>
    <col min="16" max="16" width="6" style="281" customWidth="1"/>
    <col min="17" max="17" width="7.42578125" style="281" bestFit="1" customWidth="1"/>
    <col min="18" max="18" width="4.7109375" style="281" bestFit="1" customWidth="1"/>
    <col min="19" max="19" width="4.28515625" style="281" customWidth="1"/>
    <col min="20" max="20" width="6.42578125" style="281" bestFit="1" customWidth="1"/>
    <col min="21" max="21" width="8.140625" style="281" bestFit="1" customWidth="1"/>
    <col min="22" max="22" width="6.85546875" style="281" bestFit="1" customWidth="1"/>
    <col min="23" max="23" width="1.42578125" style="85" customWidth="1"/>
    <col min="24" max="24" width="1.140625" style="85" customWidth="1"/>
    <col min="25" max="25" width="2.85546875" style="85" customWidth="1"/>
    <col min="26" max="26" width="16.42578125" style="85" customWidth="1"/>
    <col min="27" max="27" width="11.7109375" style="85" customWidth="1"/>
    <col min="28" max="16384" width="9.140625" style="85"/>
  </cols>
  <sheetData>
    <row r="1" spans="2:27" ht="4.5" customHeight="1" x14ac:dyDescent="0.25"/>
    <row r="2" spans="2:27" x14ac:dyDescent="0.25">
      <c r="C2" s="166"/>
      <c r="D2" s="167"/>
      <c r="E2" s="168" t="s">
        <v>395</v>
      </c>
      <c r="F2" s="167"/>
      <c r="G2" s="167"/>
      <c r="H2" s="167"/>
      <c r="I2" s="172"/>
      <c r="J2" s="172"/>
      <c r="K2" s="172"/>
      <c r="L2" s="172"/>
      <c r="M2" s="172"/>
      <c r="N2" s="172"/>
      <c r="O2" s="172"/>
      <c r="P2" s="172"/>
      <c r="Q2" s="172"/>
      <c r="R2" s="172"/>
      <c r="S2" s="172"/>
      <c r="T2" s="172"/>
      <c r="U2" s="172"/>
      <c r="V2" s="172"/>
      <c r="W2" s="169"/>
      <c r="X2" s="167"/>
      <c r="Y2" s="353"/>
      <c r="Z2" s="170" t="s">
        <v>396</v>
      </c>
      <c r="AA2" s="171" t="s">
        <v>191</v>
      </c>
    </row>
    <row r="3" spans="2:27" ht="6.75" customHeight="1" x14ac:dyDescent="0.25">
      <c r="C3" s="167"/>
      <c r="D3" s="167"/>
      <c r="E3" s="182"/>
      <c r="F3" s="182"/>
      <c r="G3" s="182"/>
      <c r="H3" s="182"/>
      <c r="I3" s="279"/>
      <c r="J3" s="280"/>
      <c r="K3" s="279"/>
      <c r="L3" s="280"/>
      <c r="M3" s="279"/>
      <c r="N3" s="280"/>
      <c r="O3" s="279"/>
      <c r="P3" s="280"/>
      <c r="Q3" s="280"/>
      <c r="R3" s="280"/>
      <c r="S3" s="280"/>
      <c r="T3" s="280"/>
      <c r="U3" s="280"/>
      <c r="V3" s="280"/>
      <c r="W3" s="169"/>
      <c r="X3" s="167"/>
      <c r="Y3" s="353"/>
      <c r="Z3" s="355"/>
      <c r="AA3" s="354"/>
    </row>
    <row r="4" spans="2:27" ht="15.75" thickBot="1" x14ac:dyDescent="0.3">
      <c r="C4" s="144"/>
      <c r="D4" s="180"/>
      <c r="E4" s="455" t="s">
        <v>397</v>
      </c>
      <c r="F4" s="456"/>
      <c r="G4" s="456"/>
      <c r="H4" s="456"/>
      <c r="I4" s="457" t="s">
        <v>398</v>
      </c>
      <c r="J4" s="458"/>
      <c r="K4" s="457" t="s">
        <v>273</v>
      </c>
      <c r="L4" s="459"/>
      <c r="M4" s="457" t="s">
        <v>280</v>
      </c>
      <c r="N4" s="459"/>
      <c r="O4" s="457" t="s">
        <v>399</v>
      </c>
      <c r="P4" s="460"/>
      <c r="Q4" s="457" t="s">
        <v>400</v>
      </c>
      <c r="R4" s="460"/>
      <c r="S4" s="461" t="s">
        <v>321</v>
      </c>
      <c r="T4" s="460" t="s">
        <v>401</v>
      </c>
      <c r="U4" s="462" t="s">
        <v>402</v>
      </c>
      <c r="V4" s="462" t="s">
        <v>403</v>
      </c>
      <c r="W4" s="181"/>
      <c r="X4" s="144"/>
      <c r="Y4" s="144"/>
      <c r="Z4" s="356"/>
      <c r="AA4" s="357"/>
    </row>
    <row r="5" spans="2:27" hidden="1" x14ac:dyDescent="0.25">
      <c r="C5" s="144"/>
      <c r="D5" s="180"/>
      <c r="E5" s="447" t="s">
        <v>404</v>
      </c>
      <c r="F5" s="448"/>
      <c r="G5" s="448"/>
      <c r="H5" s="448"/>
      <c r="I5" s="449"/>
      <c r="J5" s="450"/>
      <c r="K5" s="449"/>
      <c r="L5" s="451"/>
      <c r="M5" s="449"/>
      <c r="N5" s="451"/>
      <c r="O5" s="449"/>
      <c r="P5" s="452"/>
      <c r="Q5" s="449"/>
      <c r="R5" s="452"/>
      <c r="S5" s="453"/>
      <c r="T5" s="452"/>
      <c r="U5" s="454"/>
      <c r="V5" s="454"/>
      <c r="W5" s="150"/>
      <c r="X5" s="144"/>
      <c r="Y5" s="144"/>
      <c r="Z5" s="356"/>
      <c r="AA5" s="357"/>
    </row>
    <row r="6" spans="2:27" x14ac:dyDescent="0.25">
      <c r="B6" s="1047"/>
      <c r="C6" s="144"/>
      <c r="D6" s="144"/>
      <c r="E6" s="260" t="s">
        <v>316</v>
      </c>
      <c r="F6" s="189"/>
      <c r="G6" s="260"/>
      <c r="H6" s="260"/>
      <c r="I6" s="223"/>
      <c r="J6" s="191"/>
      <c r="K6" s="223"/>
      <c r="L6" s="191"/>
      <c r="M6" s="223"/>
      <c r="N6" s="191"/>
      <c r="O6" s="446">
        <f ca="1">'Annualized Rents'!$B$3</f>
        <v>0</v>
      </c>
      <c r="P6" s="191"/>
      <c r="Q6" s="191">
        <f ca="1">O6*(1+Year1_RentGrowth)</f>
        <v>0</v>
      </c>
      <c r="R6" s="270"/>
      <c r="S6" s="191">
        <f ca="1">'Annualized Rents'!$B$4</f>
        <v>0</v>
      </c>
      <c r="T6" s="210"/>
      <c r="U6" s="192">
        <f ca="1">IFERROR(Q6/Units,0)</f>
        <v>0</v>
      </c>
      <c r="V6" s="193">
        <f ca="1">IFERROR(Q6/Total_Sq_Ft,0)</f>
        <v>0</v>
      </c>
      <c r="W6" s="150"/>
      <c r="X6" s="144"/>
      <c r="Y6" s="144"/>
      <c r="Z6" s="151"/>
      <c r="AA6" s="152"/>
    </row>
    <row r="7" spans="2:27" x14ac:dyDescent="0.25">
      <c r="C7" s="144"/>
      <c r="D7" s="144"/>
      <c r="E7" s="183" t="s">
        <v>405</v>
      </c>
      <c r="F7" s="184"/>
      <c r="G7" s="183"/>
      <c r="H7" s="183"/>
      <c r="I7" s="204"/>
      <c r="J7" s="185">
        <f>IFERROR(-I7/I6,0)</f>
        <v>0</v>
      </c>
      <c r="K7" s="204"/>
      <c r="L7" s="185">
        <f>IFERROR(-K7/K6,0)</f>
        <v>0</v>
      </c>
      <c r="M7" s="204"/>
      <c r="N7" s="185">
        <f>IFERROR(-M7/M6,0)</f>
        <v>0</v>
      </c>
      <c r="O7" s="305">
        <f ca="1">O8-O6</f>
        <v>0</v>
      </c>
      <c r="P7" s="185">
        <f ca="1">IFERROR(-O7/O6,0)</f>
        <v>0</v>
      </c>
      <c r="Q7" s="186">
        <f ca="1">-Q6*R7</f>
        <v>0</v>
      </c>
      <c r="R7" s="263"/>
      <c r="S7" s="204"/>
      <c r="T7" s="205"/>
      <c r="U7" s="187">
        <f ca="1">IFERROR(Q7/Units,0)</f>
        <v>0</v>
      </c>
      <c r="V7" s="188">
        <f ca="1">IFERROR(Q7/Total_Sq_Ft,0)</f>
        <v>0</v>
      </c>
      <c r="W7" s="150"/>
      <c r="X7" s="144"/>
      <c r="Y7" s="144"/>
      <c r="Z7" s="153"/>
      <c r="AA7" s="153"/>
    </row>
    <row r="8" spans="2:27" x14ac:dyDescent="0.25">
      <c r="C8" s="144"/>
      <c r="D8" s="180"/>
      <c r="E8" s="525" t="s">
        <v>314</v>
      </c>
      <c r="F8" s="198"/>
      <c r="G8" s="198"/>
      <c r="H8" s="198"/>
      <c r="I8" s="367">
        <f>I6+I7</f>
        <v>0</v>
      </c>
      <c r="J8" s="199"/>
      <c r="K8" s="367">
        <f>K6+K7</f>
        <v>0</v>
      </c>
      <c r="L8" s="199"/>
      <c r="M8" s="367">
        <f>M6+M7</f>
        <v>0</v>
      </c>
      <c r="N8" s="199"/>
      <c r="O8" s="199">
        <f ca="1">INDEX(Annualized_Total_Rents,MATCH(E8,Annualized_Rents_OS_Type,0),1)</f>
        <v>0</v>
      </c>
      <c r="P8" s="199"/>
      <c r="Q8" s="199">
        <f ca="1">+Q6+Q7</f>
        <v>0</v>
      </c>
      <c r="R8" s="265"/>
      <c r="S8" s="199">
        <f ca="1">+S6+S7</f>
        <v>0</v>
      </c>
      <c r="T8" s="366"/>
      <c r="U8" s="200">
        <f ca="1">IFERROR(Q8/Units,0)</f>
        <v>0</v>
      </c>
      <c r="V8" s="201">
        <f ca="1">IFERROR(Q8/Total_Sq_Ft,0)</f>
        <v>0</v>
      </c>
      <c r="W8" s="181"/>
      <c r="X8" s="144"/>
      <c r="Y8" s="144"/>
      <c r="AA8" s="154"/>
    </row>
    <row r="9" spans="2:27" x14ac:dyDescent="0.25">
      <c r="C9" s="144"/>
      <c r="D9" s="144"/>
      <c r="E9" s="189" t="s">
        <v>406</v>
      </c>
      <c r="F9" s="142"/>
      <c r="G9" s="189"/>
      <c r="H9" s="189"/>
      <c r="I9" s="223"/>
      <c r="J9" s="190">
        <f>IFERROR(-I9/I8,0)</f>
        <v>0</v>
      </c>
      <c r="K9" s="223"/>
      <c r="L9" s="190">
        <f>IFERROR(-K9/K8,0)</f>
        <v>0</v>
      </c>
      <c r="M9" s="223"/>
      <c r="N9" s="190">
        <f>IFERROR(-M9/M8,0)</f>
        <v>0</v>
      </c>
      <c r="O9" s="276">
        <f ca="1">-O8*P9</f>
        <v>0</v>
      </c>
      <c r="P9" s="266"/>
      <c r="Q9" s="191">
        <f ca="1">-R9*Q8</f>
        <v>0</v>
      </c>
      <c r="R9" s="266"/>
      <c r="S9" s="223"/>
      <c r="T9" s="210"/>
      <c r="U9" s="192">
        <f ca="1">IFERROR(Q9/Units,0)</f>
        <v>0</v>
      </c>
      <c r="V9" s="193">
        <f ca="1">IFERROR(Q9/Total_Sq_Ft,0)</f>
        <v>0</v>
      </c>
      <c r="W9" s="150"/>
      <c r="X9" s="144"/>
      <c r="Y9" s="144"/>
      <c r="Z9" s="154"/>
      <c r="AA9" s="154"/>
    </row>
    <row r="10" spans="2:27" x14ac:dyDescent="0.25">
      <c r="C10" s="144"/>
      <c r="D10" s="144"/>
      <c r="E10" s="145" t="s">
        <v>407</v>
      </c>
      <c r="F10" s="155"/>
      <c r="G10" s="145"/>
      <c r="H10" s="145"/>
      <c r="I10" s="158"/>
      <c r="J10" s="157"/>
      <c r="K10" s="158"/>
      <c r="L10" s="157"/>
      <c r="M10" s="158"/>
      <c r="N10" s="157"/>
      <c r="O10" s="148"/>
      <c r="P10" s="157"/>
      <c r="Q10" s="157"/>
      <c r="R10" s="159"/>
      <c r="S10" s="159"/>
      <c r="T10" s="147"/>
      <c r="U10" s="148"/>
      <c r="V10" s="149"/>
      <c r="W10" s="150"/>
      <c r="X10" s="144"/>
      <c r="Y10" s="144"/>
      <c r="Z10" s="153"/>
      <c r="AA10" s="153"/>
    </row>
    <row r="11" spans="2:27" x14ac:dyDescent="0.25">
      <c r="C11" s="144"/>
      <c r="D11" s="144"/>
      <c r="E11" s="1106" t="s">
        <v>408</v>
      </c>
      <c r="F11" s="1106"/>
      <c r="G11" s="1106"/>
      <c r="H11" s="1106"/>
      <c r="I11" s="160"/>
      <c r="J11" s="347">
        <f>IFERROR(-I11/I8,0)</f>
        <v>0</v>
      </c>
      <c r="K11" s="160"/>
      <c r="L11" s="347">
        <f>IFERROR(-K11/K8,0)</f>
        <v>0</v>
      </c>
      <c r="M11" s="160"/>
      <c r="N11" s="347">
        <f>IFERROR(-M11/M8,0)</f>
        <v>0</v>
      </c>
      <c r="O11" s="160"/>
      <c r="P11" s="156">
        <f ca="1">IFERROR(-O11/O8,0)</f>
        <v>0</v>
      </c>
      <c r="Q11" s="146">
        <f ca="1">-$Q$8*R11</f>
        <v>0</v>
      </c>
      <c r="R11" s="268"/>
      <c r="S11" s="160"/>
      <c r="T11" s="147"/>
      <c r="U11" s="161">
        <f ca="1">IFERROR(Q11/Units,0)</f>
        <v>0</v>
      </c>
      <c r="V11" s="149">
        <f ca="1">IFERROR(Q11/Total_Sq_Ft,0)</f>
        <v>0</v>
      </c>
      <c r="W11" s="150"/>
      <c r="X11" s="144"/>
      <c r="Y11" s="144"/>
      <c r="Z11" s="153"/>
      <c r="AA11" s="153"/>
    </row>
    <row r="12" spans="2:27" x14ac:dyDescent="0.25">
      <c r="C12" s="144"/>
      <c r="D12" s="144"/>
      <c r="E12" s="1106" t="s">
        <v>409</v>
      </c>
      <c r="F12" s="1106"/>
      <c r="G12" s="1106"/>
      <c r="H12" s="1106"/>
      <c r="I12" s="160"/>
      <c r="J12" s="347">
        <f>IFERROR(-I12/I8,0)</f>
        <v>0</v>
      </c>
      <c r="K12" s="160"/>
      <c r="L12" s="347">
        <f>IFERROR(-K12/K8,0)</f>
        <v>0</v>
      </c>
      <c r="M12" s="160"/>
      <c r="N12" s="347">
        <f>IFERROR(-M12/M8,0)</f>
        <v>0</v>
      </c>
      <c r="O12" s="160"/>
      <c r="P12" s="156">
        <f ca="1">IFERROR(-O12/O8,0)</f>
        <v>0</v>
      </c>
      <c r="Q12" s="146">
        <f t="shared" ref="Q12:Q13" ca="1" si="0">-$Q$8*R12</f>
        <v>0</v>
      </c>
      <c r="R12" s="268"/>
      <c r="S12" s="160"/>
      <c r="T12" s="147"/>
      <c r="U12" s="161">
        <f ca="1">IFERROR(Q12/Units,0)</f>
        <v>0</v>
      </c>
      <c r="V12" s="149">
        <f ca="1">IFERROR(Q12/Total_Sq_Ft,0)</f>
        <v>0</v>
      </c>
      <c r="W12" s="150"/>
      <c r="X12" s="144"/>
      <c r="Y12" s="144"/>
      <c r="Z12" s="153"/>
      <c r="AA12" s="153"/>
    </row>
    <row r="13" spans="2:27" x14ac:dyDescent="0.25">
      <c r="C13" s="144"/>
      <c r="D13" s="144"/>
      <c r="E13" s="1112" t="s">
        <v>410</v>
      </c>
      <c r="F13" s="1112"/>
      <c r="G13" s="1112"/>
      <c r="H13" s="1112"/>
      <c r="I13" s="358"/>
      <c r="J13" s="359">
        <f>IFERROR(-I13/I8,0)</f>
        <v>0</v>
      </c>
      <c r="K13" s="358"/>
      <c r="L13" s="359">
        <f>IFERROR(-K13/K8,0)</f>
        <v>0</v>
      </c>
      <c r="M13" s="358"/>
      <c r="N13" s="359">
        <f>IFERROR(-M13/M8,0)</f>
        <v>0</v>
      </c>
      <c r="O13" s="358"/>
      <c r="P13" s="360">
        <f ca="1">IFERROR(-O13/O8,0)</f>
        <v>0</v>
      </c>
      <c r="Q13" s="361">
        <f t="shared" ca="1" si="0"/>
        <v>0</v>
      </c>
      <c r="R13" s="362"/>
      <c r="S13" s="358"/>
      <c r="T13" s="363"/>
      <c r="U13" s="364">
        <f ca="1">IFERROR(Q13/Units,0)</f>
        <v>0</v>
      </c>
      <c r="V13" s="365">
        <f ca="1">IFERROR(Q13/Total_Sq_Ft,0)</f>
        <v>0</v>
      </c>
      <c r="W13" s="150"/>
      <c r="X13" s="144"/>
      <c r="Y13" s="144"/>
      <c r="Z13" s="153"/>
      <c r="AA13" s="153"/>
    </row>
    <row r="14" spans="2:27" x14ac:dyDescent="0.25">
      <c r="C14" s="144"/>
      <c r="D14" s="180"/>
      <c r="E14" s="224" t="s">
        <v>411</v>
      </c>
      <c r="F14" s="225"/>
      <c r="G14" s="225"/>
      <c r="H14" s="225"/>
      <c r="I14" s="227">
        <f>SUM(I11:I13)+I9</f>
        <v>0</v>
      </c>
      <c r="J14" s="226">
        <f>IFERROR(-I14/I8,1)</f>
        <v>1</v>
      </c>
      <c r="K14" s="227">
        <f>SUM(K11:K13)+K9</f>
        <v>0</v>
      </c>
      <c r="L14" s="226">
        <f>IFERROR(-K14/K8,1)</f>
        <v>1</v>
      </c>
      <c r="M14" s="227">
        <f>SUM(M11:M13)+M9</f>
        <v>0</v>
      </c>
      <c r="N14" s="226">
        <f>IFERROR(-M14/M8,1)</f>
        <v>1</v>
      </c>
      <c r="O14" s="304">
        <f ca="1">SUM(O11:O13)+O9</f>
        <v>0</v>
      </c>
      <c r="P14" s="226">
        <f ca="1">IFERROR(-O14/O8,1)</f>
        <v>1</v>
      </c>
      <c r="Q14" s="227">
        <f ca="1">SUM(Q11:Q13)+Q9</f>
        <v>0</v>
      </c>
      <c r="R14" s="226">
        <f ca="1">IFERROR(-Q14/Q8,1)</f>
        <v>1</v>
      </c>
      <c r="S14" s="227">
        <f>SUM(S11:S13)+S9</f>
        <v>0</v>
      </c>
      <c r="T14" s="228"/>
      <c r="U14" s="229">
        <f ca="1">IFERROR(Q14/Units,0)</f>
        <v>0</v>
      </c>
      <c r="V14" s="352">
        <f ca="1">IFERROR(Q14/Total_Sq_Ft,0)</f>
        <v>0</v>
      </c>
      <c r="W14" s="181"/>
      <c r="X14" s="144"/>
      <c r="Y14" s="144"/>
      <c r="Z14" s="173"/>
      <c r="AA14" s="144"/>
    </row>
    <row r="15" spans="2:27" x14ac:dyDescent="0.25">
      <c r="C15" s="144"/>
      <c r="D15" s="144"/>
      <c r="E15" s="206" t="s">
        <v>412</v>
      </c>
      <c r="F15" s="207"/>
      <c r="G15" s="207"/>
      <c r="H15" s="206"/>
      <c r="I15" s="209">
        <f>100%-J14</f>
        <v>0</v>
      </c>
      <c r="J15" s="208"/>
      <c r="K15" s="209">
        <f>100%-L14</f>
        <v>0</v>
      </c>
      <c r="L15" s="208"/>
      <c r="M15" s="209">
        <f>100%-N14</f>
        <v>0</v>
      </c>
      <c r="N15" s="208"/>
      <c r="O15" s="209">
        <f ca="1">100%-P14</f>
        <v>0</v>
      </c>
      <c r="P15" s="208"/>
      <c r="Q15" s="209">
        <f ca="1">100%-R14</f>
        <v>0</v>
      </c>
      <c r="R15" s="208"/>
      <c r="S15" s="209" t="str">
        <f ca="1">IFERROR(1+S14/S8,"")</f>
        <v/>
      </c>
      <c r="T15" s="670"/>
      <c r="U15" s="211"/>
      <c r="V15" s="212"/>
      <c r="W15" s="150"/>
      <c r="X15" s="144"/>
      <c r="Y15" s="144"/>
      <c r="Z15" s="144"/>
      <c r="AA15" s="144"/>
    </row>
    <row r="16" spans="2:27" x14ac:dyDescent="0.25">
      <c r="C16" s="144"/>
      <c r="D16" s="180"/>
      <c r="E16" s="197" t="s">
        <v>413</v>
      </c>
      <c r="F16" s="197"/>
      <c r="G16" s="197"/>
      <c r="H16" s="197"/>
      <c r="I16" s="199">
        <f>+I8+I14</f>
        <v>0</v>
      </c>
      <c r="J16" s="199"/>
      <c r="K16" s="199">
        <f>+K8+K14</f>
        <v>0</v>
      </c>
      <c r="L16" s="199"/>
      <c r="M16" s="199">
        <f>+M8+M14</f>
        <v>0</v>
      </c>
      <c r="N16" s="199"/>
      <c r="O16" s="199">
        <f ca="1">+O8+O14</f>
        <v>0</v>
      </c>
      <c r="P16" s="199"/>
      <c r="Q16" s="199">
        <f ca="1">+Q8+Q14</f>
        <v>0</v>
      </c>
      <c r="R16" s="265"/>
      <c r="S16" s="199">
        <f ca="1">+S8+S14</f>
        <v>0</v>
      </c>
      <c r="T16" s="366"/>
      <c r="U16" s="200">
        <f ca="1">IFERROR(Q16/Units,0)</f>
        <v>0</v>
      </c>
      <c r="V16" s="201">
        <f ca="1">IFERROR(Q16/Total_Sq_Ft,0)</f>
        <v>0</v>
      </c>
      <c r="W16" s="181"/>
      <c r="X16" s="144"/>
      <c r="Y16" s="144"/>
      <c r="Z16" s="144"/>
      <c r="AA16" s="144"/>
    </row>
    <row r="17" spans="3:27" x14ac:dyDescent="0.25">
      <c r="C17" s="144"/>
      <c r="D17" s="144"/>
      <c r="E17" s="189" t="s">
        <v>414</v>
      </c>
      <c r="F17" s="189"/>
      <c r="G17" s="189"/>
      <c r="H17" s="189"/>
      <c r="I17" s="194"/>
      <c r="J17" s="194"/>
      <c r="K17" s="194"/>
      <c r="L17" s="194"/>
      <c r="M17" s="194"/>
      <c r="N17" s="194"/>
      <c r="O17" s="194"/>
      <c r="P17" s="194"/>
      <c r="Q17" s="194"/>
      <c r="R17" s="143"/>
      <c r="S17" s="143"/>
      <c r="T17" s="671"/>
      <c r="U17" s="195"/>
      <c r="V17" s="196"/>
      <c r="W17" s="150"/>
      <c r="X17" s="144"/>
      <c r="Y17" s="144"/>
      <c r="Z17" s="144"/>
      <c r="AA17" s="144"/>
    </row>
    <row r="18" spans="3:27" x14ac:dyDescent="0.25">
      <c r="C18" s="144"/>
      <c r="D18" s="144"/>
      <c r="E18" s="1106" t="s">
        <v>415</v>
      </c>
      <c r="F18" s="1106"/>
      <c r="G18" s="1106"/>
      <c r="H18" s="1106"/>
      <c r="I18" s="160">
        <v>0</v>
      </c>
      <c r="J18" s="347"/>
      <c r="K18" s="160">
        <v>0</v>
      </c>
      <c r="L18" s="347"/>
      <c r="M18" s="160">
        <v>0</v>
      </c>
      <c r="N18" s="347"/>
      <c r="O18" s="160"/>
      <c r="P18" s="159"/>
      <c r="Q18" s="160"/>
      <c r="R18" s="262"/>
      <c r="S18" s="261"/>
      <c r="T18" s="147"/>
      <c r="U18" s="148">
        <f ca="1">IFERROR(Q18/Units,0)</f>
        <v>0</v>
      </c>
      <c r="V18" s="149">
        <f ca="1">IFERROR(Q18/Total_Sq_Ft,0)</f>
        <v>0</v>
      </c>
      <c r="W18" s="150"/>
      <c r="X18" s="144"/>
      <c r="Y18" s="144"/>
      <c r="Z18" s="144"/>
      <c r="AA18" s="144"/>
    </row>
    <row r="19" spans="3:27" x14ac:dyDescent="0.25">
      <c r="C19" s="144"/>
      <c r="D19" s="144"/>
      <c r="E19" s="1113" t="s">
        <v>416</v>
      </c>
      <c r="F19" s="1113"/>
      <c r="G19" s="1113"/>
      <c r="H19" s="1113"/>
      <c r="I19" s="204">
        <v>0</v>
      </c>
      <c r="J19" s="348"/>
      <c r="K19" s="204">
        <v>0</v>
      </c>
      <c r="L19" s="348"/>
      <c r="M19" s="204">
        <v>0</v>
      </c>
      <c r="N19" s="348"/>
      <c r="O19" s="204"/>
      <c r="P19" s="186"/>
      <c r="Q19" s="204"/>
      <c r="R19" s="269"/>
      <c r="S19" s="264"/>
      <c r="T19" s="205"/>
      <c r="U19" s="187">
        <f ca="1">IFERROR(Q19/Units,0)</f>
        <v>0</v>
      </c>
      <c r="V19" s="188">
        <f ca="1">IFERROR(Q19/Total_Sq_Ft,0)</f>
        <v>0</v>
      </c>
      <c r="W19" s="150"/>
      <c r="X19" s="144"/>
      <c r="Y19" s="144"/>
      <c r="Z19" s="144"/>
      <c r="AA19" s="144"/>
    </row>
    <row r="20" spans="3:27" x14ac:dyDescent="0.25">
      <c r="C20" s="144"/>
      <c r="D20" s="180"/>
      <c r="E20" s="230" t="s">
        <v>417</v>
      </c>
      <c r="F20" s="230"/>
      <c r="G20" s="230"/>
      <c r="H20" s="230"/>
      <c r="I20" s="231">
        <f>SUM(I18:I19)</f>
        <v>0</v>
      </c>
      <c r="J20" s="231"/>
      <c r="K20" s="231">
        <f>SUM(K18:K19)</f>
        <v>0</v>
      </c>
      <c r="L20" s="231"/>
      <c r="M20" s="231">
        <f>SUM(M18:M19)</f>
        <v>0</v>
      </c>
      <c r="N20" s="231"/>
      <c r="O20" s="231">
        <f>SUM(O18:O19)</f>
        <v>0</v>
      </c>
      <c r="P20" s="231"/>
      <c r="Q20" s="231">
        <f>SUM(Q18:Q19)</f>
        <v>0</v>
      </c>
      <c r="R20" s="231"/>
      <c r="S20" s="231">
        <f>SUM(S18:S19)</f>
        <v>0</v>
      </c>
      <c r="T20" s="231"/>
      <c r="U20" s="232">
        <f ca="1">IFERROR(Q20/Units,0)</f>
        <v>0</v>
      </c>
      <c r="V20" s="233">
        <f ca="1">IFERROR(Q20/Total_Sq_Ft,0)</f>
        <v>0</v>
      </c>
      <c r="W20" s="181"/>
      <c r="X20" s="144"/>
      <c r="Y20" s="144"/>
      <c r="Z20" s="174"/>
      <c r="AA20" s="174"/>
    </row>
    <row r="21" spans="3:27" x14ac:dyDescent="0.25">
      <c r="C21" s="144"/>
      <c r="D21" s="180"/>
      <c r="E21" s="234" t="s">
        <v>418</v>
      </c>
      <c r="F21" s="234"/>
      <c r="G21" s="234"/>
      <c r="H21" s="234"/>
      <c r="I21" s="235">
        <f>I16+I20</f>
        <v>0</v>
      </c>
      <c r="J21" s="235"/>
      <c r="K21" s="235">
        <f>K16+K20</f>
        <v>0</v>
      </c>
      <c r="L21" s="235"/>
      <c r="M21" s="235">
        <f>M16+M20</f>
        <v>0</v>
      </c>
      <c r="N21" s="235"/>
      <c r="O21" s="235">
        <f ca="1">O16+O20</f>
        <v>0</v>
      </c>
      <c r="P21" s="235"/>
      <c r="Q21" s="235">
        <f ca="1">Q16+Q20</f>
        <v>0</v>
      </c>
      <c r="R21" s="235"/>
      <c r="S21" s="235">
        <f ca="1">S16+S20</f>
        <v>0</v>
      </c>
      <c r="T21" s="235"/>
      <c r="U21" s="236">
        <f ca="1">IFERROR(Q21/Units,0)</f>
        <v>0</v>
      </c>
      <c r="V21" s="237">
        <f ca="1">IFERROR(Q21/Total_Sq_Ft,0)</f>
        <v>0</v>
      </c>
      <c r="W21" s="181"/>
      <c r="X21" s="144"/>
      <c r="Y21" s="144"/>
      <c r="Z21" s="144"/>
      <c r="AA21" s="144"/>
    </row>
    <row r="22" spans="3:27" x14ac:dyDescent="0.25">
      <c r="C22" s="144"/>
      <c r="D22" s="144"/>
      <c r="E22" s="220"/>
      <c r="F22" s="220"/>
      <c r="G22" s="220"/>
      <c r="H22" s="220"/>
      <c r="I22" s="221"/>
      <c r="J22" s="221"/>
      <c r="K22" s="221"/>
      <c r="L22" s="221"/>
      <c r="M22" s="221"/>
      <c r="N22" s="221"/>
      <c r="O22" s="221"/>
      <c r="P22" s="221"/>
      <c r="Q22" s="221"/>
      <c r="R22" s="221"/>
      <c r="S22" s="221"/>
      <c r="T22" s="222"/>
      <c r="U22" s="221"/>
      <c r="V22" s="221"/>
      <c r="W22" s="150"/>
      <c r="X22" s="144"/>
      <c r="Y22" s="174"/>
      <c r="Z22" s="174"/>
      <c r="AA22" s="174"/>
    </row>
    <row r="23" spans="3:27" x14ac:dyDescent="0.25">
      <c r="C23" s="144"/>
      <c r="D23" s="180"/>
      <c r="E23" s="238" t="s">
        <v>419</v>
      </c>
      <c r="F23" s="238"/>
      <c r="G23" s="238"/>
      <c r="H23" s="238"/>
      <c r="I23" s="240" t="str">
        <f>I4</f>
        <v>Prior 3</v>
      </c>
      <c r="J23" s="239"/>
      <c r="K23" s="240" t="str">
        <f>K4</f>
        <v>Prior 2</v>
      </c>
      <c r="L23" s="239"/>
      <c r="M23" s="240" t="str">
        <f>M4</f>
        <v>Prior 1</v>
      </c>
      <c r="N23" s="239"/>
      <c r="O23" s="240" t="str">
        <f>O4</f>
        <v>CURRENT</v>
      </c>
      <c r="P23" s="239"/>
      <c r="Q23" s="240" t="str">
        <f>Q4</f>
        <v>YEAR 1</v>
      </c>
      <c r="R23" s="239"/>
      <c r="S23" s="239"/>
      <c r="T23" s="241" t="s">
        <v>401</v>
      </c>
      <c r="U23" s="241" t="s">
        <v>402</v>
      </c>
      <c r="V23" s="241" t="s">
        <v>403</v>
      </c>
      <c r="W23" s="181"/>
      <c r="X23" s="144"/>
      <c r="Y23" s="144"/>
      <c r="Z23" s="144"/>
      <c r="AA23" s="144"/>
    </row>
    <row r="24" spans="3:27" x14ac:dyDescent="0.25">
      <c r="C24" s="175"/>
      <c r="D24" s="175"/>
      <c r="E24" s="189" t="s">
        <v>420</v>
      </c>
      <c r="F24" s="189"/>
      <c r="G24" s="189"/>
      <c r="H24" s="189"/>
      <c r="I24" s="223"/>
      <c r="J24" s="191"/>
      <c r="K24" s="223"/>
      <c r="L24" s="276"/>
      <c r="M24" s="223"/>
      <c r="N24" s="276"/>
      <c r="O24" s="223"/>
      <c r="P24" s="191"/>
      <c r="Q24" s="223"/>
      <c r="R24" s="270"/>
      <c r="S24" s="267"/>
      <c r="T24" s="210"/>
      <c r="U24" s="192">
        <f t="shared" ref="U24:U39" ca="1" si="1">IFERROR(Q24/Units,0)</f>
        <v>0</v>
      </c>
      <c r="V24" s="193">
        <f t="shared" ref="V24:V39" ca="1" si="2">IFERROR(Q24/Total_Sq_Ft,0)</f>
        <v>0</v>
      </c>
      <c r="W24" s="150"/>
      <c r="X24" s="175"/>
      <c r="Y24" s="175"/>
      <c r="Z24" s="175"/>
      <c r="AA24" s="175"/>
    </row>
    <row r="25" spans="3:27" x14ac:dyDescent="0.25">
      <c r="C25" s="253"/>
      <c r="D25" s="253"/>
      <c r="E25" s="184" t="s">
        <v>421</v>
      </c>
      <c r="F25" s="184"/>
      <c r="G25" s="184"/>
      <c r="H25" s="184"/>
      <c r="I25" s="204"/>
      <c r="J25" s="305"/>
      <c r="K25" s="204"/>
      <c r="L25" s="305"/>
      <c r="M25" s="204"/>
      <c r="N25" s="305"/>
      <c r="O25" s="204"/>
      <c r="P25" s="186"/>
      <c r="Q25" s="204"/>
      <c r="R25" s="269"/>
      <c r="S25" s="264"/>
      <c r="T25" s="205"/>
      <c r="U25" s="187">
        <f t="shared" ca="1" si="1"/>
        <v>0</v>
      </c>
      <c r="V25" s="188">
        <f t="shared" ca="1" si="2"/>
        <v>0</v>
      </c>
      <c r="W25" s="150"/>
      <c r="X25" s="175"/>
      <c r="Y25" s="175"/>
      <c r="Z25" s="175"/>
      <c r="AA25" s="175"/>
    </row>
    <row r="26" spans="3:27" x14ac:dyDescent="0.25">
      <c r="C26" s="1108" t="s">
        <v>422</v>
      </c>
      <c r="D26" s="254"/>
      <c r="E26" s="1111" t="s">
        <v>423</v>
      </c>
      <c r="F26" s="1111"/>
      <c r="G26" s="1111"/>
      <c r="H26" s="1111"/>
      <c r="I26" s="255"/>
      <c r="J26" s="349"/>
      <c r="K26" s="255"/>
      <c r="L26" s="349"/>
      <c r="M26" s="255"/>
      <c r="N26" s="349"/>
      <c r="O26" s="255"/>
      <c r="P26" s="271"/>
      <c r="Q26" s="255"/>
      <c r="R26" s="272"/>
      <c r="S26" s="273"/>
      <c r="T26" s="256"/>
      <c r="U26" s="257">
        <f t="shared" ca="1" si="1"/>
        <v>0</v>
      </c>
      <c r="V26" s="258">
        <f t="shared" ca="1" si="2"/>
        <v>0</v>
      </c>
      <c r="W26" s="150"/>
      <c r="X26" s="175"/>
      <c r="Y26" s="175"/>
      <c r="Z26" s="175"/>
      <c r="AA26" s="175"/>
    </row>
    <row r="27" spans="3:27" x14ac:dyDescent="0.25">
      <c r="C27" s="1109"/>
      <c r="D27" s="175"/>
      <c r="E27" s="1106" t="s">
        <v>424</v>
      </c>
      <c r="F27" s="1106"/>
      <c r="G27" s="1106"/>
      <c r="H27" s="1106"/>
      <c r="I27" s="160"/>
      <c r="J27" s="350"/>
      <c r="K27" s="160"/>
      <c r="L27" s="350"/>
      <c r="M27" s="160"/>
      <c r="N27" s="350"/>
      <c r="O27" s="160"/>
      <c r="P27" s="146"/>
      <c r="Q27" s="160"/>
      <c r="R27" s="262"/>
      <c r="S27" s="261"/>
      <c r="T27" s="147"/>
      <c r="U27" s="148">
        <f t="shared" ca="1" si="1"/>
        <v>0</v>
      </c>
      <c r="V27" s="149">
        <f t="shared" ca="1" si="2"/>
        <v>0</v>
      </c>
      <c r="W27" s="150"/>
      <c r="X27" s="175"/>
      <c r="Y27" s="175"/>
      <c r="Z27" s="175"/>
      <c r="AA27" s="175"/>
    </row>
    <row r="28" spans="3:27" x14ac:dyDescent="0.25">
      <c r="C28" s="1110"/>
      <c r="D28" s="251"/>
      <c r="E28" s="1107" t="s">
        <v>425</v>
      </c>
      <c r="F28" s="1107"/>
      <c r="G28" s="1107"/>
      <c r="H28" s="1107"/>
      <c r="I28" s="162"/>
      <c r="J28" s="351"/>
      <c r="K28" s="162"/>
      <c r="L28" s="351"/>
      <c r="M28" s="162"/>
      <c r="N28" s="351"/>
      <c r="O28" s="162"/>
      <c r="P28" s="163"/>
      <c r="Q28" s="162"/>
      <c r="R28" s="274"/>
      <c r="S28" s="275"/>
      <c r="T28" s="164"/>
      <c r="U28" s="252">
        <f t="shared" ca="1" si="1"/>
        <v>0</v>
      </c>
      <c r="V28" s="165">
        <f t="shared" ca="1" si="2"/>
        <v>0</v>
      </c>
      <c r="W28" s="150"/>
      <c r="X28" s="175"/>
      <c r="Y28" s="175"/>
      <c r="Z28" s="175"/>
      <c r="AA28" s="175"/>
    </row>
    <row r="29" spans="3:27" x14ac:dyDescent="0.25">
      <c r="C29" s="1108" t="s">
        <v>426</v>
      </c>
      <c r="D29" s="254"/>
      <c r="E29" s="1111" t="s">
        <v>427</v>
      </c>
      <c r="F29" s="1111"/>
      <c r="G29" s="1111"/>
      <c r="H29" s="1111"/>
      <c r="I29" s="255"/>
      <c r="J29" s="349"/>
      <c r="K29" s="255"/>
      <c r="L29" s="349"/>
      <c r="M29" s="255"/>
      <c r="N29" s="349"/>
      <c r="O29" s="255"/>
      <c r="P29" s="271"/>
      <c r="Q29" s="255"/>
      <c r="R29" s="272"/>
      <c r="S29" s="273"/>
      <c r="T29" s="256"/>
      <c r="U29" s="257">
        <f t="shared" ca="1" si="1"/>
        <v>0</v>
      </c>
      <c r="V29" s="258">
        <f t="shared" ca="1" si="2"/>
        <v>0</v>
      </c>
      <c r="W29" s="150"/>
      <c r="X29" s="175"/>
      <c r="Y29" s="175"/>
      <c r="Z29" s="175"/>
      <c r="AA29" s="175"/>
    </row>
    <row r="30" spans="3:27" x14ac:dyDescent="0.25">
      <c r="C30" s="1109"/>
      <c r="D30" s="175"/>
      <c r="E30" s="1106" t="s">
        <v>428</v>
      </c>
      <c r="F30" s="1106"/>
      <c r="G30" s="1106"/>
      <c r="H30" s="1106"/>
      <c r="I30" s="160"/>
      <c r="J30" s="350"/>
      <c r="K30" s="160"/>
      <c r="L30" s="350"/>
      <c r="M30" s="160"/>
      <c r="N30" s="350"/>
      <c r="O30" s="160"/>
      <c r="P30" s="146"/>
      <c r="Q30" s="160"/>
      <c r="R30" s="262"/>
      <c r="S30" s="261"/>
      <c r="T30" s="147"/>
      <c r="U30" s="148">
        <f t="shared" ca="1" si="1"/>
        <v>0</v>
      </c>
      <c r="V30" s="149">
        <f t="shared" ca="1" si="2"/>
        <v>0</v>
      </c>
      <c r="W30" s="150"/>
      <c r="X30" s="175"/>
      <c r="Y30" s="175"/>
      <c r="Z30" s="175"/>
      <c r="AA30" s="175"/>
    </row>
    <row r="31" spans="3:27" x14ac:dyDescent="0.25">
      <c r="C31" s="1109"/>
      <c r="D31" s="175"/>
      <c r="E31" s="1106" t="s">
        <v>429</v>
      </c>
      <c r="F31" s="1106"/>
      <c r="G31" s="1106"/>
      <c r="H31" s="1106"/>
      <c r="I31" s="160"/>
      <c r="J31" s="350"/>
      <c r="K31" s="160"/>
      <c r="L31" s="350"/>
      <c r="M31" s="160"/>
      <c r="N31" s="350"/>
      <c r="O31" s="160"/>
      <c r="P31" s="146"/>
      <c r="Q31" s="160"/>
      <c r="R31" s="262"/>
      <c r="S31" s="261"/>
      <c r="T31" s="147"/>
      <c r="U31" s="148">
        <f t="shared" ca="1" si="1"/>
        <v>0</v>
      </c>
      <c r="V31" s="149">
        <f t="shared" ca="1" si="2"/>
        <v>0</v>
      </c>
      <c r="W31" s="150"/>
      <c r="X31" s="175"/>
      <c r="Y31" s="175"/>
      <c r="Z31" s="175"/>
      <c r="AA31" s="175"/>
    </row>
    <row r="32" spans="3:27" x14ac:dyDescent="0.25">
      <c r="C32" s="1109"/>
      <c r="D32" s="175"/>
      <c r="E32" s="1106" t="s">
        <v>430</v>
      </c>
      <c r="F32" s="1106"/>
      <c r="G32" s="1106"/>
      <c r="H32" s="1106"/>
      <c r="I32" s="160"/>
      <c r="J32" s="350"/>
      <c r="K32" s="160"/>
      <c r="L32" s="350"/>
      <c r="M32" s="160"/>
      <c r="N32" s="350"/>
      <c r="O32" s="160"/>
      <c r="P32" s="146"/>
      <c r="Q32" s="160"/>
      <c r="R32" s="262"/>
      <c r="S32" s="261"/>
      <c r="T32" s="147"/>
      <c r="U32" s="148">
        <f t="shared" ca="1" si="1"/>
        <v>0</v>
      </c>
      <c r="V32" s="149">
        <f t="shared" ca="1" si="2"/>
        <v>0</v>
      </c>
      <c r="W32" s="150"/>
      <c r="X32" s="175"/>
      <c r="Y32" s="175"/>
      <c r="Z32" s="175"/>
      <c r="AA32" s="175"/>
    </row>
    <row r="33" spans="3:27" x14ac:dyDescent="0.25">
      <c r="C33" s="1109"/>
      <c r="D33" s="175"/>
      <c r="E33" s="1106" t="s">
        <v>431</v>
      </c>
      <c r="F33" s="1106"/>
      <c r="G33" s="1106"/>
      <c r="H33" s="1106"/>
      <c r="I33" s="160"/>
      <c r="J33" s="350"/>
      <c r="K33" s="160"/>
      <c r="L33" s="350"/>
      <c r="M33" s="160"/>
      <c r="N33" s="350"/>
      <c r="O33" s="160"/>
      <c r="P33" s="146"/>
      <c r="Q33" s="160"/>
      <c r="R33" s="262"/>
      <c r="S33" s="261"/>
      <c r="T33" s="147"/>
      <c r="U33" s="148">
        <f t="shared" ca="1" si="1"/>
        <v>0</v>
      </c>
      <c r="V33" s="149">
        <f t="shared" ca="1" si="2"/>
        <v>0</v>
      </c>
      <c r="W33" s="150"/>
      <c r="X33" s="175"/>
      <c r="Y33" s="175"/>
      <c r="Z33" s="175"/>
      <c r="AA33" s="175"/>
    </row>
    <row r="34" spans="3:27" x14ac:dyDescent="0.25">
      <c r="C34" s="1109"/>
      <c r="D34" s="175"/>
      <c r="E34" s="1106" t="s">
        <v>432</v>
      </c>
      <c r="F34" s="1106"/>
      <c r="G34" s="1106"/>
      <c r="H34" s="1106"/>
      <c r="I34" s="160"/>
      <c r="J34" s="350"/>
      <c r="K34" s="160"/>
      <c r="L34" s="350"/>
      <c r="M34" s="160"/>
      <c r="N34" s="350"/>
      <c r="O34" s="160"/>
      <c r="P34" s="146"/>
      <c r="Q34" s="160"/>
      <c r="R34" s="262"/>
      <c r="S34" s="261"/>
      <c r="T34" s="147"/>
      <c r="U34" s="148">
        <f t="shared" ca="1" si="1"/>
        <v>0</v>
      </c>
      <c r="V34" s="149">
        <f t="shared" ca="1" si="2"/>
        <v>0</v>
      </c>
      <c r="W34" s="150"/>
      <c r="X34" s="175"/>
      <c r="Y34" s="175"/>
      <c r="Z34" s="175"/>
      <c r="AA34" s="175"/>
    </row>
    <row r="35" spans="3:27" x14ac:dyDescent="0.25">
      <c r="C35" s="1109"/>
      <c r="D35" s="175"/>
      <c r="E35" s="1106" t="s">
        <v>433</v>
      </c>
      <c r="F35" s="1106"/>
      <c r="G35" s="1106"/>
      <c r="H35" s="1106"/>
      <c r="I35" s="160"/>
      <c r="J35" s="350"/>
      <c r="K35" s="160"/>
      <c r="L35" s="350"/>
      <c r="M35" s="160"/>
      <c r="N35" s="350"/>
      <c r="O35" s="160"/>
      <c r="P35" s="146"/>
      <c r="Q35" s="160"/>
      <c r="R35" s="262"/>
      <c r="S35" s="261"/>
      <c r="T35" s="147"/>
      <c r="U35" s="148">
        <f t="shared" ca="1" si="1"/>
        <v>0</v>
      </c>
      <c r="V35" s="149">
        <f t="shared" ca="1" si="2"/>
        <v>0</v>
      </c>
      <c r="W35" s="150"/>
      <c r="X35" s="175"/>
      <c r="Y35" s="175"/>
      <c r="Z35" s="175"/>
      <c r="AA35" s="175"/>
    </row>
    <row r="36" spans="3:27" x14ac:dyDescent="0.25">
      <c r="C36" s="1110"/>
      <c r="D36" s="251"/>
      <c r="E36" s="1107" t="s">
        <v>434</v>
      </c>
      <c r="F36" s="1107"/>
      <c r="G36" s="1107"/>
      <c r="H36" s="1107"/>
      <c r="I36" s="162"/>
      <c r="J36" s="351"/>
      <c r="K36" s="162"/>
      <c r="L36" s="351"/>
      <c r="M36" s="162"/>
      <c r="N36" s="351"/>
      <c r="O36" s="162"/>
      <c r="P36" s="163"/>
      <c r="Q36" s="162"/>
      <c r="R36" s="274"/>
      <c r="S36" s="275"/>
      <c r="T36" s="164"/>
      <c r="U36" s="252">
        <f t="shared" ca="1" si="1"/>
        <v>0</v>
      </c>
      <c r="V36" s="165">
        <f t="shared" ca="1" si="2"/>
        <v>0</v>
      </c>
      <c r="W36" s="150"/>
      <c r="X36" s="175"/>
      <c r="Y36" s="175"/>
      <c r="Z36" s="175"/>
      <c r="AA36" s="175"/>
    </row>
    <row r="37" spans="3:27" x14ac:dyDescent="0.25">
      <c r="C37" s="250"/>
      <c r="D37" s="259"/>
      <c r="E37" s="189" t="s">
        <v>435</v>
      </c>
      <c r="F37" s="189"/>
      <c r="G37" s="260"/>
      <c r="H37" s="260"/>
      <c r="I37" s="223"/>
      <c r="J37" s="276"/>
      <c r="K37" s="223"/>
      <c r="L37" s="276"/>
      <c r="M37" s="223"/>
      <c r="N37" s="276"/>
      <c r="O37" s="223"/>
      <c r="P37" s="276"/>
      <c r="Q37" s="223"/>
      <c r="R37" s="143"/>
      <c r="S37" s="267"/>
      <c r="T37" s="210"/>
      <c r="U37" s="192">
        <f t="shared" ca="1" si="1"/>
        <v>0</v>
      </c>
      <c r="V37" s="193">
        <f t="shared" ca="1" si="2"/>
        <v>0</v>
      </c>
      <c r="W37" s="150"/>
      <c r="X37" s="175"/>
      <c r="Y37" s="175"/>
      <c r="Z37" s="175"/>
      <c r="AA37" s="175"/>
    </row>
    <row r="38" spans="3:27" x14ac:dyDescent="0.25">
      <c r="C38" s="175"/>
      <c r="D38" s="176"/>
      <c r="E38" s="184" t="s">
        <v>436</v>
      </c>
      <c r="F38" s="184"/>
      <c r="G38" s="183"/>
      <c r="H38" s="183"/>
      <c r="I38" s="204"/>
      <c r="J38" s="186"/>
      <c r="K38" s="204"/>
      <c r="L38" s="186"/>
      <c r="M38" s="204"/>
      <c r="N38" s="305"/>
      <c r="O38" s="186">
        <f ca="1">O21*P38</f>
        <v>0</v>
      </c>
      <c r="P38" s="263"/>
      <c r="Q38" s="186">
        <f ca="1">R38*Q21</f>
        <v>0</v>
      </c>
      <c r="R38" s="263"/>
      <c r="S38" s="264"/>
      <c r="T38" s="205"/>
      <c r="U38" s="187">
        <f t="shared" ca="1" si="1"/>
        <v>0</v>
      </c>
      <c r="V38" s="188">
        <f t="shared" ca="1" si="2"/>
        <v>0</v>
      </c>
      <c r="W38" s="150"/>
      <c r="X38" s="175"/>
      <c r="Y38" s="175"/>
      <c r="Z38" s="175"/>
      <c r="AA38" s="175"/>
    </row>
    <row r="39" spans="3:27" x14ac:dyDescent="0.25">
      <c r="C39" s="175"/>
      <c r="D39" s="202"/>
      <c r="E39" s="242" t="s">
        <v>437</v>
      </c>
      <c r="F39" s="242"/>
      <c r="G39" s="242"/>
      <c r="H39" s="242"/>
      <c r="I39" s="243">
        <f>SUM(I24:I38)</f>
        <v>0</v>
      </c>
      <c r="J39" s="243"/>
      <c r="K39" s="243">
        <f>SUM(K24:K38)</f>
        <v>0</v>
      </c>
      <c r="L39" s="243"/>
      <c r="M39" s="243">
        <f>SUM(M24:M38)</f>
        <v>0</v>
      </c>
      <c r="N39" s="243"/>
      <c r="O39" s="243">
        <f ca="1">SUM(O24:O38)</f>
        <v>0</v>
      </c>
      <c r="P39" s="243"/>
      <c r="Q39" s="243">
        <f ca="1">SUM(Q24:Q38)</f>
        <v>0</v>
      </c>
      <c r="R39" s="243"/>
      <c r="S39" s="243">
        <f>SUM(S24:S38)</f>
        <v>0</v>
      </c>
      <c r="T39" s="243"/>
      <c r="U39" s="244">
        <f t="shared" ca="1" si="1"/>
        <v>0</v>
      </c>
      <c r="V39" s="245">
        <f t="shared" ca="1" si="2"/>
        <v>0</v>
      </c>
      <c r="W39" s="181"/>
      <c r="X39" s="175"/>
      <c r="Y39" s="175"/>
      <c r="Z39" s="175"/>
      <c r="AA39" s="175"/>
    </row>
    <row r="40" spans="3:27" x14ac:dyDescent="0.25">
      <c r="C40" s="175"/>
      <c r="D40" s="202"/>
      <c r="E40" s="215" t="s">
        <v>438</v>
      </c>
      <c r="F40" s="215"/>
      <c r="G40" s="215"/>
      <c r="H40" s="215"/>
      <c r="I40" s="216">
        <f>IFERROR(I39/I21,0)</f>
        <v>0</v>
      </c>
      <c r="J40" s="217"/>
      <c r="K40" s="216">
        <f>IFERROR(K39/K21,0)</f>
        <v>0</v>
      </c>
      <c r="L40" s="217"/>
      <c r="M40" s="216">
        <f>IFERROR(M39/M21,0)</f>
        <v>0</v>
      </c>
      <c r="N40" s="217"/>
      <c r="O40" s="216">
        <f ca="1">IFERROR(O39/O21,0)</f>
        <v>0</v>
      </c>
      <c r="P40" s="217"/>
      <c r="Q40" s="216">
        <f ca="1">IFERROR(Q39/Q21,0)</f>
        <v>0</v>
      </c>
      <c r="R40" s="217"/>
      <c r="S40" s="216">
        <f ca="1">IFERROR(S39/S21,0)</f>
        <v>0</v>
      </c>
      <c r="T40" s="217"/>
      <c r="U40" s="218"/>
      <c r="V40" s="219"/>
      <c r="W40" s="181"/>
      <c r="X40" s="175"/>
      <c r="Y40" s="175"/>
      <c r="Z40" s="175"/>
      <c r="AA40" s="175"/>
    </row>
    <row r="41" spans="3:27" x14ac:dyDescent="0.25">
      <c r="C41" s="175"/>
      <c r="D41" s="202"/>
      <c r="E41" s="246" t="s">
        <v>439</v>
      </c>
      <c r="F41" s="246"/>
      <c r="G41" s="246"/>
      <c r="H41" s="246"/>
      <c r="I41" s="247">
        <f>I21-I39</f>
        <v>0</v>
      </c>
      <c r="J41" s="247"/>
      <c r="K41" s="247">
        <f>K21-K39</f>
        <v>0</v>
      </c>
      <c r="L41" s="247"/>
      <c r="M41" s="247">
        <f>M21-M39</f>
        <v>0</v>
      </c>
      <c r="N41" s="247"/>
      <c r="O41" s="247">
        <f ca="1">O21-O39</f>
        <v>0</v>
      </c>
      <c r="P41" s="247"/>
      <c r="Q41" s="247">
        <f ca="1">Q21-Q39</f>
        <v>0</v>
      </c>
      <c r="R41" s="277"/>
      <c r="S41" s="247">
        <f ca="1">S21-S39</f>
        <v>0</v>
      </c>
      <c r="T41" s="247"/>
      <c r="U41" s="248">
        <f ca="1">IFERROR(Q41/Units,0)</f>
        <v>0</v>
      </c>
      <c r="V41" s="249">
        <f ca="1">IFERROR(Q41/Total_Sq_Ft,0)</f>
        <v>0</v>
      </c>
      <c r="W41" s="203"/>
      <c r="X41" s="175"/>
      <c r="Y41" s="175"/>
      <c r="Z41" s="175"/>
      <c r="AA41" s="175"/>
    </row>
    <row r="42" spans="3:27" x14ac:dyDescent="0.25">
      <c r="C42" s="175"/>
      <c r="D42" s="175"/>
      <c r="E42" s="213" t="s">
        <v>440</v>
      </c>
      <c r="F42" s="214"/>
      <c r="G42" s="214"/>
      <c r="H42" s="214"/>
      <c r="I42" s="278"/>
      <c r="J42" s="278"/>
      <c r="K42" s="278"/>
      <c r="L42" s="278"/>
      <c r="M42" s="278"/>
      <c r="N42" s="278"/>
      <c r="O42" s="278"/>
      <c r="P42" s="278"/>
      <c r="Q42" s="278"/>
      <c r="R42" s="278"/>
      <c r="S42" s="278"/>
      <c r="T42" s="278"/>
      <c r="U42" s="278"/>
      <c r="V42" s="278"/>
      <c r="W42" s="150"/>
      <c r="X42" s="175"/>
      <c r="Y42" s="175"/>
      <c r="Z42" s="175"/>
      <c r="AA42" s="175"/>
    </row>
    <row r="43" spans="3:27" x14ac:dyDescent="0.25">
      <c r="C43" s="167"/>
      <c r="D43" s="167"/>
      <c r="E43" s="177"/>
      <c r="F43" s="177"/>
      <c r="G43" s="177"/>
      <c r="H43" s="177"/>
      <c r="I43" s="158"/>
      <c r="J43" s="158"/>
      <c r="K43" s="158"/>
      <c r="L43" s="158"/>
      <c r="M43" s="158"/>
      <c r="N43" s="158"/>
      <c r="O43" s="158"/>
      <c r="P43" s="158"/>
      <c r="Q43" s="158"/>
      <c r="R43" s="158"/>
      <c r="S43" s="158"/>
      <c r="T43" s="158"/>
      <c r="U43" s="158"/>
      <c r="V43" s="158"/>
      <c r="W43" s="178"/>
      <c r="X43" s="179"/>
      <c r="Y43" s="167"/>
      <c r="Z43" s="167"/>
      <c r="AA43" s="167"/>
    </row>
  </sheetData>
  <mergeCells count="18">
    <mergeCell ref="E11:H11"/>
    <mergeCell ref="E12:H12"/>
    <mergeCell ref="E13:H13"/>
    <mergeCell ref="E18:H18"/>
    <mergeCell ref="E19:H19"/>
    <mergeCell ref="E34:H34"/>
    <mergeCell ref="E35:H35"/>
    <mergeCell ref="E36:H36"/>
    <mergeCell ref="C26:C28"/>
    <mergeCell ref="E26:H26"/>
    <mergeCell ref="E27:H27"/>
    <mergeCell ref="E28:H28"/>
    <mergeCell ref="C29:C36"/>
    <mergeCell ref="E29:H29"/>
    <mergeCell ref="E30:H30"/>
    <mergeCell ref="E31:H31"/>
    <mergeCell ref="E32:H32"/>
    <mergeCell ref="E33:H33"/>
  </mergeCells>
  <conditionalFormatting sqref="E8 T8 T16">
    <cfRule type="expression" dxfId="42" priority="1">
      <formula>Input_Shading = "Yes"</formula>
    </cfRule>
  </conditionalFormatting>
  <conditionalFormatting sqref="E6:V7 E9:V13 T15 E18:T19 E24:T38">
    <cfRule type="expression" dxfId="41" priority="3">
      <formula>Input_Shading = "Yes"</formula>
    </cfRule>
  </conditionalFormatting>
  <conditionalFormatting sqref="I4:I5 K4:K5 M4:M5 O4:O5 Q4:Q5">
    <cfRule type="expression" dxfId="40" priority="7">
      <formula>$AC$7="Yes"</formula>
    </cfRule>
  </conditionalFormatting>
  <conditionalFormatting sqref="I4:Q5">
    <cfRule type="expression" dxfId="39" priority="2">
      <formula>Input_Shading = "Yes"</formula>
    </cfRule>
  </conditionalFormatting>
  <conditionalFormatting sqref="O4:O5 Q4:Q5 I4:I7 K4:K7 M4:M7 T6:T13 T15:T19 R7 I9 K9 M9 P9 R9 E11:O13 R11:R13 E18:O19 Q18:Q19 O24:O37 Q24:Q37 I24:I38 K24:K38 M24:M38 T24:T38 E26:H36 J26:J36 L26:L36 N26:N36 P38 R38">
    <cfRule type="expression" dxfId="38" priority="8">
      <formula>$AC$7= "Yes"</formula>
    </cfRule>
  </conditionalFormatting>
  <conditionalFormatting sqref="T8 T16">
    <cfRule type="expression" dxfId="37" priority="6">
      <formula>$AC$7="Yes"</formula>
    </cfRule>
  </conditionalFormatting>
  <conditionalFormatting sqref="Z4:AA5">
    <cfRule type="expression" dxfId="36" priority="4">
      <formula>$AA$3&lt;&gt;"Tax Rate %"</formula>
    </cfRule>
  </conditionalFormatting>
  <dataValidations count="4">
    <dataValidation type="decimal" operator="lessThanOrEqual" allowBlank="1" showInputMessage="1" showErrorMessage="1" sqref="S11:S13" xr:uid="{F8F8668F-8200-4897-A714-8AB5B81C9389}">
      <formula1>0</formula1>
    </dataValidation>
    <dataValidation type="list" allowBlank="1" showErrorMessage="1" error="Please choose up to 3 additional years of operating data." sqref="AA2" xr:uid="{015E2E39-5F60-4AC5-8FE3-3FE9418B655C}">
      <formula1>"Yes, No"</formula1>
    </dataValidation>
    <dataValidation type="decimal" operator="lessThanOrEqual" allowBlank="1" showInputMessage="1" showErrorMessage="1" errorTitle="Invalid Entry" error="Value must be less than or equal to zero." sqref="O11:O13 M11:M13 K11:K13 I11:I13" xr:uid="{0806C61B-6C28-4A86-B3CE-84F6E5A8221F}">
      <formula1>0</formula1>
    </dataValidation>
    <dataValidation type="list" allowBlank="1" showInputMessage="1" showErrorMessage="1" sqref="E8" xr:uid="{7AEEA14E-0F4A-4088-8D50-FB71B8D61BB7}">
      <formula1>"Gross Current Rent, Gross Scheduled Rent"</formula1>
    </dataValidation>
  </dataValidations>
  <printOptions horizontalCentered="1" verticalCentered="1"/>
  <pageMargins left="0.5" right="0.5" top="1.75" bottom="0.5" header="0" footer="0"/>
  <pageSetup scale="81" orientation="landscape" r:id="rId1"/>
  <customProperties>
    <customPr name="GUID" r:id="rId2"/>
  </customProperties>
  <ignoredErrors>
    <ignoredError sqref="O7 J14:R14"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4449-1110-43F0-BE5C-5AC4728306BE}">
  <sheetPr codeName="Sheet12">
    <tabColor rgb="FF92D050"/>
    <pageSetUpPr fitToPage="1"/>
  </sheetPr>
  <dimension ref="A1:Z109"/>
  <sheetViews>
    <sheetView zoomScale="125" zoomScaleNormal="125" workbookViewId="0">
      <selection activeCell="D4" sqref="D4"/>
    </sheetView>
  </sheetViews>
  <sheetFormatPr defaultColWidth="8.85546875" defaultRowHeight="15" x14ac:dyDescent="0.25"/>
  <cols>
    <col min="1" max="1" width="3.28515625" customWidth="1"/>
    <col min="2" max="2" width="3.140625" customWidth="1"/>
    <col min="4" max="4" width="108.28515625" customWidth="1"/>
  </cols>
  <sheetData>
    <row r="1" spans="1:26" x14ac:dyDescent="0.25">
      <c r="A1" s="85"/>
      <c r="B1" s="85"/>
      <c r="C1" s="85"/>
      <c r="D1" s="85"/>
      <c r="E1" s="85"/>
      <c r="F1" s="85"/>
      <c r="G1" s="85"/>
      <c r="H1" s="85"/>
      <c r="I1" s="85"/>
      <c r="J1" s="85"/>
      <c r="K1" s="85"/>
      <c r="L1" s="85"/>
      <c r="M1" s="85"/>
      <c r="N1" s="85"/>
      <c r="O1" s="85"/>
      <c r="P1" s="85"/>
      <c r="Q1" s="85"/>
      <c r="R1" s="85"/>
      <c r="S1" s="85"/>
      <c r="T1" s="85"/>
      <c r="U1" s="85"/>
      <c r="V1" s="85"/>
      <c r="W1" s="85"/>
      <c r="X1" s="85"/>
      <c r="Y1" s="85"/>
      <c r="Z1" s="85"/>
    </row>
    <row r="2" spans="1:26" x14ac:dyDescent="0.25">
      <c r="A2" s="85"/>
      <c r="B2" s="85"/>
      <c r="C2" s="85"/>
      <c r="D2" s="85"/>
      <c r="E2" s="85"/>
      <c r="F2" s="85"/>
      <c r="G2" s="85"/>
      <c r="H2" s="85"/>
      <c r="I2" s="85"/>
      <c r="J2" s="85"/>
      <c r="K2" s="85"/>
      <c r="L2" s="85"/>
      <c r="M2" s="85"/>
      <c r="N2" s="85"/>
      <c r="O2" s="85"/>
      <c r="P2" s="85"/>
      <c r="Q2" s="85"/>
      <c r="R2" s="85"/>
      <c r="S2" s="85"/>
      <c r="T2" s="85"/>
      <c r="U2" s="85"/>
      <c r="V2" s="85"/>
      <c r="W2" s="85"/>
      <c r="X2" s="85"/>
      <c r="Y2" s="85"/>
      <c r="Z2" s="85"/>
    </row>
    <row r="3" spans="1:26" x14ac:dyDescent="0.25">
      <c r="A3" s="85"/>
      <c r="B3" s="85"/>
      <c r="C3" s="1114" t="s">
        <v>441</v>
      </c>
      <c r="D3" s="1114"/>
      <c r="E3" s="85"/>
      <c r="F3" s="85"/>
      <c r="G3" s="85"/>
      <c r="H3" s="85"/>
      <c r="I3" s="85"/>
      <c r="J3" s="85"/>
      <c r="K3" s="85"/>
      <c r="L3" s="85"/>
      <c r="M3" s="85"/>
      <c r="N3" s="85"/>
      <c r="O3" s="85"/>
      <c r="P3" s="85"/>
      <c r="Q3" s="85"/>
      <c r="R3" s="85"/>
      <c r="S3" s="85"/>
      <c r="T3" s="85"/>
      <c r="U3" s="85"/>
      <c r="V3" s="85"/>
      <c r="W3" s="85"/>
      <c r="X3" s="85"/>
      <c r="Y3" s="85"/>
      <c r="Z3" s="85"/>
    </row>
    <row r="4" spans="1:26" x14ac:dyDescent="0.25">
      <c r="A4" s="85"/>
      <c r="B4" s="85"/>
      <c r="C4" s="369">
        <v>1</v>
      </c>
      <c r="D4" s="370"/>
      <c r="E4" s="85"/>
      <c r="F4" s="85"/>
      <c r="G4" s="85"/>
      <c r="H4" s="85"/>
      <c r="I4" s="85"/>
      <c r="J4" s="85"/>
      <c r="K4" s="85"/>
      <c r="L4" s="85"/>
      <c r="M4" s="85"/>
      <c r="N4" s="85"/>
      <c r="O4" s="85"/>
      <c r="P4" s="85"/>
      <c r="Q4" s="85"/>
      <c r="R4" s="85"/>
      <c r="S4" s="85"/>
      <c r="T4" s="85"/>
      <c r="U4" s="85"/>
      <c r="V4" s="85"/>
      <c r="W4" s="85"/>
      <c r="X4" s="85"/>
      <c r="Y4" s="85"/>
      <c r="Z4" s="85"/>
    </row>
    <row r="5" spans="1:26" x14ac:dyDescent="0.25">
      <c r="A5" s="85"/>
      <c r="B5" s="85"/>
      <c r="C5" s="369">
        <v>2</v>
      </c>
      <c r="D5" s="370"/>
      <c r="E5" s="85"/>
      <c r="F5" s="85"/>
      <c r="G5" s="85"/>
      <c r="H5" s="85"/>
      <c r="I5" s="85"/>
      <c r="J5" s="85"/>
      <c r="K5" s="85"/>
      <c r="L5" s="85"/>
      <c r="M5" s="85"/>
      <c r="N5" s="85"/>
      <c r="O5" s="85"/>
      <c r="P5" s="85"/>
      <c r="Q5" s="85"/>
      <c r="R5" s="85"/>
      <c r="S5" s="85"/>
      <c r="T5" s="85"/>
      <c r="U5" s="85"/>
      <c r="V5" s="85"/>
      <c r="W5" s="85"/>
      <c r="X5" s="85"/>
      <c r="Y5" s="85"/>
      <c r="Z5" s="85"/>
    </row>
    <row r="6" spans="1:26" x14ac:dyDescent="0.25">
      <c r="A6" s="85"/>
      <c r="B6" s="1047"/>
      <c r="C6" s="369">
        <v>3</v>
      </c>
      <c r="D6" s="370"/>
      <c r="E6" s="85"/>
      <c r="F6" s="85"/>
      <c r="G6" s="85"/>
      <c r="H6" s="85"/>
      <c r="I6" s="85"/>
      <c r="J6" s="85"/>
      <c r="K6" s="85"/>
      <c r="L6" s="85"/>
      <c r="M6" s="85"/>
      <c r="N6" s="85"/>
      <c r="O6" s="85"/>
      <c r="P6" s="85"/>
      <c r="Q6" s="85"/>
      <c r="R6" s="85"/>
      <c r="S6" s="85"/>
      <c r="T6" s="85"/>
      <c r="U6" s="85"/>
      <c r="V6" s="85"/>
      <c r="W6" s="85"/>
      <c r="X6" s="85"/>
      <c r="Y6" s="85"/>
      <c r="Z6" s="85"/>
    </row>
    <row r="7" spans="1:26" x14ac:dyDescent="0.25">
      <c r="A7" s="85"/>
      <c r="B7" s="85"/>
      <c r="C7" s="369">
        <v>4</v>
      </c>
      <c r="D7" s="370"/>
      <c r="E7" s="85"/>
      <c r="F7" s="85"/>
      <c r="G7" s="85"/>
      <c r="H7" s="85"/>
      <c r="I7" s="85"/>
      <c r="J7" s="85"/>
      <c r="K7" s="85"/>
      <c r="L7" s="85"/>
      <c r="M7" s="85"/>
      <c r="N7" s="85"/>
      <c r="O7" s="85"/>
      <c r="P7" s="85"/>
      <c r="Q7" s="85"/>
      <c r="R7" s="85"/>
      <c r="S7" s="85"/>
      <c r="T7" s="85"/>
      <c r="U7" s="85"/>
      <c r="V7" s="85"/>
      <c r="W7" s="85"/>
      <c r="X7" s="85"/>
      <c r="Y7" s="85"/>
      <c r="Z7" s="85"/>
    </row>
    <row r="8" spans="1:26" x14ac:dyDescent="0.25">
      <c r="A8" s="85"/>
      <c r="B8" s="85"/>
      <c r="C8" s="369">
        <v>5</v>
      </c>
      <c r="D8" s="370"/>
      <c r="E8" s="85"/>
      <c r="F8" s="85"/>
      <c r="G8" s="85"/>
      <c r="H8" s="85"/>
      <c r="I8" s="85"/>
      <c r="J8" s="85"/>
      <c r="K8" s="85"/>
      <c r="L8" s="85"/>
      <c r="M8" s="85"/>
      <c r="N8" s="85"/>
      <c r="O8" s="85"/>
      <c r="P8" s="85"/>
      <c r="Q8" s="85"/>
      <c r="R8" s="85"/>
      <c r="S8" s="85"/>
      <c r="T8" s="85"/>
      <c r="U8" s="85"/>
      <c r="V8" s="85"/>
      <c r="W8" s="85"/>
      <c r="X8" s="85"/>
      <c r="Y8" s="85"/>
      <c r="Z8" s="85"/>
    </row>
    <row r="9" spans="1:26" x14ac:dyDescent="0.25">
      <c r="A9" s="85"/>
      <c r="B9" s="85"/>
      <c r="C9" s="369">
        <v>6</v>
      </c>
      <c r="D9" s="370"/>
      <c r="E9" s="85"/>
      <c r="F9" s="85"/>
      <c r="G9" s="85"/>
      <c r="H9" s="85"/>
      <c r="I9" s="85"/>
      <c r="J9" s="85"/>
      <c r="K9" s="85"/>
      <c r="L9" s="85"/>
      <c r="M9" s="85"/>
      <c r="N9" s="85"/>
      <c r="O9" s="85"/>
      <c r="P9" s="85"/>
      <c r="Q9" s="85"/>
      <c r="R9" s="85"/>
      <c r="S9" s="85"/>
      <c r="T9" s="85"/>
      <c r="U9" s="85"/>
      <c r="V9" s="85"/>
      <c r="W9" s="85"/>
      <c r="X9" s="85"/>
      <c r="Y9" s="85"/>
      <c r="Z9" s="85"/>
    </row>
    <row r="10" spans="1:26" x14ac:dyDescent="0.25">
      <c r="A10" s="85"/>
      <c r="B10" s="85"/>
      <c r="C10" s="369">
        <v>7</v>
      </c>
      <c r="D10" s="370"/>
      <c r="E10" s="85"/>
      <c r="F10" s="85"/>
      <c r="G10" s="85"/>
      <c r="H10" s="85"/>
      <c r="I10" s="85"/>
      <c r="J10" s="85"/>
      <c r="K10" s="85"/>
      <c r="L10" s="85"/>
      <c r="M10" s="85"/>
      <c r="N10" s="85"/>
      <c r="O10" s="85"/>
      <c r="P10" s="85"/>
      <c r="Q10" s="85"/>
      <c r="R10" s="85"/>
      <c r="S10" s="85"/>
      <c r="T10" s="85"/>
      <c r="U10" s="85"/>
      <c r="V10" s="85"/>
      <c r="W10" s="85"/>
      <c r="X10" s="85"/>
      <c r="Y10" s="85"/>
      <c r="Z10" s="85"/>
    </row>
    <row r="11" spans="1:26" x14ac:dyDescent="0.25">
      <c r="A11" s="85"/>
      <c r="B11" s="85"/>
      <c r="C11" s="369">
        <v>8</v>
      </c>
      <c r="D11" s="370"/>
      <c r="E11" s="85"/>
      <c r="F11" s="85"/>
      <c r="G11" s="85"/>
      <c r="H11" s="85"/>
      <c r="I11" s="85"/>
      <c r="J11" s="85"/>
      <c r="K11" s="85"/>
      <c r="L11" s="85"/>
      <c r="M11" s="85"/>
      <c r="N11" s="85"/>
      <c r="O11" s="85"/>
      <c r="P11" s="85"/>
      <c r="Q11" s="85"/>
      <c r="R11" s="85"/>
      <c r="S11" s="85"/>
      <c r="T11" s="85"/>
      <c r="U11" s="85"/>
      <c r="V11" s="85"/>
      <c r="W11" s="85"/>
      <c r="X11" s="85"/>
      <c r="Y11" s="85"/>
      <c r="Z11" s="85"/>
    </row>
    <row r="12" spans="1:26" x14ac:dyDescent="0.25">
      <c r="A12" s="85"/>
      <c r="B12" s="85"/>
      <c r="C12" s="369">
        <v>9</v>
      </c>
      <c r="D12" s="370"/>
      <c r="E12" s="85"/>
      <c r="F12" s="85"/>
      <c r="G12" s="85"/>
      <c r="H12" s="85"/>
      <c r="I12" s="85"/>
      <c r="J12" s="85"/>
      <c r="K12" s="85"/>
      <c r="L12" s="85"/>
      <c r="M12" s="85"/>
      <c r="N12" s="85"/>
      <c r="O12" s="85"/>
      <c r="P12" s="85"/>
      <c r="Q12" s="85"/>
      <c r="R12" s="85"/>
      <c r="S12" s="85"/>
      <c r="T12" s="85"/>
      <c r="U12" s="85"/>
      <c r="V12" s="85"/>
      <c r="W12" s="85"/>
      <c r="X12" s="85"/>
      <c r="Y12" s="85"/>
      <c r="Z12" s="85"/>
    </row>
    <row r="13" spans="1:26" x14ac:dyDescent="0.25">
      <c r="A13" s="85"/>
      <c r="B13" s="85"/>
      <c r="C13" s="369">
        <v>10</v>
      </c>
      <c r="D13" s="370"/>
      <c r="E13" s="85"/>
      <c r="F13" s="85"/>
      <c r="G13" s="85"/>
      <c r="H13" s="85"/>
      <c r="I13" s="85"/>
      <c r="J13" s="85"/>
      <c r="K13" s="85"/>
      <c r="L13" s="85"/>
      <c r="M13" s="85"/>
      <c r="N13" s="85"/>
      <c r="O13" s="85"/>
      <c r="P13" s="85"/>
      <c r="Q13" s="85"/>
      <c r="R13" s="85"/>
      <c r="S13" s="85"/>
      <c r="T13" s="85"/>
      <c r="U13" s="85"/>
      <c r="V13" s="85"/>
      <c r="W13" s="85"/>
      <c r="X13" s="85"/>
      <c r="Y13" s="85"/>
      <c r="Z13" s="85"/>
    </row>
    <row r="14" spans="1:26" x14ac:dyDescent="0.25">
      <c r="A14" s="85"/>
      <c r="B14" s="85"/>
      <c r="C14" s="369">
        <v>11</v>
      </c>
      <c r="D14" s="370"/>
      <c r="E14" s="85"/>
      <c r="F14" s="85"/>
      <c r="G14" s="85"/>
      <c r="H14" s="85"/>
      <c r="I14" s="85"/>
      <c r="J14" s="85"/>
      <c r="K14" s="85"/>
      <c r="L14" s="85"/>
      <c r="M14" s="85"/>
      <c r="N14" s="85"/>
      <c r="O14" s="85"/>
      <c r="P14" s="85"/>
      <c r="Q14" s="85"/>
      <c r="R14" s="85"/>
      <c r="S14" s="85"/>
      <c r="T14" s="85"/>
      <c r="U14" s="85"/>
      <c r="V14" s="85"/>
      <c r="W14" s="85"/>
      <c r="X14" s="85"/>
      <c r="Y14" s="85"/>
      <c r="Z14" s="85"/>
    </row>
    <row r="15" spans="1:26" x14ac:dyDescent="0.25">
      <c r="A15" s="85"/>
      <c r="B15" s="85"/>
      <c r="C15" s="369">
        <v>12</v>
      </c>
      <c r="D15" s="370"/>
      <c r="E15" s="85"/>
      <c r="F15" s="85"/>
      <c r="G15" s="85"/>
      <c r="H15" s="85"/>
      <c r="I15" s="85"/>
      <c r="J15" s="85"/>
      <c r="K15" s="85"/>
      <c r="L15" s="85"/>
      <c r="M15" s="85"/>
      <c r="N15" s="85"/>
      <c r="O15" s="85"/>
      <c r="P15" s="85"/>
      <c r="Q15" s="85"/>
      <c r="R15" s="85"/>
      <c r="S15" s="85"/>
      <c r="T15" s="85"/>
      <c r="U15" s="85"/>
      <c r="V15" s="85"/>
      <c r="W15" s="85"/>
      <c r="X15" s="85"/>
      <c r="Y15" s="85"/>
      <c r="Z15" s="85"/>
    </row>
    <row r="16" spans="1:26" x14ac:dyDescent="0.25">
      <c r="A16" s="85"/>
      <c r="B16" s="85"/>
      <c r="C16" s="369">
        <v>13</v>
      </c>
      <c r="D16" s="370"/>
      <c r="E16" s="85"/>
      <c r="F16" s="85"/>
      <c r="G16" s="85"/>
      <c r="H16" s="85"/>
      <c r="I16" s="85"/>
      <c r="J16" s="85"/>
      <c r="K16" s="85"/>
      <c r="L16" s="85"/>
      <c r="M16" s="85"/>
      <c r="N16" s="85"/>
      <c r="O16" s="85"/>
      <c r="P16" s="85"/>
      <c r="Q16" s="85"/>
      <c r="R16" s="85"/>
      <c r="S16" s="85"/>
      <c r="T16" s="85"/>
      <c r="U16" s="85"/>
      <c r="V16" s="85"/>
      <c r="W16" s="85"/>
      <c r="X16" s="85"/>
      <c r="Y16" s="85"/>
      <c r="Z16" s="85"/>
    </row>
    <row r="17" spans="1:26" x14ac:dyDescent="0.25">
      <c r="A17" s="85"/>
      <c r="B17" s="85"/>
      <c r="C17" s="369">
        <v>14</v>
      </c>
      <c r="D17" s="370"/>
      <c r="E17" s="85"/>
      <c r="F17" s="85"/>
      <c r="G17" s="85"/>
      <c r="H17" s="85"/>
      <c r="I17" s="85"/>
      <c r="J17" s="85"/>
      <c r="K17" s="85"/>
      <c r="L17" s="85"/>
      <c r="M17" s="85"/>
      <c r="N17" s="85"/>
      <c r="O17" s="85"/>
      <c r="P17" s="85"/>
      <c r="Q17" s="85"/>
      <c r="R17" s="85"/>
      <c r="S17" s="85"/>
      <c r="T17" s="85"/>
      <c r="U17" s="85"/>
      <c r="V17" s="85"/>
      <c r="W17" s="85"/>
      <c r="X17" s="85"/>
      <c r="Y17" s="85"/>
      <c r="Z17" s="85"/>
    </row>
    <row r="18" spans="1:26" x14ac:dyDescent="0.25">
      <c r="A18" s="85"/>
      <c r="B18" s="85"/>
      <c r="C18" s="369">
        <v>15</v>
      </c>
      <c r="D18" s="370"/>
      <c r="E18" s="85"/>
      <c r="F18" s="85"/>
      <c r="G18" s="85"/>
      <c r="H18" s="85"/>
      <c r="I18" s="85"/>
      <c r="J18" s="85"/>
      <c r="K18" s="85"/>
      <c r="L18" s="85"/>
      <c r="M18" s="85"/>
      <c r="N18" s="85"/>
      <c r="O18" s="85"/>
      <c r="P18" s="85"/>
      <c r="Q18" s="85"/>
      <c r="R18" s="85"/>
      <c r="S18" s="85"/>
      <c r="T18" s="85"/>
      <c r="U18" s="85"/>
      <c r="V18" s="85"/>
      <c r="W18" s="85"/>
      <c r="X18" s="85"/>
      <c r="Y18" s="85"/>
      <c r="Z18" s="85"/>
    </row>
    <row r="19" spans="1:26" x14ac:dyDescent="0.25">
      <c r="A19" s="85"/>
      <c r="B19" s="85"/>
      <c r="C19" s="369">
        <v>16</v>
      </c>
      <c r="D19" s="370"/>
      <c r="E19" s="85"/>
      <c r="F19" s="85"/>
      <c r="G19" s="85"/>
      <c r="H19" s="85"/>
      <c r="I19" s="85"/>
      <c r="J19" s="85"/>
      <c r="K19" s="85"/>
      <c r="L19" s="85"/>
      <c r="M19" s="85"/>
      <c r="N19" s="85"/>
      <c r="O19" s="85"/>
      <c r="P19" s="85"/>
      <c r="Q19" s="85"/>
      <c r="R19" s="85"/>
      <c r="S19" s="85"/>
      <c r="T19" s="85"/>
      <c r="U19" s="85"/>
      <c r="V19" s="85"/>
      <c r="W19" s="85"/>
      <c r="X19" s="85"/>
      <c r="Y19" s="85"/>
      <c r="Z19" s="85"/>
    </row>
    <row r="20" spans="1:26" x14ac:dyDescent="0.25">
      <c r="A20" s="85"/>
      <c r="B20" s="85"/>
      <c r="C20" s="369">
        <v>17</v>
      </c>
      <c r="D20" s="370"/>
      <c r="E20" s="85"/>
      <c r="F20" s="85"/>
      <c r="G20" s="85"/>
      <c r="H20" s="85"/>
      <c r="I20" s="85"/>
      <c r="J20" s="85"/>
      <c r="K20" s="85"/>
      <c r="L20" s="85"/>
      <c r="M20" s="85"/>
      <c r="N20" s="85"/>
      <c r="O20" s="85"/>
      <c r="P20" s="85"/>
      <c r="Q20" s="85"/>
      <c r="R20" s="85"/>
      <c r="S20" s="85"/>
      <c r="T20" s="85"/>
      <c r="U20" s="85"/>
      <c r="V20" s="85"/>
      <c r="W20" s="85"/>
      <c r="X20" s="85"/>
      <c r="Y20" s="85"/>
      <c r="Z20" s="85"/>
    </row>
    <row r="21" spans="1:26" x14ac:dyDescent="0.25">
      <c r="A21" s="85"/>
      <c r="B21" s="85"/>
      <c r="C21" s="369">
        <v>18</v>
      </c>
      <c r="D21" s="370"/>
      <c r="E21" s="85"/>
      <c r="F21" s="85"/>
      <c r="G21" s="85"/>
      <c r="H21" s="85"/>
      <c r="I21" s="85"/>
      <c r="J21" s="85"/>
      <c r="K21" s="85"/>
      <c r="L21" s="85"/>
      <c r="M21" s="85"/>
      <c r="N21" s="85"/>
      <c r="O21" s="85"/>
      <c r="P21" s="85"/>
      <c r="Q21" s="85"/>
      <c r="R21" s="85"/>
      <c r="S21" s="85"/>
      <c r="T21" s="85"/>
      <c r="U21" s="85"/>
      <c r="V21" s="85"/>
      <c r="W21" s="85"/>
      <c r="X21" s="85"/>
      <c r="Y21" s="85"/>
      <c r="Z21" s="85"/>
    </row>
    <row r="22" spans="1:26" x14ac:dyDescent="0.25">
      <c r="A22" s="85"/>
      <c r="B22" s="85"/>
      <c r="C22" s="369">
        <v>19</v>
      </c>
      <c r="D22" s="370"/>
      <c r="E22" s="85"/>
      <c r="F22" s="85"/>
      <c r="G22" s="85"/>
      <c r="H22" s="85"/>
      <c r="I22" s="85"/>
      <c r="J22" s="85"/>
      <c r="K22" s="85"/>
      <c r="L22" s="85"/>
      <c r="M22" s="85"/>
      <c r="N22" s="85"/>
      <c r="O22" s="85"/>
      <c r="P22" s="85"/>
      <c r="Q22" s="85"/>
      <c r="R22" s="85"/>
      <c r="S22" s="85"/>
      <c r="T22" s="85"/>
      <c r="U22" s="85"/>
      <c r="V22" s="85"/>
      <c r="W22" s="85"/>
      <c r="X22" s="85"/>
      <c r="Y22" s="85"/>
      <c r="Z22" s="85"/>
    </row>
    <row r="23" spans="1:26" x14ac:dyDescent="0.25">
      <c r="A23" s="85"/>
      <c r="B23" s="85"/>
      <c r="C23" s="369">
        <v>20</v>
      </c>
      <c r="D23" s="370"/>
      <c r="E23" s="85"/>
      <c r="F23" s="85"/>
      <c r="G23" s="85"/>
      <c r="H23" s="85"/>
      <c r="I23" s="85"/>
      <c r="J23" s="85"/>
      <c r="K23" s="85"/>
      <c r="L23" s="85"/>
      <c r="M23" s="85"/>
      <c r="N23" s="85"/>
      <c r="O23" s="85"/>
      <c r="P23" s="85"/>
      <c r="Q23" s="85"/>
      <c r="R23" s="85"/>
      <c r="S23" s="85"/>
      <c r="T23" s="85"/>
      <c r="U23" s="85"/>
      <c r="V23" s="85"/>
      <c r="W23" s="85"/>
      <c r="X23" s="85"/>
      <c r="Y23" s="85"/>
      <c r="Z23" s="85"/>
    </row>
    <row r="24" spans="1:26" x14ac:dyDescent="0.25">
      <c r="A24" s="85"/>
      <c r="B24" s="85"/>
      <c r="C24" s="369">
        <v>21</v>
      </c>
      <c r="D24" s="370"/>
      <c r="E24" s="85"/>
      <c r="F24" s="85"/>
      <c r="G24" s="85"/>
      <c r="H24" s="85"/>
      <c r="I24" s="85"/>
      <c r="J24" s="85"/>
      <c r="K24" s="85"/>
      <c r="L24" s="85"/>
      <c r="M24" s="85"/>
      <c r="N24" s="85"/>
      <c r="O24" s="85"/>
      <c r="P24" s="85"/>
      <c r="Q24" s="85"/>
      <c r="R24" s="85"/>
      <c r="S24" s="85"/>
      <c r="T24" s="85"/>
      <c r="U24" s="85"/>
      <c r="V24" s="85"/>
      <c r="W24" s="85"/>
      <c r="X24" s="85"/>
      <c r="Y24" s="85"/>
      <c r="Z24" s="85"/>
    </row>
    <row r="25" spans="1:26" x14ac:dyDescent="0.25">
      <c r="A25" s="85"/>
      <c r="B25" s="85"/>
      <c r="C25" s="369">
        <v>22</v>
      </c>
      <c r="D25" s="370"/>
      <c r="E25" s="85"/>
      <c r="F25" s="85"/>
      <c r="G25" s="85"/>
      <c r="H25" s="85"/>
      <c r="I25" s="85"/>
      <c r="J25" s="85"/>
      <c r="K25" s="85"/>
      <c r="L25" s="85"/>
      <c r="M25" s="85"/>
      <c r="N25" s="85"/>
      <c r="O25" s="85"/>
      <c r="P25" s="85"/>
      <c r="Q25" s="85"/>
      <c r="R25" s="85"/>
      <c r="S25" s="85"/>
      <c r="T25" s="85"/>
      <c r="U25" s="85"/>
      <c r="V25" s="85"/>
      <c r="W25" s="85"/>
      <c r="X25" s="85"/>
      <c r="Y25" s="85"/>
      <c r="Z25" s="85"/>
    </row>
    <row r="26" spans="1:26" x14ac:dyDescent="0.25">
      <c r="A26" s="85"/>
      <c r="B26" s="85"/>
      <c r="C26" s="369">
        <v>23</v>
      </c>
      <c r="D26" s="370"/>
      <c r="E26" s="85"/>
      <c r="F26" s="85"/>
      <c r="G26" s="85"/>
      <c r="H26" s="85"/>
      <c r="I26" s="85"/>
      <c r="J26" s="85"/>
      <c r="K26" s="85"/>
      <c r="L26" s="85"/>
      <c r="M26" s="85"/>
      <c r="N26" s="85"/>
      <c r="O26" s="85"/>
      <c r="P26" s="85"/>
      <c r="Q26" s="85"/>
      <c r="R26" s="85"/>
      <c r="S26" s="85"/>
      <c r="T26" s="85"/>
      <c r="U26" s="85"/>
      <c r="V26" s="85"/>
      <c r="W26" s="85"/>
      <c r="X26" s="85"/>
      <c r="Y26" s="85"/>
      <c r="Z26" s="85"/>
    </row>
    <row r="27" spans="1:26" x14ac:dyDescent="0.25">
      <c r="A27" s="85"/>
      <c r="B27" s="85"/>
      <c r="C27" s="369">
        <v>24</v>
      </c>
      <c r="D27" s="370"/>
      <c r="E27" s="85"/>
      <c r="F27" s="85"/>
      <c r="G27" s="85"/>
      <c r="H27" s="85"/>
      <c r="I27" s="85"/>
      <c r="J27" s="85"/>
      <c r="K27" s="85"/>
      <c r="L27" s="85"/>
      <c r="M27" s="85"/>
      <c r="N27" s="85"/>
      <c r="O27" s="85"/>
      <c r="P27" s="85"/>
      <c r="Q27" s="85"/>
      <c r="R27" s="85"/>
      <c r="S27" s="85"/>
      <c r="T27" s="85"/>
      <c r="U27" s="85"/>
      <c r="V27" s="85"/>
      <c r="W27" s="85"/>
      <c r="X27" s="85"/>
      <c r="Y27" s="85"/>
      <c r="Z27" s="85"/>
    </row>
    <row r="28" spans="1:26" x14ac:dyDescent="0.25">
      <c r="A28" s="85"/>
      <c r="B28" s="85"/>
      <c r="C28" s="369">
        <v>25</v>
      </c>
      <c r="D28" s="370"/>
      <c r="E28" s="85"/>
      <c r="F28" s="85"/>
      <c r="G28" s="85"/>
      <c r="H28" s="85"/>
      <c r="I28" s="85"/>
      <c r="J28" s="85"/>
      <c r="K28" s="85"/>
      <c r="L28" s="85"/>
      <c r="M28" s="85"/>
      <c r="N28" s="85"/>
      <c r="O28" s="85"/>
      <c r="P28" s="85"/>
      <c r="Q28" s="85"/>
      <c r="R28" s="85"/>
      <c r="S28" s="85"/>
      <c r="T28" s="85"/>
      <c r="U28" s="85"/>
      <c r="V28" s="85"/>
      <c r="W28" s="85"/>
      <c r="X28" s="85"/>
      <c r="Y28" s="85"/>
      <c r="Z28" s="85"/>
    </row>
    <row r="29" spans="1:26" x14ac:dyDescent="0.25">
      <c r="A29" s="85"/>
      <c r="B29" s="85"/>
      <c r="C29" s="369">
        <v>26</v>
      </c>
      <c r="D29" s="370"/>
      <c r="E29" s="85"/>
      <c r="F29" s="85"/>
      <c r="G29" s="85"/>
      <c r="H29" s="85"/>
      <c r="I29" s="85"/>
      <c r="J29" s="85"/>
      <c r="K29" s="85"/>
      <c r="L29" s="85"/>
      <c r="M29" s="85"/>
      <c r="N29" s="85"/>
      <c r="O29" s="85"/>
      <c r="P29" s="85"/>
      <c r="Q29" s="85"/>
      <c r="R29" s="85"/>
      <c r="S29" s="85"/>
      <c r="T29" s="85"/>
      <c r="U29" s="85"/>
      <c r="V29" s="85"/>
      <c r="W29" s="85"/>
      <c r="X29" s="85"/>
      <c r="Y29" s="85"/>
      <c r="Z29" s="85"/>
    </row>
    <row r="30" spans="1:26" x14ac:dyDescent="0.25">
      <c r="A30" s="85"/>
      <c r="B30" s="85"/>
      <c r="C30" s="369">
        <v>27</v>
      </c>
      <c r="D30" s="370"/>
      <c r="E30" s="85"/>
      <c r="F30" s="85"/>
      <c r="G30" s="85"/>
      <c r="H30" s="85"/>
      <c r="I30" s="85"/>
      <c r="J30" s="85"/>
      <c r="K30" s="85"/>
      <c r="L30" s="85"/>
      <c r="M30" s="85"/>
      <c r="N30" s="85"/>
      <c r="O30" s="85"/>
      <c r="P30" s="85"/>
      <c r="Q30" s="85"/>
      <c r="R30" s="85"/>
      <c r="S30" s="85"/>
      <c r="T30" s="85"/>
      <c r="U30" s="85"/>
      <c r="V30" s="85"/>
      <c r="W30" s="85"/>
      <c r="X30" s="85"/>
      <c r="Y30" s="85"/>
      <c r="Z30" s="85"/>
    </row>
    <row r="31" spans="1:26" x14ac:dyDescent="0.25">
      <c r="A31" s="85"/>
      <c r="B31" s="85"/>
      <c r="C31" s="369">
        <v>28</v>
      </c>
      <c r="D31" s="370"/>
      <c r="E31" s="85"/>
      <c r="F31" s="85"/>
      <c r="G31" s="85"/>
      <c r="H31" s="85"/>
      <c r="I31" s="85"/>
      <c r="J31" s="85"/>
      <c r="K31" s="85"/>
      <c r="L31" s="85"/>
      <c r="M31" s="85"/>
      <c r="N31" s="85"/>
      <c r="O31" s="85"/>
      <c r="P31" s="85"/>
      <c r="Q31" s="85"/>
      <c r="R31" s="85"/>
      <c r="S31" s="85"/>
      <c r="T31" s="85"/>
      <c r="U31" s="85"/>
      <c r="V31" s="85"/>
      <c r="W31" s="85"/>
      <c r="X31" s="85"/>
      <c r="Y31" s="85"/>
      <c r="Z31" s="85"/>
    </row>
    <row r="32" spans="1:26" x14ac:dyDescent="0.25">
      <c r="A32" s="85"/>
      <c r="B32" s="85"/>
      <c r="C32" s="369">
        <v>29</v>
      </c>
      <c r="D32" s="370"/>
      <c r="E32" s="85"/>
      <c r="F32" s="85"/>
      <c r="G32" s="85"/>
      <c r="H32" s="85"/>
      <c r="I32" s="85"/>
      <c r="J32" s="85"/>
      <c r="K32" s="85"/>
      <c r="L32" s="85"/>
      <c r="M32" s="85"/>
      <c r="N32" s="85"/>
      <c r="O32" s="85"/>
      <c r="P32" s="85"/>
      <c r="Q32" s="85"/>
      <c r="R32" s="85"/>
      <c r="S32" s="85"/>
      <c r="T32" s="85"/>
      <c r="U32" s="85"/>
      <c r="V32" s="85"/>
      <c r="W32" s="85"/>
      <c r="X32" s="85"/>
      <c r="Y32" s="85"/>
      <c r="Z32" s="85"/>
    </row>
    <row r="33" spans="1:26" x14ac:dyDescent="0.25">
      <c r="A33" s="85"/>
      <c r="B33" s="85"/>
      <c r="C33" s="369">
        <v>30</v>
      </c>
      <c r="D33" s="370"/>
      <c r="E33" s="85"/>
      <c r="F33" s="85"/>
      <c r="G33" s="85"/>
      <c r="H33" s="85"/>
      <c r="I33" s="85"/>
      <c r="J33" s="85"/>
      <c r="K33" s="85"/>
      <c r="L33" s="85"/>
      <c r="M33" s="85"/>
      <c r="N33" s="85"/>
      <c r="O33" s="85"/>
      <c r="P33" s="85"/>
      <c r="Q33" s="85"/>
      <c r="R33" s="85"/>
      <c r="S33" s="85"/>
      <c r="T33" s="85"/>
      <c r="U33" s="85"/>
      <c r="V33" s="85"/>
      <c r="W33" s="85"/>
      <c r="X33" s="85"/>
      <c r="Y33" s="85"/>
      <c r="Z33" s="85"/>
    </row>
    <row r="34" spans="1:26" x14ac:dyDescent="0.25">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spans="1:26" x14ac:dyDescent="0.2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spans="1:26" x14ac:dyDescent="0.25">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spans="1:26" x14ac:dyDescent="0.25">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spans="1:26" x14ac:dyDescent="0.25">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spans="1:26" x14ac:dyDescent="0.25">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spans="1:26" x14ac:dyDescent="0.25">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x14ac:dyDescent="0.25">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spans="1:26" x14ac:dyDescent="0.25">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spans="1:26" x14ac:dyDescent="0.2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spans="1:26" x14ac:dyDescent="0.25">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spans="1:26" x14ac:dyDescent="0.25">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spans="1:26" x14ac:dyDescent="0.25">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spans="1:26" x14ac:dyDescent="0.25">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spans="1:26" x14ac:dyDescent="0.25">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spans="1:26" x14ac:dyDescent="0.25">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spans="1:26" x14ac:dyDescent="0.25">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spans="1:26" x14ac:dyDescent="0.25">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x14ac:dyDescent="0.25">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spans="1:26" x14ac:dyDescent="0.2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spans="1:26" x14ac:dyDescent="0.25">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x14ac:dyDescent="0.25">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spans="1:26" x14ac:dyDescent="0.25">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spans="1:26" x14ac:dyDescent="0.25">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spans="1:26" x14ac:dyDescent="0.25">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spans="1:26" x14ac:dyDescent="0.25">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spans="1:26" x14ac:dyDescent="0.25">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spans="1:26" x14ac:dyDescent="0.25">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spans="1:26" x14ac:dyDescent="0.25">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spans="1:26" x14ac:dyDescent="0.2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spans="1:26" x14ac:dyDescent="0.25">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spans="1:26" x14ac:dyDescent="0.25">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spans="1:26" x14ac:dyDescent="0.25">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spans="1:26" x14ac:dyDescent="0.25">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spans="1:26" x14ac:dyDescent="0.25">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spans="1:26" x14ac:dyDescent="0.25">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spans="1:26" x14ac:dyDescent="0.25">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spans="1:26" x14ac:dyDescent="0.25">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spans="1:26" x14ac:dyDescent="0.25">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spans="1:26" x14ac:dyDescent="0.2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spans="1:26" x14ac:dyDescent="0.2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spans="1:26" x14ac:dyDescent="0.25">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spans="1:26" x14ac:dyDescent="0.25">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spans="1:26" x14ac:dyDescent="0.25">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spans="1:26" x14ac:dyDescent="0.25">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spans="1:26" x14ac:dyDescent="0.25">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spans="1:26" x14ac:dyDescent="0.25">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spans="1:26" x14ac:dyDescent="0.25">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spans="1:26" x14ac:dyDescent="0.25">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spans="1:26" x14ac:dyDescent="0.2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spans="1:26" x14ac:dyDescent="0.25">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spans="1:26" x14ac:dyDescent="0.25">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spans="1:26" x14ac:dyDescent="0.25">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spans="1:26" x14ac:dyDescent="0.25">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spans="1:26" x14ac:dyDescent="0.25">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spans="1:26" x14ac:dyDescent="0.25">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spans="1:26" x14ac:dyDescent="0.25">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spans="1:26" x14ac:dyDescent="0.25">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spans="1:26" x14ac:dyDescent="0.25">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spans="1:26" x14ac:dyDescent="0.2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spans="1:26" x14ac:dyDescent="0.2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spans="1:26" x14ac:dyDescent="0.25">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spans="1:26" x14ac:dyDescent="0.25">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spans="1:26" x14ac:dyDescent="0.25">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spans="1:26" x14ac:dyDescent="0.25">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spans="1:26" x14ac:dyDescent="0.25">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spans="1:26" x14ac:dyDescent="0.25">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spans="1:26" x14ac:dyDescent="0.25">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spans="1:26" x14ac:dyDescent="0.25">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spans="1:26" x14ac:dyDescent="0.2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spans="1:26" x14ac:dyDescent="0.25">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spans="1:26" x14ac:dyDescent="0.25">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spans="1:26" x14ac:dyDescent="0.25">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spans="1:26" x14ac:dyDescent="0.25">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sheetData>
  <mergeCells count="1">
    <mergeCell ref="C3:D3"/>
  </mergeCells>
  <conditionalFormatting sqref="D4:D33">
    <cfRule type="expression" dxfId="35" priority="1">
      <formula>Input_Shading = "Yes"</formula>
    </cfRule>
  </conditionalFormatting>
  <printOptions horizontalCentered="1" verticalCentered="1"/>
  <pageMargins left="0.5" right="0.5" top="1.75" bottom="0.5" header="0" footer="0"/>
  <pageSetup scale="99" orientation="landscape" r:id="rId1"/>
  <customProperties>
    <customPr name="GU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0443-0263-4C4C-A934-9912AAE590CB}">
  <sheetPr codeName="Sheet17">
    <tabColor rgb="FF92D050"/>
    <pageSetUpPr fitToPage="1"/>
  </sheetPr>
  <dimension ref="A1:BE126"/>
  <sheetViews>
    <sheetView topLeftCell="C1" zoomScale="130" zoomScaleNormal="130" workbookViewId="0">
      <selection activeCell="G5" sqref="G5"/>
    </sheetView>
  </sheetViews>
  <sheetFormatPr defaultColWidth="8.85546875" defaultRowHeight="15" x14ac:dyDescent="0.25"/>
  <cols>
    <col min="1" max="2" width="3.7109375" hidden="1" customWidth="1"/>
    <col min="3" max="3" width="2" customWidth="1"/>
    <col min="4" max="4" width="1.42578125" customWidth="1"/>
    <col min="8" max="8" width="12.7109375" customWidth="1"/>
    <col min="9" max="9" width="14.85546875" customWidth="1"/>
    <col min="10" max="10" width="16.7109375" customWidth="1"/>
    <col min="11" max="11" width="5.140625" customWidth="1"/>
    <col min="12" max="12" width="21" customWidth="1"/>
    <col min="13" max="13" width="15.85546875" customWidth="1"/>
    <col min="17" max="17" width="10.140625" bestFit="1" customWidth="1"/>
    <col min="18" max="18" width="3.7109375" customWidth="1"/>
    <col min="19" max="19" width="11.140625" customWidth="1"/>
  </cols>
  <sheetData>
    <row r="1" spans="1:57" x14ac:dyDescent="0.25">
      <c r="A1" s="377"/>
      <c r="B1" s="377"/>
      <c r="C1" s="378"/>
      <c r="D1" s="382"/>
      <c r="E1" s="387" t="s">
        <v>442</v>
      </c>
      <c r="F1" s="378"/>
      <c r="G1" s="377"/>
      <c r="H1" s="377"/>
      <c r="I1" s="377"/>
      <c r="J1" s="377"/>
      <c r="K1" s="377"/>
      <c r="L1" s="377"/>
      <c r="M1" s="388"/>
      <c r="N1" s="389"/>
      <c r="O1" s="388"/>
      <c r="P1" s="389"/>
      <c r="Q1" s="377"/>
      <c r="R1" s="377"/>
      <c r="S1" s="377"/>
      <c r="T1" s="377"/>
      <c r="U1" s="377"/>
      <c r="V1" s="377"/>
      <c r="W1" s="85"/>
      <c r="X1" s="88"/>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row>
    <row r="2" spans="1:57" x14ac:dyDescent="0.25">
      <c r="A2" s="377"/>
      <c r="B2" s="377"/>
      <c r="C2" s="377"/>
      <c r="D2" s="382"/>
      <c r="E2" s="377"/>
      <c r="F2" s="377"/>
      <c r="G2" s="377"/>
      <c r="H2" s="377"/>
      <c r="I2" s="377"/>
      <c r="J2" s="377"/>
      <c r="K2" s="377"/>
      <c r="L2" s="377"/>
      <c r="M2" s="388"/>
      <c r="N2" s="389"/>
      <c r="O2" s="388"/>
      <c r="P2" s="389"/>
      <c r="Q2" s="377"/>
      <c r="R2" s="377"/>
      <c r="S2" s="672"/>
      <c r="T2" s="672"/>
      <c r="U2" s="377"/>
      <c r="V2" s="377"/>
      <c r="W2" s="85"/>
      <c r="X2" s="88"/>
      <c r="Y2" s="85"/>
      <c r="Z2" s="85"/>
      <c r="AA2" s="85"/>
      <c r="AB2" s="85"/>
      <c r="AC2" s="85"/>
      <c r="AD2" s="85"/>
      <c r="AE2" s="85"/>
      <c r="AF2" s="85"/>
      <c r="AG2" s="85"/>
      <c r="AH2" s="85"/>
      <c r="AI2" s="85"/>
      <c r="AJ2" s="85"/>
      <c r="AK2" s="85"/>
      <c r="AL2" s="85"/>
      <c r="AM2" s="85"/>
      <c r="AN2" s="85"/>
      <c r="AO2" s="85"/>
      <c r="AP2" s="85"/>
      <c r="AQ2" s="85"/>
      <c r="AR2" s="85"/>
      <c r="AS2" s="85"/>
      <c r="AT2" s="85"/>
      <c r="AU2" s="85"/>
      <c r="AV2" s="85"/>
      <c r="AW2" s="85"/>
      <c r="AX2" s="85"/>
      <c r="AY2" s="85"/>
      <c r="AZ2" s="85"/>
      <c r="BA2" s="85"/>
      <c r="BB2" s="85"/>
      <c r="BC2" s="85"/>
      <c r="BD2" s="85"/>
      <c r="BE2" s="85"/>
    </row>
    <row r="3" spans="1:57" x14ac:dyDescent="0.25">
      <c r="A3" s="379"/>
      <c r="B3" s="379"/>
      <c r="C3" s="379"/>
      <c r="D3" s="383"/>
      <c r="E3" s="1115" t="s">
        <v>443</v>
      </c>
      <c r="F3" s="1115"/>
      <c r="G3" s="1115"/>
      <c r="H3" s="1115"/>
      <c r="I3" s="390"/>
      <c r="J3" s="390"/>
      <c r="K3" s="390"/>
      <c r="L3" s="368" t="s">
        <v>444</v>
      </c>
      <c r="M3" s="368"/>
      <c r="N3" s="368"/>
      <c r="O3" s="368"/>
      <c r="P3" s="368"/>
      <c r="Q3" s="368"/>
      <c r="R3" s="383"/>
      <c r="S3" s="675" t="s">
        <v>445</v>
      </c>
      <c r="T3" s="673" t="s">
        <v>157</v>
      </c>
      <c r="U3" s="674"/>
      <c r="V3" s="85"/>
      <c r="W3" s="85"/>
      <c r="X3" s="88"/>
      <c r="Y3" s="85"/>
      <c r="Z3" s="85"/>
      <c r="AA3" s="85"/>
      <c r="AB3" s="85"/>
      <c r="AC3" s="85"/>
      <c r="AD3" s="85"/>
      <c r="AE3" s="85"/>
      <c r="AF3" s="85"/>
      <c r="AG3" s="85"/>
      <c r="AH3" s="85"/>
      <c r="AI3" s="85"/>
      <c r="AJ3" s="85"/>
      <c r="AK3" s="85"/>
      <c r="AL3" s="85"/>
      <c r="AM3" s="85"/>
      <c r="AN3" s="85"/>
      <c r="AO3" s="85"/>
      <c r="AP3" s="85"/>
      <c r="AQ3" s="85"/>
      <c r="AR3" s="85"/>
      <c r="AS3" s="85"/>
      <c r="AT3" s="85"/>
      <c r="AU3" s="85"/>
      <c r="AV3" s="85"/>
      <c r="AW3" s="85"/>
      <c r="AX3" s="85"/>
      <c r="AY3" s="85"/>
      <c r="AZ3" s="85"/>
      <c r="BA3" s="85"/>
      <c r="BB3" s="85"/>
      <c r="BC3" s="85"/>
      <c r="BD3" s="85"/>
      <c r="BE3" s="85"/>
    </row>
    <row r="4" spans="1:57" x14ac:dyDescent="0.25">
      <c r="A4" s="379"/>
      <c r="B4" s="379"/>
      <c r="C4" s="379"/>
      <c r="D4" s="383"/>
      <c r="E4" s="371" t="s">
        <v>446</v>
      </c>
      <c r="F4" s="372"/>
      <c r="G4" s="373">
        <f>IFERROR(IF(Priced="Unpriced","", Input!Q21),"")</f>
        <v>0</v>
      </c>
      <c r="H4" s="374"/>
      <c r="I4" s="379"/>
      <c r="J4" s="391"/>
      <c r="K4" s="392"/>
      <c r="L4" s="434"/>
      <c r="M4" s="435"/>
      <c r="N4" s="436"/>
      <c r="O4" s="437"/>
      <c r="P4" s="438"/>
      <c r="Q4" s="439"/>
      <c r="R4" s="379"/>
      <c r="S4" s="439"/>
      <c r="T4" s="439"/>
      <c r="U4" s="379"/>
      <c r="V4" s="379"/>
      <c r="W4" s="85"/>
      <c r="X4" s="88"/>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row>
    <row r="5" spans="1:57" x14ac:dyDescent="0.25">
      <c r="A5" s="379"/>
      <c r="B5" s="379"/>
      <c r="C5" s="379"/>
      <c r="D5" s="383"/>
      <c r="E5" s="397" t="s">
        <v>17</v>
      </c>
      <c r="F5" s="398"/>
      <c r="G5" s="399">
        <f ca="1">IFERROR(IF(Priced="Unpriced","-",-'Cash Flow'!F42+'Cash Flow'!F37),"-")</f>
        <v>0</v>
      </c>
      <c r="H5" s="400" t="str">
        <f ca="1">IFERROR(IF(Priced="Unpriced","",G5/G4),"")</f>
        <v/>
      </c>
      <c r="I5" s="391"/>
      <c r="J5" s="379"/>
      <c r="K5" s="380"/>
      <c r="L5" s="440"/>
      <c r="M5" s="441"/>
      <c r="N5" s="442"/>
      <c r="O5" s="443"/>
      <c r="P5" s="444"/>
      <c r="Q5" s="445"/>
      <c r="R5" s="379"/>
      <c r="S5" s="379"/>
      <c r="T5" s="379"/>
      <c r="U5" s="379"/>
      <c r="V5" s="379"/>
      <c r="W5" s="85"/>
      <c r="X5" s="88"/>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row>
    <row r="6" spans="1:57" x14ac:dyDescent="0.25">
      <c r="A6" s="379"/>
      <c r="B6" s="1048"/>
      <c r="C6" s="379"/>
      <c r="D6" s="383"/>
      <c r="E6" s="397" t="s">
        <v>447</v>
      </c>
      <c r="F6" s="398"/>
      <c r="G6" s="395">
        <f ca="1">Units</f>
        <v>0</v>
      </c>
      <c r="H6" s="397"/>
      <c r="I6" s="379"/>
      <c r="J6" s="379"/>
      <c r="K6" s="603"/>
      <c r="L6" s="1116" t="s">
        <v>397</v>
      </c>
      <c r="M6" s="1116"/>
      <c r="N6" s="604" t="str">
        <f>'Operating Statement'!O4</f>
        <v>CURRENT</v>
      </c>
      <c r="O6" s="604"/>
      <c r="P6" s="604" t="str">
        <f>'Operating Statement'!Q4</f>
        <v>YEAR 1</v>
      </c>
      <c r="Q6" s="604" t="str">
        <f>'Operating Statement'!S4</f>
        <v>Reno</v>
      </c>
      <c r="R6" s="593"/>
      <c r="S6" s="379"/>
      <c r="T6" s="379"/>
      <c r="U6" s="379"/>
      <c r="V6" s="379"/>
      <c r="W6" s="85"/>
      <c r="X6" s="88"/>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row>
    <row r="7" spans="1:57" x14ac:dyDescent="0.25">
      <c r="A7" s="379"/>
      <c r="B7" s="379"/>
      <c r="C7" s="379"/>
      <c r="D7" s="383"/>
      <c r="E7" s="397" t="s">
        <v>448</v>
      </c>
      <c r="F7" s="398"/>
      <c r="G7" s="399">
        <f ca="1">IFERROR(IF(Priced="Unpriced","-",G4/G6),0)</f>
        <v>0</v>
      </c>
      <c r="H7" s="401"/>
      <c r="I7" s="379"/>
      <c r="J7" s="379"/>
      <c r="K7" s="402"/>
      <c r="L7" s="371" t="s">
        <v>314</v>
      </c>
      <c r="M7" s="375"/>
      <c r="N7" s="373">
        <f ca="1">'Operating Statement'!O8</f>
        <v>0</v>
      </c>
      <c r="O7" s="373"/>
      <c r="P7" s="373">
        <f ca="1">'Operating Statement'!Q8</f>
        <v>0</v>
      </c>
      <c r="Q7" s="376">
        <f ca="1">'Operating Statement'!S8</f>
        <v>0</v>
      </c>
      <c r="R7" s="379"/>
      <c r="S7" s="379"/>
      <c r="T7" s="379"/>
      <c r="U7" s="379"/>
      <c r="V7" s="379"/>
      <c r="W7" s="379"/>
      <c r="X7" s="88"/>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row>
    <row r="8" spans="1:57" ht="13.5" customHeight="1" x14ac:dyDescent="0.25">
      <c r="A8" s="379"/>
      <c r="B8" s="379"/>
      <c r="C8" s="379"/>
      <c r="D8" s="383"/>
      <c r="E8" s="397" t="s">
        <v>449</v>
      </c>
      <c r="F8" s="398"/>
      <c r="G8" s="403">
        <f ca="1">IFERROR(IF(Priced="Unpriced","-",G4/G9),0)</f>
        <v>0</v>
      </c>
      <c r="H8" s="404"/>
      <c r="I8" s="379"/>
      <c r="J8" s="379"/>
      <c r="K8" s="405"/>
      <c r="L8" s="397" t="s">
        <v>450</v>
      </c>
      <c r="M8" s="406">
        <f ca="1">IFERROR(N8/N7,0)</f>
        <v>0</v>
      </c>
      <c r="N8" s="399">
        <f ca="1">-'Operating Statement'!O14</f>
        <v>0</v>
      </c>
      <c r="O8" s="406">
        <f ca="1">IFERROR(P8/P7,0)</f>
        <v>0</v>
      </c>
      <c r="P8" s="399">
        <f ca="1">-'Operating Statement'!Q14</f>
        <v>0</v>
      </c>
      <c r="Q8" s="407">
        <f>-'Operating Statement'!S14</f>
        <v>0</v>
      </c>
      <c r="R8" s="379"/>
      <c r="S8" s="379"/>
      <c r="T8" s="379"/>
      <c r="U8" s="379"/>
      <c r="V8" s="379"/>
      <c r="W8" s="379"/>
      <c r="X8" s="88"/>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row>
    <row r="9" spans="1:57" x14ac:dyDescent="0.25">
      <c r="A9" s="379"/>
      <c r="B9" s="379"/>
      <c r="C9" s="379"/>
      <c r="D9" s="383"/>
      <c r="E9" s="397" t="str">
        <f>'Rent Roll Summary'!T1&amp;" SqFt"</f>
        <v xml:space="preserve"> SqFt</v>
      </c>
      <c r="F9" s="398"/>
      <c r="G9" s="408">
        <f ca="1">Total_Sq_Ft</f>
        <v>0</v>
      </c>
      <c r="H9" s="409"/>
      <c r="I9" s="379"/>
      <c r="J9" s="379"/>
      <c r="K9" s="380"/>
      <c r="L9" s="397" t="s">
        <v>451</v>
      </c>
      <c r="M9" s="410"/>
      <c r="N9" s="399">
        <f ca="1">'Operating Statement'!O16</f>
        <v>0</v>
      </c>
      <c r="O9" s="410"/>
      <c r="P9" s="399">
        <f ca="1">'Operating Statement'!Q16</f>
        <v>0</v>
      </c>
      <c r="Q9" s="407">
        <f ca="1">'Operating Statement'!S16</f>
        <v>0</v>
      </c>
      <c r="R9" s="379"/>
      <c r="S9" s="379"/>
      <c r="T9" s="379"/>
      <c r="U9" s="379"/>
      <c r="V9" s="379"/>
      <c r="W9" s="379"/>
      <c r="X9" s="88"/>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row>
    <row r="10" spans="1:57" x14ac:dyDescent="0.25">
      <c r="A10" s="379"/>
      <c r="B10" s="379"/>
      <c r="C10" s="379"/>
      <c r="D10" s="383"/>
      <c r="E10" s="397"/>
      <c r="F10" s="398"/>
      <c r="G10" s="591"/>
      <c r="H10" s="409"/>
      <c r="I10" s="379"/>
      <c r="J10" s="379"/>
      <c r="K10" s="380"/>
      <c r="L10" s="397" t="s">
        <v>452</v>
      </c>
      <c r="M10" s="410"/>
      <c r="N10" s="399">
        <f>'Operating Statement'!O20</f>
        <v>0</v>
      </c>
      <c r="O10" s="410"/>
      <c r="P10" s="399">
        <f>'Operating Statement'!Q20</f>
        <v>0</v>
      </c>
      <c r="Q10" s="407">
        <f>'Operating Statement'!S20</f>
        <v>0</v>
      </c>
      <c r="R10" s="379"/>
      <c r="S10" s="379"/>
      <c r="T10" s="379"/>
      <c r="U10" s="379"/>
      <c r="V10" s="379"/>
      <c r="W10" s="379"/>
      <c r="X10" s="88"/>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row>
    <row r="11" spans="1:57" x14ac:dyDescent="0.25">
      <c r="A11" s="379"/>
      <c r="B11" s="379"/>
      <c r="C11" s="379"/>
      <c r="D11" s="383"/>
      <c r="E11" s="474"/>
      <c r="F11" s="485"/>
      <c r="G11" s="606"/>
      <c r="H11" s="474"/>
      <c r="I11" s="607"/>
      <c r="J11" s="607"/>
      <c r="K11" s="380"/>
      <c r="L11" s="397" t="s">
        <v>453</v>
      </c>
      <c r="M11" s="410"/>
      <c r="N11" s="399">
        <f ca="1">'Operating Statement'!O21</f>
        <v>0</v>
      </c>
      <c r="O11" s="411"/>
      <c r="P11" s="399">
        <f ca="1">'Operating Statement'!Q21</f>
        <v>0</v>
      </c>
      <c r="Q11" s="407">
        <f ca="1">'Operating Statement'!S21</f>
        <v>0</v>
      </c>
      <c r="R11" s="379"/>
      <c r="S11" s="379"/>
      <c r="T11" s="379"/>
      <c r="U11" s="379"/>
      <c r="V11" s="379"/>
      <c r="W11" s="379"/>
      <c r="X11" s="88"/>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row>
    <row r="12" spans="1:57" x14ac:dyDescent="0.25">
      <c r="A12" s="379"/>
      <c r="B12" s="379"/>
      <c r="C12" s="379"/>
      <c r="D12" s="383"/>
      <c r="E12" s="650" t="s">
        <v>454</v>
      </c>
      <c r="F12" s="509"/>
      <c r="G12" s="604" t="str">
        <f>N6</f>
        <v>CURRENT</v>
      </c>
      <c r="H12" s="604" t="str">
        <f>P6</f>
        <v>YEAR 1</v>
      </c>
      <c r="I12" s="651" t="str">
        <f>Q6</f>
        <v>Reno</v>
      </c>
      <c r="J12" s="652"/>
      <c r="K12" s="605"/>
      <c r="L12" s="474" t="s">
        <v>455</v>
      </c>
      <c r="M12" s="612">
        <f ca="1">IFERROR(N12/$N$11,0)</f>
        <v>0</v>
      </c>
      <c r="N12" s="613">
        <f ca="1">'Operating Statement'!O39</f>
        <v>0</v>
      </c>
      <c r="O12" s="612">
        <f ca="1">IFERROR(P12/P11,0)</f>
        <v>0</v>
      </c>
      <c r="P12" s="613">
        <f ca="1">'Operating Statement'!Q39</f>
        <v>0</v>
      </c>
      <c r="Q12" s="614">
        <f>'Operating Statement'!S39</f>
        <v>0</v>
      </c>
      <c r="R12" s="379"/>
      <c r="S12" s="379"/>
      <c r="T12" s="379"/>
      <c r="U12" s="379"/>
      <c r="V12" s="379"/>
      <c r="W12" s="379"/>
      <c r="X12" s="88"/>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row>
    <row r="13" spans="1:57" x14ac:dyDescent="0.25">
      <c r="A13" s="379"/>
      <c r="B13" s="379"/>
      <c r="C13" s="380"/>
      <c r="D13" s="384"/>
      <c r="E13" s="645" t="s">
        <v>368</v>
      </c>
      <c r="F13" s="646"/>
      <c r="G13" s="647">
        <f ca="1">IFERROR(N13/$G$4,0)</f>
        <v>0</v>
      </c>
      <c r="H13" s="648">
        <f ca="1">IFERROR(P13/$G$4,0)</f>
        <v>0</v>
      </c>
      <c r="I13" s="648">
        <f ca="1">IFERROR(Q13/$G$4,0)</f>
        <v>0</v>
      </c>
      <c r="J13" s="649"/>
      <c r="K13" s="611"/>
      <c r="L13" s="627" t="s">
        <v>456</v>
      </c>
      <c r="M13" s="628"/>
      <c r="N13" s="629">
        <f ca="1">N11-N12</f>
        <v>0</v>
      </c>
      <c r="O13" s="628"/>
      <c r="P13" s="629">
        <f ca="1">P11-P12</f>
        <v>0</v>
      </c>
      <c r="Q13" s="630">
        <f ca="1">Q11-Q12</f>
        <v>0</v>
      </c>
      <c r="R13" s="593"/>
      <c r="S13" s="379"/>
      <c r="T13" s="379"/>
      <c r="U13" s="379"/>
      <c r="V13" s="379"/>
      <c r="W13" s="379"/>
      <c r="X13" s="88"/>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row>
    <row r="14" spans="1:57" x14ac:dyDescent="0.25">
      <c r="A14" s="379"/>
      <c r="B14" s="379"/>
      <c r="C14" s="380"/>
      <c r="D14" s="385"/>
      <c r="E14" s="596" t="str">
        <f>IFERROR(IF(RentMult="GIM","GIM","GRM"),"")</f>
        <v>GRM</v>
      </c>
      <c r="F14" s="434"/>
      <c r="G14" s="620">
        <f ca="1">IFERROR($G$4/IF(RentMult="GIM",N7+N10,N7),0)</f>
        <v>0</v>
      </c>
      <c r="H14" s="620">
        <f ca="1">IFERROR($G$4/IF(RentMult="GIM",P7+P10,P7),0)</f>
        <v>0</v>
      </c>
      <c r="I14" s="620">
        <f ca="1">IFERROR($G$4/IF(RentMult="GIM",Q7+Q10,Q7),0)</f>
        <v>0</v>
      </c>
      <c r="J14" s="621"/>
      <c r="K14" s="379"/>
      <c r="L14" s="596" t="s">
        <v>207</v>
      </c>
      <c r="M14" s="599"/>
      <c r="N14" s="598">
        <f ca="1">N13</f>
        <v>0</v>
      </c>
      <c r="O14" s="599"/>
      <c r="P14" s="622">
        <f ca="1">'Cash Flow'!G33</f>
        <v>0</v>
      </c>
      <c r="Q14" s="623">
        <f ca="1">Q13</f>
        <v>0</v>
      </c>
      <c r="R14" s="379"/>
      <c r="S14" s="379"/>
      <c r="T14" s="379"/>
      <c r="U14" s="379"/>
      <c r="V14" s="379"/>
      <c r="W14" s="379"/>
      <c r="X14" s="88"/>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row>
    <row r="15" spans="1:57" x14ac:dyDescent="0.25">
      <c r="A15" s="379"/>
      <c r="B15" s="379"/>
      <c r="C15" s="380"/>
      <c r="D15" s="384"/>
      <c r="E15" s="397" t="s">
        <v>457</v>
      </c>
      <c r="F15" s="393"/>
      <c r="G15" s="418">
        <f ca="1">M16</f>
        <v>0</v>
      </c>
      <c r="H15" s="418">
        <f ca="1">O16</f>
        <v>0</v>
      </c>
      <c r="I15" s="418">
        <f ca="1">IFERROR(Q16/G5,0)</f>
        <v>0</v>
      </c>
      <c r="J15" s="420"/>
      <c r="K15" s="379"/>
      <c r="L15" s="397" t="s">
        <v>458</v>
      </c>
      <c r="M15" s="414"/>
      <c r="N15" s="399">
        <f>-SUM('Cash Flow'!G40:G41)</f>
        <v>0</v>
      </c>
      <c r="O15" s="414"/>
      <c r="P15" s="399">
        <f>-SUM('Cash Flow'!G40:G41)</f>
        <v>0</v>
      </c>
      <c r="Q15" s="407">
        <f>-SUM('Cash Flow'!G40:G41)</f>
        <v>0</v>
      </c>
      <c r="R15" s="379"/>
      <c r="S15" s="379"/>
      <c r="T15" s="379"/>
      <c r="U15" s="379"/>
      <c r="V15" s="379"/>
      <c r="W15" s="379"/>
      <c r="X15" s="88"/>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row>
    <row r="16" spans="1:57" x14ac:dyDescent="0.25">
      <c r="A16" s="379"/>
      <c r="B16" s="379"/>
      <c r="C16" s="380"/>
      <c r="D16" s="384"/>
      <c r="E16" s="397" t="s">
        <v>459</v>
      </c>
      <c r="F16" s="393"/>
      <c r="G16" s="421">
        <f ca="1">IFERROR(IF(Acq_Financing_Type_Switch="All Cash","N/A",N13/N15),0)</f>
        <v>0</v>
      </c>
      <c r="H16" s="421">
        <f>IFERROR(IF(SwitchAcqMethod="All Cash","N/A",P13/P15),0)</f>
        <v>0</v>
      </c>
      <c r="I16" s="415">
        <f>IFERROR(IF(SwitchAcqMethod="All Cash","N/A",Q13/Q15),0)</f>
        <v>0</v>
      </c>
      <c r="J16" s="416"/>
      <c r="K16" s="379"/>
      <c r="L16" s="417" t="s">
        <v>460</v>
      </c>
      <c r="M16" s="418">
        <f ca="1">IFERROR(IF(Priced="Unpriced","",N16/$G$5),0)</f>
        <v>0</v>
      </c>
      <c r="N16" s="413">
        <f ca="1">N14-N15</f>
        <v>0</v>
      </c>
      <c r="O16" s="418">
        <f ca="1">IFERROR(IF(Priced="Unpriced","",P16/$G$5),0)</f>
        <v>0</v>
      </c>
      <c r="P16" s="413">
        <f ca="1">P14-P15</f>
        <v>0</v>
      </c>
      <c r="Q16" s="419">
        <f ca="1">Q14-Q15</f>
        <v>0</v>
      </c>
      <c r="R16" s="379"/>
      <c r="S16" s="379"/>
      <c r="T16" s="379"/>
      <c r="U16" s="379"/>
      <c r="V16" s="379"/>
      <c r="W16" s="379"/>
      <c r="X16" s="88"/>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row>
    <row r="17" spans="1:57" x14ac:dyDescent="0.25">
      <c r="A17" s="379"/>
      <c r="B17" s="379"/>
      <c r="C17" s="380"/>
      <c r="D17" s="380"/>
      <c r="E17" s="85"/>
      <c r="F17" s="85"/>
      <c r="G17" s="85"/>
      <c r="H17" s="85"/>
      <c r="I17" s="85"/>
      <c r="J17" s="85"/>
      <c r="K17" s="379"/>
      <c r="L17" s="474" t="s">
        <v>461</v>
      </c>
      <c r="M17" s="615"/>
      <c r="N17" s="616">
        <f>-'Cash Flow'!G41</f>
        <v>0</v>
      </c>
      <c r="O17" s="617"/>
      <c r="P17" s="616">
        <f ca="1">-'Cash Flow'!H41</f>
        <v>0</v>
      </c>
      <c r="Q17" s="618">
        <f ca="1">-'Cash Flow'!H41</f>
        <v>0</v>
      </c>
      <c r="R17" s="379"/>
      <c r="S17" s="379"/>
      <c r="T17" s="379"/>
      <c r="U17" s="379"/>
      <c r="V17" s="379"/>
      <c r="W17" s="379"/>
      <c r="X17" s="88"/>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row>
    <row r="18" spans="1:57" x14ac:dyDescent="0.25">
      <c r="A18" s="379"/>
      <c r="B18" s="379"/>
      <c r="C18" s="380"/>
      <c r="D18" s="380"/>
      <c r="E18" s="91"/>
      <c r="F18" s="91"/>
      <c r="G18" s="91"/>
      <c r="H18" s="91"/>
      <c r="I18" s="91"/>
      <c r="J18" s="91"/>
      <c r="K18" s="383"/>
      <c r="L18" s="660" t="s">
        <v>462</v>
      </c>
      <c r="M18" s="663">
        <f ca="1">IFERROR(IF(Priced="Unpriced","",IFERROR(N18/$G$5,IFERROR(N18/$G$4,0))),"")</f>
        <v>0</v>
      </c>
      <c r="N18" s="664">
        <f ca="1">N16+N17</f>
        <v>0</v>
      </c>
      <c r="O18" s="663">
        <f ca="1">IFERROR(IF(Priced="Unpriced","",IFERROR(P18/$G$5,IFERROR(P18/$G$4,0))),"")</f>
        <v>0</v>
      </c>
      <c r="P18" s="664">
        <f ca="1">P16+P17</f>
        <v>0</v>
      </c>
      <c r="Q18" s="665">
        <f ca="1">Q16+Q17</f>
        <v>0</v>
      </c>
      <c r="R18" s="593"/>
      <c r="S18" s="379"/>
      <c r="T18" s="379"/>
      <c r="U18" s="379"/>
      <c r="V18" s="379"/>
      <c r="W18" s="379"/>
      <c r="X18" s="88"/>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row>
    <row r="19" spans="1:57" x14ac:dyDescent="0.25">
      <c r="A19" s="379"/>
      <c r="B19" s="379"/>
      <c r="C19" s="380"/>
      <c r="D19" s="384"/>
      <c r="E19" s="650" t="s">
        <v>463</v>
      </c>
      <c r="F19" s="653"/>
      <c r="G19" s="604"/>
      <c r="H19" s="654" t="s">
        <v>464</v>
      </c>
      <c r="I19" s="604" t="str">
        <f>IF(Mezz_Switch="Yes","Mezzanine","")</f>
        <v>Mezzanine</v>
      </c>
      <c r="J19" s="604"/>
      <c r="K19" s="593"/>
      <c r="L19" s="624"/>
      <c r="M19" s="625"/>
      <c r="N19" s="626"/>
      <c r="O19" s="625"/>
      <c r="P19" s="626"/>
      <c r="Q19" s="626"/>
      <c r="R19" s="379"/>
      <c r="S19" s="379"/>
      <c r="T19" s="379"/>
      <c r="U19" s="379"/>
      <c r="V19" s="379"/>
      <c r="W19" s="379"/>
      <c r="X19" s="88"/>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row>
    <row r="20" spans="1:57" x14ac:dyDescent="0.25">
      <c r="A20" s="379"/>
      <c r="B20" s="379"/>
      <c r="C20" s="379"/>
      <c r="D20" s="383"/>
      <c r="E20" s="596" t="s">
        <v>465</v>
      </c>
      <c r="F20" s="434"/>
      <c r="G20" s="435"/>
      <c r="H20" s="598">
        <f>IF(Acq_Financing_Type_Switch = "Financed - Assumed Loan", SED_Loan_Balance, NEW_Loan_Balance)</f>
        <v>0</v>
      </c>
      <c r="I20" s="598">
        <f ca="1">IF(Mezz_Switch = "Yes", Mezz_Loan_Balance,"")</f>
        <v>0</v>
      </c>
      <c r="J20" s="598"/>
      <c r="K20" s="379"/>
      <c r="L20" s="440"/>
      <c r="M20" s="443"/>
      <c r="N20" s="594"/>
      <c r="O20" s="595"/>
      <c r="P20" s="594"/>
      <c r="Q20" s="594"/>
      <c r="R20" s="379"/>
      <c r="S20" s="379"/>
      <c r="T20" s="379"/>
      <c r="U20" s="379"/>
      <c r="V20" s="379"/>
      <c r="W20" s="379"/>
      <c r="X20" s="88"/>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row>
    <row r="21" spans="1:57" x14ac:dyDescent="0.25">
      <c r="A21" s="379"/>
      <c r="B21" s="379"/>
      <c r="C21" s="379"/>
      <c r="D21" s="384"/>
      <c r="E21" s="397" t="s">
        <v>466</v>
      </c>
      <c r="F21" s="393"/>
      <c r="G21" s="394"/>
      <c r="H21" s="424" t="str">
        <f>IF(Acq_Financing_Type_Switch = "Financed - Assumed Loan", "Assumed", "New")</f>
        <v>New</v>
      </c>
      <c r="I21" s="424" t="str">
        <f>IF(Mezz_Switch = "Yes", "New","")</f>
        <v>New</v>
      </c>
      <c r="J21" s="424"/>
      <c r="K21" s="383"/>
      <c r="L21" s="1117" t="s">
        <v>419</v>
      </c>
      <c r="M21" s="1117"/>
      <c r="N21" s="601" t="s">
        <v>265</v>
      </c>
      <c r="O21" s="602"/>
      <c r="P21" s="601" t="s">
        <v>286</v>
      </c>
      <c r="Q21" s="601" t="s">
        <v>321</v>
      </c>
      <c r="R21" s="593"/>
      <c r="S21" s="379"/>
      <c r="T21" s="379"/>
      <c r="U21" s="379"/>
      <c r="V21" s="379"/>
      <c r="W21" s="379"/>
      <c r="X21" s="88"/>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row>
    <row r="22" spans="1:57" x14ac:dyDescent="0.25">
      <c r="A22" s="379"/>
      <c r="B22" s="379"/>
      <c r="C22" s="379"/>
      <c r="D22" s="384"/>
      <c r="E22" s="397" t="s">
        <v>467</v>
      </c>
      <c r="F22" s="393"/>
      <c r="G22" s="394"/>
      <c r="H22" s="414">
        <f>IF(Acq_Financing_Type_Switch = "Financed - Assumed Loan", SED_Interest_Rate, NEW_Interest_Rate)</f>
        <v>0</v>
      </c>
      <c r="I22" s="414">
        <f>IF(Mezz_Switch = "Yes", Mezz_Interest_Rate,"")</f>
        <v>0</v>
      </c>
      <c r="J22" s="414"/>
      <c r="K22" s="379"/>
      <c r="L22" s="596" t="s">
        <v>420</v>
      </c>
      <c r="M22" s="597"/>
      <c r="N22" s="598">
        <f>'Operating Statement'!O24</f>
        <v>0</v>
      </c>
      <c r="O22" s="599"/>
      <c r="P22" s="598">
        <f>'Operating Statement'!Q24</f>
        <v>0</v>
      </c>
      <c r="Q22" s="600">
        <f>'Operating Statement'!S24</f>
        <v>0</v>
      </c>
      <c r="R22" s="379"/>
      <c r="S22" s="379"/>
      <c r="T22" s="379"/>
      <c r="U22" s="379"/>
      <c r="V22" s="379"/>
      <c r="W22" s="379"/>
      <c r="X22" s="88"/>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row>
    <row r="23" spans="1:57" x14ac:dyDescent="0.25">
      <c r="A23" s="379"/>
      <c r="B23" s="379"/>
      <c r="C23" s="379"/>
      <c r="D23" s="384"/>
      <c r="E23" s="397" t="s">
        <v>468</v>
      </c>
      <c r="F23" s="393"/>
      <c r="G23" s="394"/>
      <c r="H23" s="425">
        <f>IF(Acq_Financing_Type_Switch = "Financed - Assumed Loan", SED_Amort, NEW_Amort)</f>
        <v>0</v>
      </c>
      <c r="I23" s="425">
        <f>IF(Mezz_Switch = "Yes", Mezz_Amort,"")</f>
        <v>0</v>
      </c>
      <c r="J23" s="425"/>
      <c r="K23" s="379"/>
      <c r="L23" s="397" t="s">
        <v>421</v>
      </c>
      <c r="M23" s="423"/>
      <c r="N23" s="399">
        <f>'Operating Statement'!O25</f>
        <v>0</v>
      </c>
      <c r="O23" s="414"/>
      <c r="P23" s="399">
        <f>'Operating Statement'!Q25</f>
        <v>0</v>
      </c>
      <c r="Q23" s="407">
        <f>'Operating Statement'!S25</f>
        <v>0</v>
      </c>
      <c r="R23" s="379"/>
      <c r="S23" s="379"/>
      <c r="T23" s="379"/>
      <c r="U23" s="379"/>
      <c r="V23" s="379"/>
      <c r="W23" s="379"/>
      <c r="X23" s="88"/>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row>
    <row r="24" spans="1:57" x14ac:dyDescent="0.25">
      <c r="A24" s="379"/>
      <c r="B24" s="379"/>
      <c r="C24" s="379"/>
      <c r="D24" s="384"/>
      <c r="E24" s="397" t="s">
        <v>469</v>
      </c>
      <c r="F24" s="393"/>
      <c r="G24" s="394"/>
      <c r="H24" s="426" t="e">
        <f>IF(Acq_Financing_Type_Switch = "Financed - Assumed Loan", YEAR(SED_Loan_Due_Date), YEAR(NEW_Loan_Due_Date))</f>
        <v>#NUM!</v>
      </c>
      <c r="I24" s="426" t="e">
        <f>IF(Mezz_Switch = "Yes",YEAR(Mezz_Loan_Due_Date),"")</f>
        <v>#NUM!</v>
      </c>
      <c r="J24" s="426"/>
      <c r="K24" s="379"/>
      <c r="L24" s="397" t="s">
        <v>423</v>
      </c>
      <c r="M24" s="423"/>
      <c r="N24" s="399">
        <f>'Operating Statement'!O26</f>
        <v>0</v>
      </c>
      <c r="O24" s="414"/>
      <c r="P24" s="399">
        <f>'Operating Statement'!Q26</f>
        <v>0</v>
      </c>
      <c r="Q24" s="407">
        <f>'Operating Statement'!S26</f>
        <v>0</v>
      </c>
      <c r="R24" s="379"/>
      <c r="S24" s="379"/>
      <c r="T24" s="379"/>
      <c r="U24" s="379"/>
      <c r="V24" s="379"/>
      <c r="W24" s="379"/>
      <c r="X24" s="88"/>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row>
    <row r="25" spans="1:57" x14ac:dyDescent="0.25">
      <c r="A25" s="379"/>
      <c r="B25" s="379"/>
      <c r="C25" s="379"/>
      <c r="D25" s="384"/>
      <c r="E25" s="427" t="s">
        <v>470</v>
      </c>
      <c r="F25" s="428"/>
      <c r="G25" s="393"/>
      <c r="H25" s="393"/>
      <c r="I25" s="393"/>
      <c r="J25" s="393"/>
      <c r="K25" s="379"/>
      <c r="L25" s="397" t="s">
        <v>424</v>
      </c>
      <c r="M25" s="423"/>
      <c r="N25" s="399">
        <f>'Operating Statement'!O27</f>
        <v>0</v>
      </c>
      <c r="O25" s="414"/>
      <c r="P25" s="399">
        <f>'Operating Statement'!Q27</f>
        <v>0</v>
      </c>
      <c r="Q25" s="407">
        <f>'Operating Statement'!S27</f>
        <v>0</v>
      </c>
      <c r="R25" s="379"/>
      <c r="S25" s="379"/>
      <c r="T25" s="379"/>
      <c r="U25" s="379"/>
      <c r="V25" s="379"/>
      <c r="W25" s="379"/>
      <c r="X25" s="88"/>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row>
    <row r="26" spans="1:57" x14ac:dyDescent="0.25">
      <c r="A26" s="379"/>
      <c r="B26" s="379"/>
      <c r="C26" s="379"/>
      <c r="D26" s="380"/>
      <c r="E26" s="91"/>
      <c r="F26" s="91"/>
      <c r="G26" s="91"/>
      <c r="H26" s="91"/>
      <c r="I26" s="91"/>
      <c r="J26" s="91"/>
      <c r="K26" s="379"/>
      <c r="L26" s="397" t="s">
        <v>425</v>
      </c>
      <c r="M26" s="423"/>
      <c r="N26" s="399">
        <f>'Operating Statement'!O28</f>
        <v>0</v>
      </c>
      <c r="O26" s="414"/>
      <c r="P26" s="399">
        <f>'Operating Statement'!Q28</f>
        <v>0</v>
      </c>
      <c r="Q26" s="407">
        <f>'Operating Statement'!S28</f>
        <v>0</v>
      </c>
      <c r="R26" s="379"/>
      <c r="S26" s="379"/>
      <c r="T26" s="379"/>
      <c r="U26" s="379"/>
      <c r="V26" s="379"/>
      <c r="W26" s="379"/>
      <c r="X26" s="88"/>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row>
    <row r="27" spans="1:57" x14ac:dyDescent="0.25">
      <c r="A27" s="379"/>
      <c r="B27" s="379"/>
      <c r="C27" s="379"/>
      <c r="D27" s="384"/>
      <c r="E27" s="655" t="s">
        <v>471</v>
      </c>
      <c r="F27" s="655" t="s">
        <v>472</v>
      </c>
      <c r="G27" s="655"/>
      <c r="H27" s="654" t="s">
        <v>473</v>
      </c>
      <c r="I27" s="604" t="s">
        <v>474</v>
      </c>
      <c r="J27" s="604" t="s">
        <v>475</v>
      </c>
      <c r="K27" s="593"/>
      <c r="L27" s="397" t="s">
        <v>427</v>
      </c>
      <c r="M27" s="423"/>
      <c r="N27" s="399">
        <f>'Operating Statement'!O29</f>
        <v>0</v>
      </c>
      <c r="O27" s="414"/>
      <c r="P27" s="399">
        <f>'Operating Statement'!Q29</f>
        <v>0</v>
      </c>
      <c r="Q27" s="407">
        <f>'Operating Statement'!S29</f>
        <v>0</v>
      </c>
      <c r="R27" s="379"/>
      <c r="S27" s="379"/>
      <c r="T27" s="379"/>
      <c r="U27" s="379"/>
      <c r="V27" s="379"/>
      <c r="W27" s="379"/>
      <c r="X27" s="88"/>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row>
    <row r="28" spans="1:57" x14ac:dyDescent="0.25">
      <c r="A28" s="379"/>
      <c r="B28" s="379"/>
      <c r="C28" s="379"/>
      <c r="D28" s="384"/>
      <c r="E28" s="608" cm="1">
        <f t="array" aca="1" ref="E28" ca="1">Unit_Amt_Summary</f>
        <v>0</v>
      </c>
      <c r="F28" s="608" t="str" cm="1">
        <f t="array" ref="F28">Unit_Type_Summary</f>
        <v/>
      </c>
      <c r="G28" s="608"/>
      <c r="H28" s="609" cm="1">
        <f t="array" aca="1" ref="H28" ca="1">Summary_SQFT_UNIT</f>
        <v>0</v>
      </c>
      <c r="I28" s="610" cm="1">
        <f t="array" aca="1" ref="I28" ca="1">Summary_SCHEDULED_RENTS</f>
        <v>0</v>
      </c>
      <c r="J28" s="610" cm="1">
        <f t="array" aca="1" ref="J28" ca="1">Summary_MARKET_RENTS</f>
        <v>0</v>
      </c>
      <c r="K28" s="379"/>
      <c r="L28" s="397" t="s">
        <v>428</v>
      </c>
      <c r="M28" s="423"/>
      <c r="N28" s="399">
        <f>'Operating Statement'!O30</f>
        <v>0</v>
      </c>
      <c r="O28" s="414"/>
      <c r="P28" s="399">
        <f>'Operating Statement'!Q30</f>
        <v>0</v>
      </c>
      <c r="Q28" s="407">
        <f>'Operating Statement'!S30</f>
        <v>0</v>
      </c>
      <c r="R28" s="379"/>
      <c r="S28" s="379"/>
      <c r="T28" s="379"/>
      <c r="U28" s="379"/>
      <c r="V28" s="379"/>
      <c r="W28" s="379"/>
      <c r="X28" s="88"/>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row>
    <row r="29" spans="1:57" x14ac:dyDescent="0.25">
      <c r="A29" s="379"/>
      <c r="B29" s="379"/>
      <c r="C29" s="379"/>
      <c r="D29" s="384"/>
      <c r="E29" s="429"/>
      <c r="F29" s="429"/>
      <c r="G29" s="429"/>
      <c r="H29" s="408"/>
      <c r="I29" s="430"/>
      <c r="J29" s="430"/>
      <c r="K29" s="379"/>
      <c r="L29" s="397" t="s">
        <v>429</v>
      </c>
      <c r="M29" s="423"/>
      <c r="N29" s="399">
        <f>'Operating Statement'!O31</f>
        <v>0</v>
      </c>
      <c r="O29" s="414"/>
      <c r="P29" s="399">
        <f>'Operating Statement'!Q31</f>
        <v>0</v>
      </c>
      <c r="Q29" s="407">
        <f>'Operating Statement'!S31</f>
        <v>0</v>
      </c>
      <c r="R29" s="379"/>
      <c r="S29" s="379"/>
      <c r="T29" s="379"/>
      <c r="U29" s="379"/>
      <c r="V29" s="379"/>
      <c r="W29" s="379"/>
      <c r="X29" s="88"/>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row>
    <row r="30" spans="1:57" x14ac:dyDescent="0.25">
      <c r="A30" s="379"/>
      <c r="B30" s="379"/>
      <c r="C30" s="379"/>
      <c r="D30" s="384"/>
      <c r="E30" s="429"/>
      <c r="F30" s="429"/>
      <c r="G30" s="429"/>
      <c r="H30" s="408"/>
      <c r="I30" s="430"/>
      <c r="J30" s="430"/>
      <c r="K30" s="379"/>
      <c r="L30" s="397" t="s">
        <v>430</v>
      </c>
      <c r="M30" s="423"/>
      <c r="N30" s="399">
        <f>'Operating Statement'!O32</f>
        <v>0</v>
      </c>
      <c r="O30" s="414"/>
      <c r="P30" s="399">
        <f>'Operating Statement'!Q32</f>
        <v>0</v>
      </c>
      <c r="Q30" s="407">
        <f>'Operating Statement'!S32</f>
        <v>0</v>
      </c>
      <c r="R30" s="379"/>
      <c r="S30" s="379"/>
      <c r="T30" s="379"/>
      <c r="U30" s="379"/>
      <c r="V30" s="379"/>
      <c r="W30" s="379"/>
      <c r="X30" s="88"/>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row>
    <row r="31" spans="1:57" x14ac:dyDescent="0.25">
      <c r="A31" s="379"/>
      <c r="B31" s="379"/>
      <c r="C31" s="379"/>
      <c r="D31" s="384"/>
      <c r="E31" s="429"/>
      <c r="F31" s="429"/>
      <c r="G31" s="429"/>
      <c r="H31" s="408"/>
      <c r="I31" s="430"/>
      <c r="J31" s="430"/>
      <c r="K31" s="379"/>
      <c r="L31" s="397" t="s">
        <v>431</v>
      </c>
      <c r="M31" s="423"/>
      <c r="N31" s="399">
        <f>'Operating Statement'!O33</f>
        <v>0</v>
      </c>
      <c r="O31" s="414"/>
      <c r="P31" s="399">
        <f>'Operating Statement'!Q33</f>
        <v>0</v>
      </c>
      <c r="Q31" s="407">
        <f>'Operating Statement'!S33</f>
        <v>0</v>
      </c>
      <c r="R31" s="379"/>
      <c r="S31" s="379"/>
      <c r="T31" s="379"/>
      <c r="U31" s="379"/>
      <c r="V31" s="379"/>
      <c r="W31" s="379"/>
      <c r="X31" s="88"/>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row>
    <row r="32" spans="1:57" x14ac:dyDescent="0.25">
      <c r="A32" s="379"/>
      <c r="B32" s="379"/>
      <c r="C32" s="379"/>
      <c r="D32" s="384"/>
      <c r="E32" s="429"/>
      <c r="F32" s="429"/>
      <c r="G32" s="429"/>
      <c r="H32" s="431"/>
      <c r="I32" s="432"/>
      <c r="J32" s="432"/>
      <c r="K32" s="379"/>
      <c r="L32" s="397" t="s">
        <v>432</v>
      </c>
      <c r="M32" s="423"/>
      <c r="N32" s="399">
        <f>'Operating Statement'!O34</f>
        <v>0</v>
      </c>
      <c r="O32" s="414"/>
      <c r="P32" s="399">
        <f>'Operating Statement'!Q34</f>
        <v>0</v>
      </c>
      <c r="Q32" s="407">
        <f>'Operating Statement'!S34</f>
        <v>0</v>
      </c>
      <c r="R32" s="379"/>
      <c r="S32" s="379"/>
      <c r="T32" s="379"/>
      <c r="U32" s="379"/>
      <c r="V32" s="379"/>
      <c r="W32" s="379"/>
      <c r="X32" s="88"/>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row>
    <row r="33" spans="1:57" x14ac:dyDescent="0.25">
      <c r="A33" s="379"/>
      <c r="B33" s="379"/>
      <c r="C33" s="379"/>
      <c r="D33" s="380"/>
      <c r="E33" s="429"/>
      <c r="F33" s="429"/>
      <c r="G33" s="429"/>
      <c r="H33" s="431"/>
      <c r="I33" s="432"/>
      <c r="J33" s="432"/>
      <c r="K33" s="379"/>
      <c r="L33" s="397" t="s">
        <v>433</v>
      </c>
      <c r="M33" s="423"/>
      <c r="N33" s="399">
        <f>'Operating Statement'!O35</f>
        <v>0</v>
      </c>
      <c r="O33" s="414"/>
      <c r="P33" s="399">
        <f>'Operating Statement'!Q35</f>
        <v>0</v>
      </c>
      <c r="Q33" s="407">
        <f>'Operating Statement'!S35</f>
        <v>0</v>
      </c>
      <c r="R33" s="379"/>
      <c r="S33" s="379"/>
      <c r="T33" s="379"/>
      <c r="U33" s="379"/>
      <c r="V33" s="379"/>
      <c r="W33" s="379"/>
      <c r="X33" s="88"/>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row>
    <row r="34" spans="1:57" x14ac:dyDescent="0.25">
      <c r="A34" s="379"/>
      <c r="B34" s="379"/>
      <c r="C34" s="379"/>
      <c r="D34" s="379"/>
      <c r="E34" s="743"/>
      <c r="F34" s="1053"/>
      <c r="G34" s="743"/>
      <c r="H34" s="743"/>
      <c r="I34" s="699"/>
      <c r="J34" s="699"/>
      <c r="K34" s="379"/>
      <c r="L34" s="397" t="s">
        <v>434</v>
      </c>
      <c r="M34" s="423"/>
      <c r="N34" s="399">
        <f>'Operating Statement'!O36</f>
        <v>0</v>
      </c>
      <c r="O34" s="414"/>
      <c r="P34" s="399">
        <f>'Operating Statement'!Q36</f>
        <v>0</v>
      </c>
      <c r="Q34" s="407">
        <f>'Operating Statement'!S36</f>
        <v>0</v>
      </c>
      <c r="R34" s="379"/>
      <c r="S34" s="379"/>
      <c r="T34" s="379"/>
      <c r="U34" s="379"/>
      <c r="V34" s="379"/>
      <c r="W34" s="379"/>
      <c r="X34" s="88"/>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row>
    <row r="35" spans="1:57" x14ac:dyDescent="0.25">
      <c r="A35" s="379"/>
      <c r="B35" s="379"/>
      <c r="C35" s="379"/>
      <c r="D35" s="383"/>
      <c r="E35" s="650" t="s">
        <v>476</v>
      </c>
      <c r="F35" s="509"/>
      <c r="G35" s="656" t="s">
        <v>477</v>
      </c>
      <c r="H35" s="656" t="str">
        <f>IF(Acq_Financing_Type_Switch="All Cash","IRR Unlevered","IRR Levered")</f>
        <v>IRR Levered</v>
      </c>
      <c r="I35" s="631"/>
      <c r="J35" s="592"/>
      <c r="K35" s="379"/>
      <c r="L35" s="397" t="s">
        <v>435</v>
      </c>
      <c r="M35" s="423"/>
      <c r="N35" s="399">
        <f>'Operating Statement'!O37</f>
        <v>0</v>
      </c>
      <c r="O35" s="414"/>
      <c r="P35" s="399">
        <f>'Operating Statement'!Q37</f>
        <v>0</v>
      </c>
      <c r="Q35" s="407">
        <f>'Operating Statement'!S37</f>
        <v>0</v>
      </c>
      <c r="R35" s="379"/>
      <c r="S35" s="379"/>
      <c r="T35" s="379"/>
      <c r="U35" s="379"/>
      <c r="V35" s="379"/>
      <c r="W35" s="379"/>
      <c r="X35" s="88"/>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row>
    <row r="36" spans="1:57" x14ac:dyDescent="0.25">
      <c r="A36" s="379"/>
      <c r="B36" s="379"/>
      <c r="C36" s="379"/>
      <c r="D36" s="384"/>
      <c r="E36" s="608">
        <v>5</v>
      </c>
      <c r="F36" s="437"/>
      <c r="G36" s="599">
        <f ca="1">IFERROR('Cash Flow'!F57,0)</f>
        <v>0</v>
      </c>
      <c r="H36" s="599">
        <f ca="1">IFERROR('Cash Flow'!F70,0)</f>
        <v>0</v>
      </c>
      <c r="I36" s="379"/>
      <c r="J36" s="379"/>
      <c r="K36" s="379"/>
      <c r="L36" s="474" t="s">
        <v>436</v>
      </c>
      <c r="M36" s="619"/>
      <c r="N36" s="616">
        <f ca="1">'Operating Statement'!O38</f>
        <v>0</v>
      </c>
      <c r="O36" s="615"/>
      <c r="P36" s="616">
        <f ca="1">'Operating Statement'!Q38</f>
        <v>0</v>
      </c>
      <c r="Q36" s="618">
        <f>'Operating Statement'!S38</f>
        <v>0</v>
      </c>
      <c r="R36" s="379"/>
      <c r="S36" s="379"/>
      <c r="T36" s="379"/>
      <c r="U36" s="379"/>
      <c r="V36" s="379"/>
      <c r="W36" s="379"/>
      <c r="X36" s="88"/>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row>
    <row r="37" spans="1:57" x14ac:dyDescent="0.25">
      <c r="A37" s="379"/>
      <c r="B37" s="379"/>
      <c r="C37" s="379"/>
      <c r="D37" s="384"/>
      <c r="E37" s="429">
        <v>7</v>
      </c>
      <c r="F37" s="395"/>
      <c r="G37" s="414">
        <f ca="1">IFERROR('Cash Flow'!F59,0)</f>
        <v>0</v>
      </c>
      <c r="H37" s="414">
        <f ca="1">IFERROR('Cash Flow'!F72,0)</f>
        <v>0</v>
      </c>
      <c r="I37" s="379"/>
      <c r="J37" s="379"/>
      <c r="K37" s="383"/>
      <c r="L37" s="660" t="s">
        <v>437</v>
      </c>
      <c r="M37" s="661"/>
      <c r="N37" s="662">
        <f ca="1">SUM(N22:N36)</f>
        <v>0</v>
      </c>
      <c r="O37" s="662"/>
      <c r="P37" s="662">
        <f ca="1">SUM(P22:P36)</f>
        <v>0</v>
      </c>
      <c r="Q37" s="666">
        <f>SUM(Q22:Q36)</f>
        <v>0</v>
      </c>
      <c r="R37" s="593"/>
      <c r="S37" s="379"/>
      <c r="T37" s="379"/>
      <c r="U37" s="379"/>
      <c r="V37" s="379"/>
      <c r="W37" s="379"/>
      <c r="X37" s="88"/>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row>
    <row r="38" spans="1:57" x14ac:dyDescent="0.25">
      <c r="A38" s="379"/>
      <c r="B38" s="379"/>
      <c r="C38" s="379"/>
      <c r="D38" s="384"/>
      <c r="E38" s="429">
        <v>10</v>
      </c>
      <c r="F38" s="395"/>
      <c r="G38" s="414">
        <f ca="1">IFERROR('Cash Flow'!F62,0)</f>
        <v>0</v>
      </c>
      <c r="H38" s="414">
        <f ca="1">IFERROR('Cash Flow'!F75,0)</f>
        <v>0</v>
      </c>
      <c r="I38" s="381"/>
      <c r="J38" s="381"/>
      <c r="K38" s="383"/>
      <c r="L38" s="657" t="s">
        <v>478</v>
      </c>
      <c r="M38" s="658"/>
      <c r="N38" s="659">
        <f ca="1">IFERROR(N37/$G$6,0)</f>
        <v>0</v>
      </c>
      <c r="O38" s="659"/>
      <c r="P38" s="667">
        <f ca="1">IFERROR(P37/$G$6,0)</f>
        <v>0</v>
      </c>
      <c r="Q38" s="668">
        <f ca="1">IFERROR(Q37/$G$6,0)</f>
        <v>0</v>
      </c>
      <c r="R38" s="593"/>
      <c r="S38" s="379"/>
      <c r="T38" s="379"/>
      <c r="U38" s="379"/>
      <c r="V38" s="379"/>
      <c r="W38" s="379"/>
      <c r="X38" s="88"/>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row>
    <row r="39" spans="1:57" x14ac:dyDescent="0.25">
      <c r="A39" s="381"/>
      <c r="B39" s="381"/>
      <c r="C39" s="381"/>
      <c r="D39" s="380"/>
      <c r="E39" s="85"/>
      <c r="F39" s="85"/>
      <c r="G39" s="85"/>
      <c r="H39" s="85"/>
      <c r="I39" s="381"/>
      <c r="J39" s="381"/>
      <c r="K39" s="633"/>
      <c r="L39" s="636" t="s">
        <v>479</v>
      </c>
      <c r="M39" s="637"/>
      <c r="N39" s="639">
        <f ca="1">IFERROR(N37/$G$9,0)</f>
        <v>0</v>
      </c>
      <c r="O39" s="638"/>
      <c r="P39" s="639">
        <f ca="1">IFERROR(P37/$G$9,0)</f>
        <v>0</v>
      </c>
      <c r="Q39" s="669">
        <f ca="1">IFERROR(Q37/$G$9,0)</f>
        <v>0</v>
      </c>
      <c r="R39" s="632"/>
      <c r="S39" s="379"/>
      <c r="T39" s="379"/>
      <c r="U39" s="379"/>
      <c r="V39" s="379"/>
      <c r="W39" s="379"/>
      <c r="X39" s="88"/>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row>
    <row r="40" spans="1:57" x14ac:dyDescent="0.25">
      <c r="A40" s="381"/>
      <c r="B40" s="381"/>
      <c r="C40" s="381"/>
      <c r="D40" s="380"/>
      <c r="E40" s="380"/>
      <c r="F40" s="380"/>
      <c r="G40" s="380"/>
      <c r="H40" s="433"/>
      <c r="I40" s="381"/>
      <c r="J40" s="381"/>
      <c r="K40" s="381"/>
      <c r="L40" s="439"/>
      <c r="M40" s="634"/>
      <c r="N40" s="635"/>
      <c r="O40" s="634"/>
      <c r="P40" s="635"/>
      <c r="Q40" s="439"/>
      <c r="R40" s="381"/>
      <c r="S40" s="381"/>
      <c r="T40" s="381"/>
      <c r="U40" s="381"/>
      <c r="V40" s="381"/>
      <c r="W40" s="85"/>
      <c r="X40" s="88"/>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row>
    <row r="41" spans="1:57" x14ac:dyDescent="0.25">
      <c r="A41" s="85"/>
      <c r="B41" s="85"/>
      <c r="C41" s="85"/>
      <c r="D41" s="89"/>
      <c r="E41" s="85"/>
      <c r="F41" s="85"/>
      <c r="G41" s="85"/>
      <c r="H41" s="85"/>
      <c r="I41" s="85"/>
      <c r="J41" s="85"/>
      <c r="K41" s="85"/>
      <c r="L41" s="85"/>
      <c r="M41" s="85"/>
      <c r="N41" s="85"/>
      <c r="O41" s="85"/>
      <c r="P41" s="85"/>
      <c r="Q41" s="85"/>
      <c r="R41" s="85"/>
      <c r="S41" s="85"/>
      <c r="T41" s="85"/>
      <c r="U41" s="85"/>
      <c r="V41" s="85"/>
      <c r="W41" s="85"/>
      <c r="X41" s="88"/>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row>
    <row r="42" spans="1:57" x14ac:dyDescent="0.25">
      <c r="A42" s="85"/>
      <c r="B42" s="85"/>
      <c r="C42" s="85"/>
      <c r="D42" s="85"/>
      <c r="E42" s="386"/>
      <c r="F42" s="93"/>
      <c r="G42" s="93"/>
      <c r="H42" s="93"/>
      <c r="I42" s="93"/>
      <c r="J42" s="93"/>
      <c r="K42" s="93"/>
      <c r="L42" s="93"/>
      <c r="M42" s="93"/>
      <c r="N42" s="93"/>
      <c r="O42" s="93"/>
      <c r="P42" s="93"/>
      <c r="Q42" s="93"/>
      <c r="R42" s="93"/>
      <c r="S42" s="93"/>
      <c r="T42" s="93"/>
      <c r="U42" s="93"/>
      <c r="V42" s="93"/>
      <c r="W42" s="93"/>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row>
    <row r="43" spans="1:57" x14ac:dyDescent="0.25">
      <c r="A43" s="85"/>
      <c r="B43" s="85"/>
      <c r="C43" s="85"/>
      <c r="D43" s="85"/>
      <c r="E43" s="88"/>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row>
    <row r="44" spans="1:57" x14ac:dyDescent="0.25">
      <c r="A44" s="85"/>
      <c r="B44" s="85"/>
      <c r="C44" s="85"/>
      <c r="D44" s="85"/>
      <c r="E44" s="88"/>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row>
    <row r="45" spans="1:57" x14ac:dyDescent="0.25">
      <c r="A45" s="85"/>
      <c r="B45" s="85"/>
      <c r="C45" s="85"/>
      <c r="D45" s="85"/>
      <c r="E45" s="88"/>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row>
    <row r="46" spans="1:57" x14ac:dyDescent="0.25">
      <c r="A46" s="85"/>
      <c r="B46" s="85"/>
      <c r="C46" s="85"/>
      <c r="D46" s="85"/>
      <c r="E46" s="88"/>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row>
    <row r="47" spans="1:57" x14ac:dyDescent="0.25">
      <c r="A47" s="85"/>
      <c r="B47" s="85"/>
      <c r="C47" s="85"/>
      <c r="D47" s="85"/>
      <c r="E47" s="88"/>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row>
    <row r="48" spans="1:57" x14ac:dyDescent="0.25">
      <c r="A48" s="85"/>
      <c r="B48" s="85"/>
      <c r="C48" s="85"/>
      <c r="D48" s="85"/>
      <c r="E48" s="88"/>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row>
    <row r="49" spans="1:57" x14ac:dyDescent="0.25">
      <c r="A49" s="85"/>
      <c r="B49" s="85"/>
      <c r="C49" s="85"/>
      <c r="D49" s="85"/>
      <c r="E49" s="88"/>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row>
    <row r="50" spans="1:57" x14ac:dyDescent="0.25">
      <c r="A50" s="85"/>
      <c r="B50" s="85"/>
      <c r="C50" s="85"/>
      <c r="D50" s="85"/>
      <c r="E50" s="88"/>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row>
    <row r="51" spans="1:57" x14ac:dyDescent="0.25">
      <c r="A51" s="85"/>
      <c r="B51" s="85"/>
      <c r="C51" s="85"/>
      <c r="D51" s="85"/>
      <c r="E51" s="88"/>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row>
    <row r="52" spans="1:57" x14ac:dyDescent="0.25">
      <c r="A52" s="85"/>
      <c r="B52" s="85"/>
      <c r="C52" s="85"/>
      <c r="D52" s="85"/>
      <c r="E52" s="88"/>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row>
    <row r="53" spans="1:57" x14ac:dyDescent="0.25">
      <c r="A53" s="85"/>
      <c r="B53" s="85"/>
      <c r="C53" s="85"/>
      <c r="D53" s="85"/>
      <c r="E53" s="88"/>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row>
    <row r="54" spans="1:57" x14ac:dyDescent="0.25">
      <c r="A54" s="85"/>
      <c r="B54" s="85"/>
      <c r="C54" s="85"/>
      <c r="D54" s="85"/>
      <c r="E54" s="88"/>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row>
    <row r="55" spans="1:57" x14ac:dyDescent="0.25">
      <c r="A55" s="85"/>
      <c r="B55" s="85"/>
      <c r="C55" s="85"/>
      <c r="D55" s="85"/>
      <c r="E55" s="88"/>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row>
    <row r="56" spans="1:57" x14ac:dyDescent="0.25">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row>
    <row r="57" spans="1:57" x14ac:dyDescent="0.25">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row>
    <row r="58" spans="1:57" x14ac:dyDescent="0.25">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row>
    <row r="59" spans="1:57" x14ac:dyDescent="0.25">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row>
    <row r="60" spans="1:57" x14ac:dyDescent="0.25">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row>
    <row r="61" spans="1:57" x14ac:dyDescent="0.25">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row>
    <row r="62" spans="1:57" x14ac:dyDescent="0.25">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row>
    <row r="63" spans="1:57" x14ac:dyDescent="0.25">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row>
    <row r="64" spans="1:57" x14ac:dyDescent="0.25">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85"/>
      <c r="AZ64" s="85"/>
      <c r="BA64" s="85"/>
      <c r="BB64" s="85"/>
      <c r="BC64" s="85"/>
      <c r="BD64" s="85"/>
      <c r="BE64" s="85"/>
    </row>
    <row r="65" spans="1:57" x14ac:dyDescent="0.2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row>
    <row r="66" spans="1:57" x14ac:dyDescent="0.25">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row>
    <row r="67" spans="1:57" x14ac:dyDescent="0.25">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row>
    <row r="68" spans="1:57" x14ac:dyDescent="0.25">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row>
    <row r="69" spans="1:57" x14ac:dyDescent="0.25">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row>
    <row r="70" spans="1:57" x14ac:dyDescent="0.25">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row>
    <row r="71" spans="1:57" x14ac:dyDescent="0.25">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row>
    <row r="72" spans="1:57" x14ac:dyDescent="0.25">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row>
    <row r="73" spans="1:57" x14ac:dyDescent="0.25">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row>
    <row r="74" spans="1:57" x14ac:dyDescent="0.25">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row>
    <row r="75" spans="1:57" x14ac:dyDescent="0.2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c r="AS75" s="85"/>
      <c r="AT75" s="85"/>
      <c r="AU75" s="85"/>
      <c r="AV75" s="85"/>
      <c r="AW75" s="85"/>
      <c r="AX75" s="85"/>
      <c r="AY75" s="85"/>
      <c r="AZ75" s="85"/>
      <c r="BA75" s="85"/>
      <c r="BB75" s="85"/>
      <c r="BC75" s="85"/>
      <c r="BD75" s="85"/>
      <c r="BE75" s="85"/>
    </row>
    <row r="76" spans="1:57" x14ac:dyDescent="0.2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row>
    <row r="77" spans="1:57" x14ac:dyDescent="0.25">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row>
    <row r="78" spans="1:57" x14ac:dyDescent="0.25">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row>
    <row r="79" spans="1:57" x14ac:dyDescent="0.25">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c r="AS79" s="85"/>
      <c r="AT79" s="85"/>
      <c r="AU79" s="85"/>
      <c r="AV79" s="85"/>
      <c r="AW79" s="85"/>
      <c r="AX79" s="85"/>
      <c r="AY79" s="85"/>
      <c r="AZ79" s="85"/>
      <c r="BA79" s="85"/>
      <c r="BB79" s="85"/>
      <c r="BC79" s="85"/>
      <c r="BD79" s="85"/>
      <c r="BE79" s="85"/>
    </row>
    <row r="80" spans="1:57" x14ac:dyDescent="0.25">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c r="AS80" s="85"/>
      <c r="AT80" s="85"/>
      <c r="AU80" s="85"/>
      <c r="AV80" s="85"/>
      <c r="AW80" s="85"/>
      <c r="AX80" s="85"/>
      <c r="AY80" s="85"/>
      <c r="AZ80" s="85"/>
      <c r="BA80" s="85"/>
      <c r="BB80" s="85"/>
      <c r="BC80" s="85"/>
      <c r="BD80" s="85"/>
      <c r="BE80" s="85"/>
    </row>
    <row r="81" spans="1:57" x14ac:dyDescent="0.25">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c r="AS81" s="85"/>
      <c r="AT81" s="85"/>
      <c r="AU81" s="85"/>
      <c r="AV81" s="85"/>
      <c r="AW81" s="85"/>
      <c r="AX81" s="85"/>
      <c r="AY81" s="85"/>
      <c r="AZ81" s="85"/>
      <c r="BA81" s="85"/>
      <c r="BB81" s="85"/>
      <c r="BC81" s="85"/>
      <c r="BD81" s="85"/>
      <c r="BE81" s="85"/>
    </row>
    <row r="82" spans="1:57" x14ac:dyDescent="0.25">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row>
    <row r="83" spans="1:57" x14ac:dyDescent="0.25">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c r="AS83" s="85"/>
      <c r="AT83" s="85"/>
      <c r="AU83" s="85"/>
      <c r="AV83" s="85"/>
      <c r="AW83" s="85"/>
      <c r="AX83" s="85"/>
      <c r="AY83" s="85"/>
      <c r="AZ83" s="85"/>
      <c r="BA83" s="85"/>
      <c r="BB83" s="85"/>
      <c r="BC83" s="85"/>
      <c r="BD83" s="85"/>
      <c r="BE83" s="85"/>
    </row>
    <row r="84" spans="1:57" x14ac:dyDescent="0.25">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c r="AS84" s="85"/>
      <c r="AT84" s="85"/>
      <c r="AU84" s="85"/>
      <c r="AV84" s="85"/>
      <c r="AW84" s="85"/>
      <c r="AX84" s="85"/>
      <c r="AY84" s="85"/>
      <c r="AZ84" s="85"/>
      <c r="BA84" s="85"/>
      <c r="BB84" s="85"/>
      <c r="BC84" s="85"/>
      <c r="BD84" s="85"/>
      <c r="BE84" s="85"/>
    </row>
    <row r="85" spans="1:57" x14ac:dyDescent="0.2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c r="AS85" s="85"/>
      <c r="AT85" s="85"/>
      <c r="AU85" s="85"/>
      <c r="AV85" s="85"/>
      <c r="AW85" s="85"/>
      <c r="AX85" s="85"/>
      <c r="AY85" s="85"/>
      <c r="AZ85" s="85"/>
      <c r="BA85" s="85"/>
      <c r="BB85" s="85"/>
      <c r="BC85" s="85"/>
      <c r="BD85" s="85"/>
      <c r="BE85" s="85"/>
    </row>
    <row r="86" spans="1:57" x14ac:dyDescent="0.25">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row>
    <row r="87" spans="1:57" x14ac:dyDescent="0.25">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c r="AS87" s="85"/>
      <c r="AT87" s="85"/>
      <c r="AU87" s="85"/>
      <c r="AV87" s="85"/>
      <c r="AW87" s="85"/>
      <c r="AX87" s="85"/>
      <c r="AY87" s="85"/>
      <c r="AZ87" s="85"/>
      <c r="BA87" s="85"/>
      <c r="BB87" s="85"/>
      <c r="BC87" s="85"/>
      <c r="BD87" s="85"/>
      <c r="BE87" s="85"/>
    </row>
    <row r="88" spans="1:57" x14ac:dyDescent="0.25">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c r="AS88" s="85"/>
      <c r="AT88" s="85"/>
      <c r="AU88" s="85"/>
      <c r="AV88" s="85"/>
      <c r="AW88" s="85"/>
      <c r="AX88" s="85"/>
      <c r="AY88" s="85"/>
      <c r="AZ88" s="85"/>
      <c r="BA88" s="85"/>
      <c r="BB88" s="85"/>
      <c r="BC88" s="85"/>
      <c r="BD88" s="85"/>
      <c r="BE88" s="85"/>
    </row>
    <row r="89" spans="1:57" x14ac:dyDescent="0.25">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row>
    <row r="90" spans="1:57" x14ac:dyDescent="0.25">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row>
    <row r="91" spans="1:57" x14ac:dyDescent="0.25">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c r="AS91" s="85"/>
      <c r="AT91" s="85"/>
      <c r="AU91" s="85"/>
      <c r="AV91" s="85"/>
      <c r="AW91" s="85"/>
      <c r="AX91" s="85"/>
      <c r="AY91" s="85"/>
      <c r="AZ91" s="85"/>
      <c r="BA91" s="85"/>
      <c r="BB91" s="85"/>
      <c r="BC91" s="85"/>
      <c r="BD91" s="85"/>
      <c r="BE91" s="85"/>
    </row>
    <row r="92" spans="1:57" x14ac:dyDescent="0.25">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c r="AS92" s="85"/>
      <c r="AT92" s="85"/>
      <c r="AU92" s="85"/>
      <c r="AV92" s="85"/>
      <c r="AW92" s="85"/>
      <c r="AX92" s="85"/>
      <c r="AY92" s="85"/>
      <c r="AZ92" s="85"/>
      <c r="BA92" s="85"/>
      <c r="BB92" s="85"/>
      <c r="BC92" s="85"/>
      <c r="BD92" s="85"/>
      <c r="BE92" s="85"/>
    </row>
    <row r="93" spans="1:57" x14ac:dyDescent="0.25">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row>
    <row r="94" spans="1:57" x14ac:dyDescent="0.25">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c r="AS94" s="85"/>
      <c r="AT94" s="85"/>
      <c r="AU94" s="85"/>
      <c r="AV94" s="85"/>
      <c r="AW94" s="85"/>
      <c r="AX94" s="85"/>
      <c r="AY94" s="85"/>
      <c r="AZ94" s="85"/>
      <c r="BA94" s="85"/>
      <c r="BB94" s="85"/>
      <c r="BC94" s="85"/>
      <c r="BD94" s="85"/>
      <c r="BE94" s="85"/>
    </row>
    <row r="95" spans="1:57" x14ac:dyDescent="0.2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c r="AS95" s="85"/>
      <c r="AT95" s="85"/>
      <c r="AU95" s="85"/>
      <c r="AV95" s="85"/>
      <c r="AW95" s="85"/>
      <c r="AX95" s="85"/>
      <c r="AY95" s="85"/>
      <c r="AZ95" s="85"/>
      <c r="BA95" s="85"/>
      <c r="BB95" s="85"/>
      <c r="BC95" s="85"/>
      <c r="BD95" s="85"/>
      <c r="BE95" s="85"/>
    </row>
    <row r="96" spans="1:57" x14ac:dyDescent="0.2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row>
    <row r="97" spans="1:57" x14ac:dyDescent="0.25">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row>
    <row r="98" spans="1:57" x14ac:dyDescent="0.25">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row>
    <row r="99" spans="1:57" x14ac:dyDescent="0.25">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c r="AS99" s="85"/>
      <c r="AT99" s="85"/>
      <c r="AU99" s="85"/>
      <c r="AV99" s="85"/>
      <c r="AW99" s="85"/>
      <c r="AX99" s="85"/>
      <c r="AY99" s="85"/>
      <c r="AZ99" s="85"/>
      <c r="BA99" s="85"/>
      <c r="BB99" s="85"/>
      <c r="BC99" s="85"/>
      <c r="BD99" s="85"/>
      <c r="BE99" s="85"/>
    </row>
    <row r="100" spans="1:57" x14ac:dyDescent="0.25">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row>
    <row r="101" spans="1:57" x14ac:dyDescent="0.25">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c r="AS101" s="85"/>
      <c r="AT101" s="85"/>
      <c r="AU101" s="85"/>
      <c r="AV101" s="85"/>
      <c r="AW101" s="85"/>
      <c r="AX101" s="85"/>
      <c r="AY101" s="85"/>
      <c r="AZ101" s="85"/>
      <c r="BA101" s="85"/>
      <c r="BB101" s="85"/>
      <c r="BC101" s="85"/>
      <c r="BD101" s="85"/>
      <c r="BE101" s="85"/>
    </row>
    <row r="102" spans="1:57" x14ac:dyDescent="0.25">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c r="AS102" s="85"/>
      <c r="AT102" s="85"/>
      <c r="AU102" s="85"/>
      <c r="AV102" s="85"/>
      <c r="AW102" s="85"/>
      <c r="AX102" s="85"/>
      <c r="AY102" s="85"/>
      <c r="AZ102" s="85"/>
      <c r="BA102" s="85"/>
      <c r="BB102" s="85"/>
      <c r="BC102" s="85"/>
      <c r="BD102" s="85"/>
      <c r="BE102" s="85"/>
    </row>
    <row r="103" spans="1:57" x14ac:dyDescent="0.25">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c r="AS103" s="85"/>
      <c r="AT103" s="85"/>
      <c r="AU103" s="85"/>
      <c r="AV103" s="85"/>
      <c r="AW103" s="85"/>
      <c r="AX103" s="85"/>
      <c r="AY103" s="85"/>
      <c r="AZ103" s="85"/>
      <c r="BA103" s="85"/>
      <c r="BB103" s="85"/>
      <c r="BC103" s="85"/>
      <c r="BD103" s="85"/>
      <c r="BE103" s="85"/>
    </row>
    <row r="104" spans="1:57" x14ac:dyDescent="0.25">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c r="AS104" s="85"/>
      <c r="AT104" s="85"/>
      <c r="AU104" s="85"/>
      <c r="AV104" s="85"/>
      <c r="AW104" s="85"/>
      <c r="AX104" s="85"/>
      <c r="AY104" s="85"/>
      <c r="AZ104" s="85"/>
      <c r="BA104" s="85"/>
      <c r="BB104" s="85"/>
      <c r="BC104" s="85"/>
      <c r="BD104" s="85"/>
      <c r="BE104" s="85"/>
    </row>
    <row r="105" spans="1:57" x14ac:dyDescent="0.2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c r="AS105" s="85"/>
      <c r="AT105" s="85"/>
      <c r="AU105" s="85"/>
      <c r="AV105" s="85"/>
      <c r="AW105" s="85"/>
      <c r="AX105" s="85"/>
      <c r="AY105" s="85"/>
      <c r="AZ105" s="85"/>
      <c r="BA105" s="85"/>
      <c r="BB105" s="85"/>
      <c r="BC105" s="85"/>
      <c r="BD105" s="85"/>
      <c r="BE105" s="85"/>
    </row>
    <row r="106" spans="1:57" x14ac:dyDescent="0.25">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row>
    <row r="107" spans="1:57" x14ac:dyDescent="0.25">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row>
    <row r="108" spans="1:57" x14ac:dyDescent="0.25">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row>
    <row r="109" spans="1:57" x14ac:dyDescent="0.25">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c r="AS109" s="85"/>
      <c r="AT109" s="85"/>
      <c r="AU109" s="85"/>
      <c r="AV109" s="85"/>
      <c r="AW109" s="85"/>
      <c r="AX109" s="85"/>
      <c r="AY109" s="85"/>
      <c r="AZ109" s="85"/>
      <c r="BA109" s="85"/>
      <c r="BB109" s="85"/>
      <c r="BC109" s="85"/>
      <c r="BD109" s="85"/>
      <c r="BE109" s="85"/>
    </row>
    <row r="110" spans="1:57" x14ac:dyDescent="0.25">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c r="AS110" s="85"/>
      <c r="AT110" s="85"/>
      <c r="AU110" s="85"/>
      <c r="AV110" s="85"/>
      <c r="AW110" s="85"/>
      <c r="AX110" s="85"/>
      <c r="AY110" s="85"/>
      <c r="AZ110" s="85"/>
      <c r="BA110" s="85"/>
      <c r="BB110" s="85"/>
      <c r="BC110" s="85"/>
      <c r="BD110" s="85"/>
      <c r="BE110" s="85"/>
    </row>
    <row r="111" spans="1:57" x14ac:dyDescent="0.25">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c r="AS111" s="85"/>
      <c r="AT111" s="85"/>
      <c r="AU111" s="85"/>
      <c r="AV111" s="85"/>
      <c r="AW111" s="85"/>
      <c r="AX111" s="85"/>
      <c r="AY111" s="85"/>
      <c r="AZ111" s="85"/>
      <c r="BA111" s="85"/>
      <c r="BB111" s="85"/>
      <c r="BC111" s="85"/>
      <c r="BD111" s="85"/>
      <c r="BE111" s="85"/>
    </row>
    <row r="112" spans="1:57" x14ac:dyDescent="0.25">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c r="AS112" s="85"/>
      <c r="AT112" s="85"/>
      <c r="AU112" s="85"/>
      <c r="AV112" s="85"/>
      <c r="AW112" s="85"/>
      <c r="AX112" s="85"/>
      <c r="AY112" s="85"/>
      <c r="AZ112" s="85"/>
      <c r="BA112" s="85"/>
      <c r="BB112" s="85"/>
      <c r="BC112" s="85"/>
      <c r="BD112" s="85"/>
      <c r="BE112" s="85"/>
    </row>
    <row r="113" spans="1:57" x14ac:dyDescent="0.25">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c r="AS113" s="85"/>
      <c r="AT113" s="85"/>
      <c r="AU113" s="85"/>
      <c r="AV113" s="85"/>
      <c r="AW113" s="85"/>
      <c r="AX113" s="85"/>
      <c r="AY113" s="85"/>
      <c r="AZ113" s="85"/>
      <c r="BA113" s="85"/>
      <c r="BB113" s="85"/>
      <c r="BC113" s="85"/>
      <c r="BD113" s="85"/>
      <c r="BE113" s="85"/>
    </row>
    <row r="114" spans="1:57" x14ac:dyDescent="0.25">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c r="AS114" s="85"/>
      <c r="AT114" s="85"/>
      <c r="AU114" s="85"/>
      <c r="AV114" s="85"/>
      <c r="AW114" s="85"/>
      <c r="AX114" s="85"/>
      <c r="AY114" s="85"/>
      <c r="AZ114" s="85"/>
      <c r="BA114" s="85"/>
      <c r="BB114" s="85"/>
      <c r="BC114" s="85"/>
      <c r="BD114" s="85"/>
      <c r="BE114" s="85"/>
    </row>
    <row r="115" spans="1:57" x14ac:dyDescent="0.2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c r="AS115" s="85"/>
      <c r="AT115" s="85"/>
      <c r="AU115" s="85"/>
      <c r="AV115" s="85"/>
      <c r="AW115" s="85"/>
      <c r="AX115" s="85"/>
      <c r="AY115" s="85"/>
      <c r="AZ115" s="85"/>
      <c r="BA115" s="85"/>
      <c r="BB115" s="85"/>
      <c r="BC115" s="85"/>
      <c r="BD115" s="85"/>
      <c r="BE115" s="85"/>
    </row>
    <row r="116" spans="1:57" x14ac:dyDescent="0.25">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c r="AS116" s="85"/>
      <c r="AT116" s="85"/>
      <c r="AU116" s="85"/>
      <c r="AV116" s="85"/>
      <c r="AW116" s="85"/>
      <c r="AX116" s="85"/>
      <c r="AY116" s="85"/>
      <c r="AZ116" s="85"/>
      <c r="BA116" s="85"/>
      <c r="BB116" s="85"/>
      <c r="BC116" s="85"/>
      <c r="BD116" s="85"/>
      <c r="BE116" s="85"/>
    </row>
    <row r="117" spans="1:57" x14ac:dyDescent="0.25">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c r="AS117" s="85"/>
      <c r="AT117" s="85"/>
      <c r="AU117" s="85"/>
      <c r="AV117" s="85"/>
      <c r="AW117" s="85"/>
      <c r="AX117" s="85"/>
      <c r="AY117" s="85"/>
      <c r="AZ117" s="85"/>
      <c r="BA117" s="85"/>
      <c r="BB117" s="85"/>
      <c r="BC117" s="85"/>
      <c r="BD117" s="85"/>
      <c r="BE117" s="85"/>
    </row>
    <row r="118" spans="1:57" x14ac:dyDescent="0.25">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c r="AS118" s="85"/>
      <c r="AT118" s="85"/>
      <c r="AU118" s="85"/>
      <c r="AV118" s="85"/>
      <c r="AW118" s="85"/>
      <c r="AX118" s="85"/>
      <c r="AY118" s="85"/>
      <c r="AZ118" s="85"/>
      <c r="BA118" s="85"/>
      <c r="BB118" s="85"/>
      <c r="BC118" s="85"/>
      <c r="BD118" s="85"/>
      <c r="BE118" s="85"/>
    </row>
    <row r="119" spans="1:57" x14ac:dyDescent="0.25">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c r="AS119" s="85"/>
      <c r="AT119" s="85"/>
      <c r="AU119" s="85"/>
      <c r="AV119" s="85"/>
      <c r="AW119" s="85"/>
      <c r="AX119" s="85"/>
      <c r="AY119" s="85"/>
      <c r="AZ119" s="85"/>
      <c r="BA119" s="85"/>
      <c r="BB119" s="85"/>
      <c r="BC119" s="85"/>
      <c r="BD119" s="85"/>
      <c r="BE119" s="85"/>
    </row>
    <row r="120" spans="1:57" x14ac:dyDescent="0.25">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c r="AS120" s="85"/>
      <c r="AT120" s="85"/>
      <c r="AU120" s="85"/>
      <c r="AV120" s="85"/>
      <c r="AW120" s="85"/>
      <c r="AX120" s="85"/>
      <c r="AY120" s="85"/>
      <c r="AZ120" s="85"/>
      <c r="BA120" s="85"/>
      <c r="BB120" s="85"/>
      <c r="BC120" s="85"/>
      <c r="BD120" s="85"/>
      <c r="BE120" s="85"/>
    </row>
    <row r="121" spans="1:57" x14ac:dyDescent="0.25">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c r="AS121" s="85"/>
      <c r="AT121" s="85"/>
      <c r="AU121" s="85"/>
      <c r="AV121" s="85"/>
      <c r="AW121" s="85"/>
      <c r="AX121" s="85"/>
      <c r="AY121" s="85"/>
      <c r="AZ121" s="85"/>
      <c r="BA121" s="85"/>
      <c r="BB121" s="85"/>
      <c r="BC121" s="85"/>
      <c r="BD121" s="85"/>
      <c r="BE121" s="85"/>
    </row>
    <row r="122" spans="1:57" x14ac:dyDescent="0.25">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5"/>
      <c r="BB122" s="85"/>
      <c r="BC122" s="85"/>
      <c r="BD122" s="85"/>
      <c r="BE122" s="85"/>
    </row>
    <row r="123" spans="1:57" x14ac:dyDescent="0.25">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c r="AS123" s="85"/>
      <c r="AT123" s="85"/>
      <c r="AU123" s="85"/>
      <c r="AV123" s="85"/>
      <c r="AW123" s="85"/>
      <c r="AX123" s="85"/>
      <c r="AY123" s="85"/>
      <c r="AZ123" s="85"/>
      <c r="BA123" s="85"/>
      <c r="BB123" s="85"/>
      <c r="BC123" s="85"/>
      <c r="BD123" s="85"/>
      <c r="BE123" s="85"/>
    </row>
    <row r="124" spans="1:57" x14ac:dyDescent="0.25">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c r="AS124" s="85"/>
      <c r="AT124" s="85"/>
      <c r="AU124" s="85"/>
      <c r="AV124" s="85"/>
      <c r="AW124" s="85"/>
      <c r="AX124" s="85"/>
      <c r="AY124" s="85"/>
      <c r="AZ124" s="85"/>
      <c r="BA124" s="85"/>
      <c r="BB124" s="85"/>
      <c r="BC124" s="85"/>
      <c r="BD124" s="85"/>
      <c r="BE124" s="85"/>
    </row>
    <row r="125" spans="1:57" x14ac:dyDescent="0.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c r="AS125" s="85"/>
      <c r="AT125" s="85"/>
      <c r="AU125" s="85"/>
      <c r="AV125" s="85"/>
      <c r="AW125" s="85"/>
      <c r="AX125" s="85"/>
      <c r="AY125" s="85"/>
      <c r="AZ125" s="85"/>
      <c r="BA125" s="85"/>
      <c r="BB125" s="85"/>
      <c r="BC125" s="85"/>
      <c r="BD125" s="85"/>
      <c r="BE125" s="85"/>
    </row>
    <row r="126" spans="1:57" x14ac:dyDescent="0.25">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c r="AS126" s="85"/>
      <c r="AT126" s="85"/>
      <c r="AU126" s="85"/>
      <c r="AV126" s="85"/>
      <c r="AW126" s="85"/>
      <c r="AX126" s="85"/>
      <c r="AY126" s="85"/>
      <c r="AZ126" s="85"/>
      <c r="BA126" s="85"/>
      <c r="BB126" s="85"/>
      <c r="BC126" s="85"/>
      <c r="BD126" s="85"/>
      <c r="BE126" s="85"/>
    </row>
  </sheetData>
  <mergeCells count="3">
    <mergeCell ref="E3:H3"/>
    <mergeCell ref="L6:M6"/>
    <mergeCell ref="L21:M21"/>
  </mergeCells>
  <conditionalFormatting sqref="E12:J16">
    <cfRule type="expression" dxfId="34" priority="5">
      <formula>Priced="Unpriced"</formula>
    </cfRule>
  </conditionalFormatting>
  <conditionalFormatting sqref="E19:J25">
    <cfRule type="expression" dxfId="33" priority="3">
      <formula>SwitchAcqMethod="All Cash"</formula>
    </cfRule>
  </conditionalFormatting>
  <conditionalFormatting sqref="E28:J33">
    <cfRule type="expression" dxfId="32" priority="10">
      <formula>$E28=0</formula>
    </cfRule>
  </conditionalFormatting>
  <conditionalFormatting sqref="E28:J34">
    <cfRule type="expression" dxfId="31" priority="1">
      <formula>AND($E28&lt;&gt;"",$E29="")</formula>
    </cfRule>
  </conditionalFormatting>
  <conditionalFormatting sqref="H35:H38">
    <cfRule type="expression" dxfId="30" priority="6">
      <formula>SwitchAcqMethod="All Cash"</formula>
    </cfRule>
  </conditionalFormatting>
  <conditionalFormatting sqref="I12">
    <cfRule type="expression" dxfId="29" priority="9">
      <formula>OR(AND(SwitchRentRollType="Detail",NOT(RenoSwitch="Yes")),AND(SwitchRentRollType="Summary",NOT(SummaryReno="Yes")))</formula>
    </cfRule>
  </conditionalFormatting>
  <conditionalFormatting sqref="I13">
    <cfRule type="expression" dxfId="28" priority="8">
      <formula>OR(AND(SwitchRentRollType="Detail",NOT(RenoSwitch="Yes")),AND(SwitchRentRollType="Summary",NOT(SummaryReno="Yes")))</formula>
    </cfRule>
  </conditionalFormatting>
  <conditionalFormatting sqref="I14:I16">
    <cfRule type="expression" dxfId="27" priority="7">
      <formula>OR(AND(SwitchRentRollType="Detail",NOT(RenoSwitch="Yes")),AND(SwitchRentRollType="Summary",NOT(SummaryReno="Yes")))</formula>
    </cfRule>
  </conditionalFormatting>
  <conditionalFormatting sqref="S3:T3">
    <cfRule type="expression" dxfId="26" priority="4">
      <formula>Priced="Unpriced"</formula>
    </cfRule>
  </conditionalFormatting>
  <dataValidations disablePrompts="1" count="1">
    <dataValidation type="list" allowBlank="1" showInputMessage="1" showErrorMessage="1" sqref="T3" xr:uid="{F24A419A-FC36-4D3C-B6A5-D7F730C2D543}">
      <formula1>"GRM,GIM"</formula1>
    </dataValidation>
  </dataValidations>
  <printOptions horizontalCentered="1" verticalCentered="1"/>
  <pageMargins left="0.5" right="0.5" top="1.75" bottom="0.5" header="0" footer="0"/>
  <pageSetup scale="83" orientation="landscape" r:id="rId1"/>
  <customProperties>
    <customPr name="GUID" r:id="rId2"/>
  </customProperties>
  <ignoredErrors>
    <ignoredError sqref="N8:N18 O16:O18" formula="1"/>
  </ignoredError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DEF97-AE5A-461B-866E-91BEBD18731D}">
  <sheetPr codeName="Sheet16">
    <tabColor rgb="FF92D050"/>
    <pageSetUpPr fitToPage="1"/>
  </sheetPr>
  <dimension ref="A1:S35"/>
  <sheetViews>
    <sheetView zoomScale="150" zoomScaleNormal="150" workbookViewId="0">
      <selection activeCell="E18" sqref="E18"/>
    </sheetView>
  </sheetViews>
  <sheetFormatPr defaultColWidth="8.85546875" defaultRowHeight="15" x14ac:dyDescent="0.25"/>
  <cols>
    <col min="1" max="1" width="3.28515625" customWidth="1"/>
    <col min="2" max="2" width="2.28515625" customWidth="1"/>
    <col min="3" max="3" width="30.140625" bestFit="1" customWidth="1"/>
    <col min="4" max="13" width="8.7109375" customWidth="1"/>
  </cols>
  <sheetData>
    <row r="1" spans="1:19" x14ac:dyDescent="0.25">
      <c r="A1" s="85"/>
      <c r="B1" s="85"/>
      <c r="C1" s="378" t="s">
        <v>480</v>
      </c>
      <c r="D1" s="464"/>
      <c r="E1" s="464"/>
      <c r="F1" s="464"/>
      <c r="G1" s="422"/>
      <c r="H1" s="422"/>
      <c r="I1" s="422"/>
      <c r="J1" s="422"/>
      <c r="K1" s="422"/>
      <c r="L1" s="422"/>
      <c r="M1" s="422"/>
      <c r="N1" s="85"/>
      <c r="O1" s="85"/>
      <c r="P1" s="85"/>
      <c r="Q1" s="85"/>
      <c r="R1" s="85"/>
      <c r="S1" s="85"/>
    </row>
    <row r="2" spans="1:19" ht="3" customHeight="1" x14ac:dyDescent="0.25">
      <c r="A2" s="85"/>
      <c r="B2" s="85"/>
      <c r="C2" s="472"/>
      <c r="D2" s="473"/>
      <c r="E2" s="473"/>
      <c r="F2" s="473"/>
      <c r="G2" s="473"/>
      <c r="H2" s="473"/>
      <c r="I2" s="473"/>
      <c r="J2" s="473"/>
      <c r="K2" s="473"/>
      <c r="L2" s="473"/>
      <c r="M2" s="473"/>
      <c r="N2" s="85"/>
      <c r="O2" s="85"/>
      <c r="P2" s="85"/>
      <c r="Q2" s="85"/>
      <c r="R2" s="85"/>
      <c r="S2" s="85"/>
    </row>
    <row r="3" spans="1:19" x14ac:dyDescent="0.25">
      <c r="A3" s="85"/>
      <c r="B3" s="89"/>
      <c r="C3" s="509" t="s">
        <v>481</v>
      </c>
      <c r="D3" s="510" t="str">
        <f>'Operating Statement'!Q4</f>
        <v>YEAR 1</v>
      </c>
      <c r="E3" s="511">
        <f>'Cash Flow'!H4</f>
        <v>701</v>
      </c>
      <c r="F3" s="511">
        <f>'Cash Flow'!I4</f>
        <v>1066</v>
      </c>
      <c r="G3" s="511">
        <f>'Cash Flow'!J4</f>
        <v>1431</v>
      </c>
      <c r="H3" s="511">
        <f>'Cash Flow'!K4</f>
        <v>1797</v>
      </c>
      <c r="I3" s="511">
        <f>'Cash Flow'!L4</f>
        <v>2162</v>
      </c>
      <c r="J3" s="511">
        <f>'Cash Flow'!M4</f>
        <v>2527</v>
      </c>
      <c r="K3" s="511">
        <f>'Cash Flow'!N4</f>
        <v>2892</v>
      </c>
      <c r="L3" s="511">
        <f>'Cash Flow'!O4</f>
        <v>3258</v>
      </c>
      <c r="M3" s="511">
        <f>'Cash Flow'!P4</f>
        <v>3623</v>
      </c>
      <c r="N3" s="88"/>
      <c r="O3" s="85"/>
      <c r="P3" s="85"/>
      <c r="Q3" s="85"/>
      <c r="R3" s="85"/>
      <c r="S3" s="85"/>
    </row>
    <row r="4" spans="1:19" x14ac:dyDescent="0.25">
      <c r="A4" s="85"/>
      <c r="B4" s="85"/>
      <c r="C4" s="476" t="str">
        <f>'Operating Statement'!E5</f>
        <v>Rental Income</v>
      </c>
      <c r="D4" s="477"/>
      <c r="E4" s="477"/>
      <c r="F4" s="477"/>
      <c r="G4" s="477"/>
      <c r="H4" s="477"/>
      <c r="I4" s="437"/>
      <c r="J4" s="437"/>
      <c r="K4" s="438"/>
      <c r="L4" s="437"/>
      <c r="M4" s="437"/>
      <c r="N4" s="85"/>
      <c r="O4" s="85"/>
      <c r="P4" s="85"/>
      <c r="Q4" s="85"/>
      <c r="R4" s="85"/>
      <c r="S4" s="85"/>
    </row>
    <row r="5" spans="1:19" x14ac:dyDescent="0.25">
      <c r="A5" s="85"/>
      <c r="B5" s="85"/>
      <c r="C5" s="393" t="str">
        <f>'Operating Statement'!E6</f>
        <v>Gross Potential Rent</v>
      </c>
      <c r="D5" s="465" t="str">
        <f ca="1">IFERROR(('Operating Statement'!Q6-'Operating Statement'!O6)/'Operating Statement'!O6,"")</f>
        <v/>
      </c>
      <c r="E5" s="466">
        <v>0.05</v>
      </c>
      <c r="F5" s="466">
        <v>0.04</v>
      </c>
      <c r="G5" s="466">
        <v>0.04</v>
      </c>
      <c r="H5" s="466">
        <v>0.03</v>
      </c>
      <c r="I5" s="466">
        <v>0.03</v>
      </c>
      <c r="J5" s="466">
        <v>0.03</v>
      </c>
      <c r="K5" s="467">
        <v>0.03</v>
      </c>
      <c r="L5" s="466">
        <v>0.03</v>
      </c>
      <c r="M5" s="466">
        <v>0.03</v>
      </c>
      <c r="N5" s="85"/>
      <c r="O5" s="85"/>
      <c r="P5" s="85"/>
      <c r="Q5" s="85"/>
      <c r="R5" s="85"/>
      <c r="S5" s="85"/>
    </row>
    <row r="6" spans="1:19" x14ac:dyDescent="0.25">
      <c r="A6" s="85"/>
      <c r="B6" s="1047"/>
      <c r="C6" s="398" t="str">
        <f>'Operating Statement'!E7&amp;"(1)"</f>
        <v>Loss / Gain to Lease(1)</v>
      </c>
      <c r="D6" s="465">
        <f>'Operating Statement'!R7</f>
        <v>0</v>
      </c>
      <c r="E6" s="466">
        <v>0.02</v>
      </c>
      <c r="F6" s="466">
        <v>0.02</v>
      </c>
      <c r="G6" s="466">
        <v>0.01</v>
      </c>
      <c r="H6" s="466">
        <v>0.01</v>
      </c>
      <c r="I6" s="466">
        <v>0.01</v>
      </c>
      <c r="J6" s="466">
        <v>0.01</v>
      </c>
      <c r="K6" s="467">
        <v>0.01</v>
      </c>
      <c r="L6" s="466">
        <v>0.01</v>
      </c>
      <c r="M6" s="466">
        <v>0.01</v>
      </c>
      <c r="N6" s="85"/>
      <c r="O6" s="85"/>
      <c r="P6" s="85"/>
      <c r="Q6" s="85"/>
      <c r="R6" s="85"/>
      <c r="S6" s="85"/>
    </row>
    <row r="7" spans="1:19" x14ac:dyDescent="0.25">
      <c r="A7" s="85"/>
      <c r="B7" s="85"/>
      <c r="C7" s="393" t="str">
        <f>'Operating Statement'!E9</f>
        <v>Physical Vacancy</v>
      </c>
      <c r="D7" s="412"/>
      <c r="E7" s="466">
        <v>0.05</v>
      </c>
      <c r="F7" s="466">
        <v>0.05</v>
      </c>
      <c r="G7" s="466">
        <v>0.05</v>
      </c>
      <c r="H7" s="466">
        <v>0.03</v>
      </c>
      <c r="I7" s="466">
        <v>0.03</v>
      </c>
      <c r="J7" s="466">
        <v>0.03</v>
      </c>
      <c r="K7" s="467">
        <v>0.03</v>
      </c>
      <c r="L7" s="466">
        <v>0.03</v>
      </c>
      <c r="M7" s="466">
        <v>0.03</v>
      </c>
      <c r="N7" s="85"/>
      <c r="O7" s="85"/>
      <c r="P7" s="85"/>
      <c r="Q7" s="85"/>
      <c r="R7" s="85"/>
      <c r="S7" s="85"/>
    </row>
    <row r="8" spans="1:19" x14ac:dyDescent="0.25">
      <c r="A8" s="85"/>
      <c r="B8" s="85"/>
      <c r="C8" s="393" t="s">
        <v>482</v>
      </c>
      <c r="D8" s="468"/>
      <c r="E8" s="418"/>
      <c r="F8" s="418"/>
      <c r="G8" s="418"/>
      <c r="H8" s="418"/>
      <c r="I8" s="418"/>
      <c r="J8" s="418"/>
      <c r="K8" s="469"/>
      <c r="L8" s="418"/>
      <c r="M8" s="418"/>
      <c r="N8" s="85"/>
      <c r="O8" s="85"/>
      <c r="P8" s="85"/>
      <c r="Q8" s="85"/>
      <c r="R8" s="85"/>
      <c r="S8" s="85"/>
    </row>
    <row r="9" spans="1:19" x14ac:dyDescent="0.25">
      <c r="A9" s="85"/>
      <c r="B9" s="85"/>
      <c r="C9" s="398" t="str">
        <f>'Operating Statement'!E11</f>
        <v>Non-Revenue Units</v>
      </c>
      <c r="D9" s="468"/>
      <c r="E9" s="466">
        <v>1E-3</v>
      </c>
      <c r="F9" s="466">
        <v>1E-3</v>
      </c>
      <c r="G9" s="466">
        <v>1E-3</v>
      </c>
      <c r="H9" s="466">
        <v>1E-3</v>
      </c>
      <c r="I9" s="466">
        <v>1E-3</v>
      </c>
      <c r="J9" s="466">
        <v>1E-3</v>
      </c>
      <c r="K9" s="467">
        <v>1E-3</v>
      </c>
      <c r="L9" s="466">
        <v>1E-3</v>
      </c>
      <c r="M9" s="466">
        <v>1E-3</v>
      </c>
      <c r="N9" s="85"/>
      <c r="O9" s="85"/>
      <c r="P9" s="85"/>
      <c r="Q9" s="85"/>
      <c r="R9" s="85"/>
      <c r="S9" s="85"/>
    </row>
    <row r="10" spans="1:19" x14ac:dyDescent="0.25">
      <c r="A10" s="85"/>
      <c r="B10" s="85"/>
      <c r="C10" s="398" t="str">
        <f>'Operating Statement'!E12</f>
        <v>Bad Debt</v>
      </c>
      <c r="D10" s="468"/>
      <c r="E10" s="466">
        <v>3.0000000000000001E-3</v>
      </c>
      <c r="F10" s="466">
        <v>3.0000000000000001E-3</v>
      </c>
      <c r="G10" s="466">
        <v>3.0000000000000001E-3</v>
      </c>
      <c r="H10" s="466">
        <v>3.0000000000000001E-3</v>
      </c>
      <c r="I10" s="466">
        <v>3.0000000000000001E-3</v>
      </c>
      <c r="J10" s="466">
        <v>3.0000000000000001E-3</v>
      </c>
      <c r="K10" s="467">
        <v>3.0000000000000001E-3</v>
      </c>
      <c r="L10" s="466">
        <v>3.0000000000000001E-3</v>
      </c>
      <c r="M10" s="466">
        <v>3.0000000000000001E-3</v>
      </c>
      <c r="N10" s="85"/>
      <c r="O10" s="85"/>
      <c r="P10" s="85"/>
      <c r="Q10" s="85"/>
      <c r="R10" s="85"/>
      <c r="S10" s="85"/>
    </row>
    <row r="11" spans="1:19" x14ac:dyDescent="0.25">
      <c r="A11" s="85"/>
      <c r="B11" s="85"/>
      <c r="C11" s="485" t="str">
        <f>'Operating Statement'!E13</f>
        <v>Concession</v>
      </c>
      <c r="D11" s="475"/>
      <c r="E11" s="486">
        <v>1E-3</v>
      </c>
      <c r="F11" s="486">
        <v>1E-3</v>
      </c>
      <c r="G11" s="486">
        <v>1E-3</v>
      </c>
      <c r="H11" s="486">
        <v>1E-3</v>
      </c>
      <c r="I11" s="486">
        <v>1E-3</v>
      </c>
      <c r="J11" s="486">
        <v>1E-3</v>
      </c>
      <c r="K11" s="487">
        <v>1E-3</v>
      </c>
      <c r="L11" s="486">
        <v>1E-3</v>
      </c>
      <c r="M11" s="486">
        <v>1E-3</v>
      </c>
      <c r="N11" s="85"/>
      <c r="O11" s="85"/>
      <c r="P11" s="85"/>
      <c r="Q11" s="85"/>
      <c r="R11" s="85"/>
      <c r="S11" s="85"/>
    </row>
    <row r="12" spans="1:19" x14ac:dyDescent="0.25">
      <c r="A12" s="85"/>
      <c r="B12" s="89"/>
      <c r="C12" s="490" t="s">
        <v>483</v>
      </c>
      <c r="D12" s="491"/>
      <c r="E12" s="492">
        <f t="shared" ref="E12:M12" si="0">SUM(E9:E11)+E7</f>
        <v>5.5E-2</v>
      </c>
      <c r="F12" s="492">
        <f t="shared" si="0"/>
        <v>5.5E-2</v>
      </c>
      <c r="G12" s="492">
        <f t="shared" si="0"/>
        <v>5.5E-2</v>
      </c>
      <c r="H12" s="492">
        <f t="shared" si="0"/>
        <v>3.4999999999999996E-2</v>
      </c>
      <c r="I12" s="492">
        <f t="shared" si="0"/>
        <v>3.4999999999999996E-2</v>
      </c>
      <c r="J12" s="492">
        <f t="shared" si="0"/>
        <v>3.4999999999999996E-2</v>
      </c>
      <c r="K12" s="493">
        <f t="shared" si="0"/>
        <v>3.4999999999999996E-2</v>
      </c>
      <c r="L12" s="492">
        <f t="shared" si="0"/>
        <v>3.4999999999999996E-2</v>
      </c>
      <c r="M12" s="492">
        <f t="shared" si="0"/>
        <v>3.4999999999999996E-2</v>
      </c>
      <c r="N12" s="88"/>
      <c r="O12" s="85"/>
      <c r="P12" s="85"/>
      <c r="Q12" s="85"/>
      <c r="R12" s="85"/>
      <c r="S12" s="85"/>
    </row>
    <row r="13" spans="1:19" x14ac:dyDescent="0.25">
      <c r="A13" s="85"/>
      <c r="B13" s="89"/>
      <c r="C13" s="504" t="str">
        <f>'Operating Statement'!E20</f>
        <v>TOTAL OTHER INCOME</v>
      </c>
      <c r="D13" s="505"/>
      <c r="E13" s="506">
        <v>0.02</v>
      </c>
      <c r="F13" s="507">
        <v>0.02</v>
      </c>
      <c r="G13" s="507">
        <v>0.02</v>
      </c>
      <c r="H13" s="507">
        <v>0.02</v>
      </c>
      <c r="I13" s="507">
        <v>0.02</v>
      </c>
      <c r="J13" s="507">
        <v>0.02</v>
      </c>
      <c r="K13" s="508">
        <v>0.02</v>
      </c>
      <c r="L13" s="507">
        <v>0.02</v>
      </c>
      <c r="M13" s="507">
        <v>0.02</v>
      </c>
      <c r="N13" s="85"/>
      <c r="O13" s="85"/>
      <c r="P13" s="85"/>
      <c r="Q13" s="85"/>
      <c r="R13" s="85"/>
      <c r="S13" s="85"/>
    </row>
    <row r="14" spans="1:19" x14ac:dyDescent="0.25">
      <c r="A14" s="85"/>
      <c r="B14" s="85"/>
      <c r="C14" s="488"/>
      <c r="D14" s="489"/>
      <c r="E14" s="501"/>
      <c r="F14" s="501"/>
      <c r="G14" s="501"/>
      <c r="H14" s="501"/>
      <c r="I14" s="502"/>
      <c r="J14" s="502"/>
      <c r="K14" s="503"/>
      <c r="L14" s="502"/>
      <c r="M14" s="502"/>
      <c r="N14" s="85"/>
      <c r="O14" s="85"/>
      <c r="P14" s="85"/>
      <c r="Q14" s="85"/>
      <c r="R14" s="85"/>
      <c r="S14" s="85"/>
    </row>
    <row r="15" spans="1:19" x14ac:dyDescent="0.25">
      <c r="A15" s="85"/>
      <c r="B15" s="89"/>
      <c r="C15" s="481" t="str">
        <f>'Operating Statement'!E23</f>
        <v>EXPENSES</v>
      </c>
      <c r="D15" s="482" t="str">
        <f>'Operating Statement'!Q4</f>
        <v>YEAR 1</v>
      </c>
      <c r="E15" s="483">
        <f>'Cash Flow'!H4</f>
        <v>701</v>
      </c>
      <c r="F15" s="483">
        <f>'Cash Flow'!I4</f>
        <v>1066</v>
      </c>
      <c r="G15" s="483">
        <f>'Cash Flow'!J4</f>
        <v>1431</v>
      </c>
      <c r="H15" s="483">
        <f>'Cash Flow'!K4</f>
        <v>1797</v>
      </c>
      <c r="I15" s="483">
        <f>'Cash Flow'!L4</f>
        <v>2162</v>
      </c>
      <c r="J15" s="483">
        <f>'Cash Flow'!M4</f>
        <v>2527</v>
      </c>
      <c r="K15" s="484">
        <f>'Cash Flow'!N4</f>
        <v>2892</v>
      </c>
      <c r="L15" s="483">
        <f>'Cash Flow'!O4</f>
        <v>3258</v>
      </c>
      <c r="M15" s="483">
        <f>'Cash Flow'!P4</f>
        <v>3623</v>
      </c>
      <c r="N15" s="88"/>
      <c r="O15" s="85"/>
      <c r="P15" s="85"/>
      <c r="Q15" s="85"/>
      <c r="R15" s="85"/>
      <c r="S15" s="85"/>
    </row>
    <row r="16" spans="1:19" x14ac:dyDescent="0.25">
      <c r="A16" s="85"/>
      <c r="B16" s="85"/>
      <c r="C16" s="463" t="str">
        <f>'Cash Flow'!E22</f>
        <v>Operating Expenses</v>
      </c>
      <c r="D16" s="478"/>
      <c r="E16" s="479">
        <v>0.03</v>
      </c>
      <c r="F16" s="479">
        <v>0.03</v>
      </c>
      <c r="G16" s="479">
        <v>0.03</v>
      </c>
      <c r="H16" s="479">
        <v>0.03</v>
      </c>
      <c r="I16" s="479">
        <v>0.03</v>
      </c>
      <c r="J16" s="479">
        <v>0.03</v>
      </c>
      <c r="K16" s="480">
        <v>0.03</v>
      </c>
      <c r="L16" s="479">
        <v>0.03</v>
      </c>
      <c r="M16" s="479">
        <v>0.03</v>
      </c>
      <c r="N16" s="85"/>
      <c r="O16" s="85"/>
      <c r="P16" s="85"/>
      <c r="Q16" s="85"/>
      <c r="R16" s="85"/>
      <c r="S16" s="85"/>
    </row>
    <row r="17" spans="1:19" x14ac:dyDescent="0.25">
      <c r="A17" s="85"/>
      <c r="B17" s="85"/>
      <c r="C17" s="398" t="str">
        <f>'Cash Flow'!E23</f>
        <v>Real Estate Taxes</v>
      </c>
      <c r="D17" s="470"/>
      <c r="E17" s="466">
        <v>0.02</v>
      </c>
      <c r="F17" s="466">
        <v>0.02</v>
      </c>
      <c r="G17" s="466">
        <v>0.02</v>
      </c>
      <c r="H17" s="466">
        <v>0.02</v>
      </c>
      <c r="I17" s="466">
        <v>0.02</v>
      </c>
      <c r="J17" s="466">
        <v>0.02</v>
      </c>
      <c r="K17" s="467">
        <v>0.02</v>
      </c>
      <c r="L17" s="466">
        <v>0.02</v>
      </c>
      <c r="M17" s="466">
        <v>0.02</v>
      </c>
      <c r="N17" s="85"/>
      <c r="O17" s="85"/>
      <c r="P17" s="85"/>
      <c r="Q17" s="85"/>
      <c r="R17" s="85"/>
      <c r="S17" s="85"/>
    </row>
    <row r="18" spans="1:19" x14ac:dyDescent="0.25">
      <c r="A18" s="85"/>
      <c r="B18" s="85"/>
      <c r="C18" s="398" t="str">
        <f>'Cash Flow'!E24</f>
        <v>Insurance</v>
      </c>
      <c r="D18" s="470"/>
      <c r="E18" s="466">
        <v>0.03</v>
      </c>
      <c r="F18" s="466">
        <v>0.03</v>
      </c>
      <c r="G18" s="466">
        <v>0.03</v>
      </c>
      <c r="H18" s="466">
        <v>0.03</v>
      </c>
      <c r="I18" s="466">
        <v>0.03</v>
      </c>
      <c r="J18" s="466">
        <v>0.03</v>
      </c>
      <c r="K18" s="467">
        <v>0.03</v>
      </c>
      <c r="L18" s="466">
        <v>0.03</v>
      </c>
      <c r="M18" s="466">
        <v>0.03</v>
      </c>
      <c r="N18" s="85"/>
      <c r="O18" s="85"/>
      <c r="P18" s="85"/>
      <c r="Q18" s="85"/>
      <c r="R18" s="85"/>
      <c r="S18" s="85"/>
    </row>
    <row r="19" spans="1:19" x14ac:dyDescent="0.25">
      <c r="A19" s="85"/>
      <c r="B19" s="85"/>
      <c r="C19" s="398" t="str">
        <f>'Cash Flow'!E25</f>
        <v>Utilities</v>
      </c>
      <c r="D19" s="470"/>
      <c r="E19" s="466">
        <v>0.03</v>
      </c>
      <c r="F19" s="466">
        <v>0.03</v>
      </c>
      <c r="G19" s="466">
        <v>0.03</v>
      </c>
      <c r="H19" s="466">
        <v>0.03</v>
      </c>
      <c r="I19" s="466">
        <v>0.03</v>
      </c>
      <c r="J19" s="466">
        <v>0.03</v>
      </c>
      <c r="K19" s="467">
        <v>0.03</v>
      </c>
      <c r="L19" s="466">
        <v>0.03</v>
      </c>
      <c r="M19" s="466">
        <v>0.03</v>
      </c>
      <c r="N19" s="85"/>
      <c r="O19" s="85"/>
      <c r="P19" s="85"/>
      <c r="Q19" s="85"/>
      <c r="R19" s="85"/>
      <c r="S19" s="85"/>
    </row>
    <row r="20" spans="1:19" x14ac:dyDescent="0.25">
      <c r="A20" s="85"/>
      <c r="B20" s="85"/>
      <c r="C20" s="497" t="str">
        <f>'Operating Statement'!E38&amp;" (2)"</f>
        <v>Management Fee (2)</v>
      </c>
      <c r="D20" s="498">
        <f>'Operating Statement'!R38</f>
        <v>0</v>
      </c>
      <c r="E20" s="499"/>
      <c r="F20" s="499"/>
      <c r="G20" s="499"/>
      <c r="H20" s="499"/>
      <c r="I20" s="499"/>
      <c r="J20" s="499"/>
      <c r="K20" s="500"/>
      <c r="L20" s="499"/>
      <c r="M20" s="499"/>
      <c r="N20" s="85"/>
      <c r="O20" s="85"/>
      <c r="P20" s="85"/>
      <c r="Q20" s="85"/>
      <c r="R20" s="85"/>
      <c r="S20" s="85"/>
    </row>
    <row r="21" spans="1:19" x14ac:dyDescent="0.25">
      <c r="A21" s="85"/>
      <c r="B21" s="85"/>
      <c r="C21" s="494" t="s">
        <v>484</v>
      </c>
      <c r="D21" s="495"/>
      <c r="E21" s="496"/>
      <c r="F21" s="496"/>
      <c r="G21" s="496"/>
      <c r="H21" s="496"/>
      <c r="I21" s="496"/>
      <c r="J21" s="496"/>
      <c r="K21" s="496"/>
      <c r="L21" s="496"/>
      <c r="M21" s="496"/>
      <c r="N21" s="85"/>
      <c r="O21" s="85"/>
      <c r="P21" s="85"/>
      <c r="Q21" s="85"/>
      <c r="R21" s="85"/>
      <c r="S21" s="85"/>
    </row>
    <row r="22" spans="1:19" x14ac:dyDescent="0.25">
      <c r="A22" s="85"/>
      <c r="B22" s="85"/>
      <c r="C22" s="428" t="s">
        <v>485</v>
      </c>
      <c r="D22" s="428"/>
      <c r="E22" s="396"/>
      <c r="F22" s="396"/>
      <c r="G22" s="396"/>
      <c r="H22" s="396"/>
      <c r="I22" s="471"/>
      <c r="J22" s="471"/>
      <c r="K22" s="471"/>
      <c r="L22" s="471"/>
      <c r="M22" s="471"/>
      <c r="N22" s="85"/>
      <c r="O22" s="85"/>
      <c r="P22" s="85"/>
      <c r="Q22" s="85"/>
      <c r="R22" s="85"/>
      <c r="S22" s="85"/>
    </row>
    <row r="23" spans="1:19" x14ac:dyDescent="0.25">
      <c r="A23" s="85"/>
      <c r="B23" s="85"/>
      <c r="C23" s="85"/>
      <c r="D23" s="85"/>
      <c r="E23" s="85"/>
      <c r="F23" s="85"/>
      <c r="G23" s="85"/>
      <c r="H23" s="85"/>
      <c r="I23" s="85"/>
      <c r="J23" s="85"/>
      <c r="K23" s="85"/>
      <c r="L23" s="85"/>
      <c r="M23" s="85"/>
      <c r="N23" s="85"/>
      <c r="O23" s="85"/>
      <c r="P23" s="85"/>
      <c r="Q23" s="85"/>
      <c r="R23" s="85"/>
      <c r="S23" s="85"/>
    </row>
    <row r="24" spans="1:19" x14ac:dyDescent="0.25">
      <c r="A24" s="85"/>
      <c r="B24" s="85"/>
      <c r="C24" s="85"/>
      <c r="D24" s="85"/>
      <c r="E24" s="85"/>
      <c r="F24" s="85"/>
      <c r="G24" s="85"/>
      <c r="H24" s="85"/>
      <c r="I24" s="85"/>
      <c r="J24" s="85"/>
      <c r="K24" s="85"/>
      <c r="L24" s="85"/>
      <c r="M24" s="85"/>
      <c r="N24" s="85"/>
      <c r="O24" s="85"/>
      <c r="P24" s="85"/>
      <c r="Q24" s="85"/>
      <c r="R24" s="85"/>
      <c r="S24" s="85"/>
    </row>
    <row r="25" spans="1:19" x14ac:dyDescent="0.25">
      <c r="A25" s="85"/>
      <c r="B25" s="85"/>
      <c r="C25" s="85"/>
      <c r="D25" s="85"/>
      <c r="E25" s="85"/>
      <c r="F25" s="85"/>
      <c r="G25" s="85"/>
      <c r="H25" s="85"/>
      <c r="I25" s="85"/>
      <c r="J25" s="85"/>
      <c r="K25" s="85"/>
      <c r="L25" s="85"/>
      <c r="M25" s="85"/>
      <c r="N25" s="85"/>
      <c r="O25" s="85"/>
      <c r="P25" s="85"/>
      <c r="Q25" s="85"/>
      <c r="R25" s="85"/>
      <c r="S25" s="85"/>
    </row>
    <row r="26" spans="1:19" x14ac:dyDescent="0.25">
      <c r="A26" s="85"/>
      <c r="B26" s="85"/>
      <c r="C26" s="85"/>
      <c r="D26" s="85"/>
      <c r="E26" s="85"/>
      <c r="F26" s="85"/>
      <c r="G26" s="85"/>
      <c r="H26" s="85"/>
      <c r="I26" s="85"/>
      <c r="J26" s="85"/>
      <c r="K26" s="85"/>
      <c r="L26" s="85"/>
      <c r="M26" s="85"/>
      <c r="N26" s="85"/>
      <c r="O26" s="85"/>
      <c r="P26" s="85"/>
      <c r="Q26" s="85"/>
      <c r="R26" s="85"/>
      <c r="S26" s="85"/>
    </row>
    <row r="27" spans="1:19" x14ac:dyDescent="0.25">
      <c r="A27" s="85"/>
      <c r="B27" s="85"/>
      <c r="C27" s="85"/>
      <c r="D27" s="85"/>
      <c r="E27" s="85"/>
      <c r="F27" s="85"/>
      <c r="G27" s="85"/>
      <c r="H27" s="85"/>
      <c r="I27" s="85"/>
      <c r="J27" s="85"/>
      <c r="K27" s="85"/>
      <c r="L27" s="85"/>
      <c r="M27" s="85"/>
      <c r="N27" s="85"/>
      <c r="O27" s="85"/>
      <c r="P27" s="85"/>
      <c r="Q27" s="85"/>
      <c r="R27" s="85"/>
      <c r="S27" s="85"/>
    </row>
    <row r="28" spans="1:19" x14ac:dyDescent="0.25">
      <c r="A28" s="85"/>
      <c r="B28" s="85"/>
      <c r="C28" s="85"/>
      <c r="D28" s="85"/>
      <c r="E28" s="85"/>
      <c r="F28" s="85"/>
      <c r="G28" s="85"/>
      <c r="H28" s="85"/>
      <c r="I28" s="85"/>
      <c r="J28" s="85"/>
      <c r="K28" s="85"/>
      <c r="L28" s="85"/>
      <c r="M28" s="85"/>
      <c r="N28" s="85"/>
      <c r="O28" s="85"/>
      <c r="P28" s="85"/>
      <c r="Q28" s="85"/>
      <c r="R28" s="85"/>
      <c r="S28" s="85"/>
    </row>
    <row r="29" spans="1:19" x14ac:dyDescent="0.25">
      <c r="A29" s="85"/>
      <c r="B29" s="85"/>
      <c r="C29" s="85"/>
      <c r="D29" s="85"/>
      <c r="E29" s="85"/>
      <c r="F29" s="85"/>
      <c r="G29" s="85"/>
      <c r="H29" s="85"/>
      <c r="I29" s="85"/>
      <c r="J29" s="85"/>
      <c r="K29" s="85"/>
      <c r="L29" s="85"/>
      <c r="M29" s="85"/>
      <c r="N29" s="85"/>
      <c r="O29" s="85"/>
      <c r="P29" s="85"/>
      <c r="Q29" s="85"/>
      <c r="R29" s="85"/>
      <c r="S29" s="85"/>
    </row>
    <row r="30" spans="1:19" x14ac:dyDescent="0.25">
      <c r="A30" s="85"/>
      <c r="B30" s="85"/>
      <c r="C30" s="85"/>
      <c r="D30" s="85"/>
      <c r="E30" s="85"/>
      <c r="F30" s="85"/>
      <c r="G30" s="85"/>
      <c r="H30" s="85"/>
      <c r="I30" s="85"/>
      <c r="J30" s="85"/>
      <c r="K30" s="85"/>
      <c r="L30" s="85"/>
      <c r="M30" s="85"/>
      <c r="N30" s="85"/>
      <c r="O30" s="85"/>
      <c r="P30" s="85"/>
      <c r="Q30" s="85"/>
      <c r="R30" s="85"/>
      <c r="S30" s="85"/>
    </row>
    <row r="31" spans="1:19" x14ac:dyDescent="0.25">
      <c r="A31" s="85"/>
      <c r="B31" s="85"/>
      <c r="C31" s="85"/>
      <c r="D31" s="85"/>
      <c r="E31" s="85"/>
      <c r="F31" s="85"/>
      <c r="G31" s="85"/>
      <c r="H31" s="85"/>
      <c r="I31" s="85"/>
      <c r="J31" s="85"/>
      <c r="K31" s="85"/>
      <c r="L31" s="85"/>
      <c r="M31" s="85"/>
      <c r="N31" s="85"/>
      <c r="O31" s="85"/>
      <c r="P31" s="85"/>
      <c r="Q31" s="85"/>
      <c r="R31" s="85"/>
      <c r="S31" s="85"/>
    </row>
    <row r="32" spans="1:19" x14ac:dyDescent="0.25">
      <c r="A32" s="85"/>
      <c r="B32" s="85"/>
      <c r="C32" s="85"/>
      <c r="D32" s="85"/>
      <c r="E32" s="85"/>
      <c r="F32" s="85"/>
      <c r="G32" s="85"/>
      <c r="H32" s="85"/>
      <c r="I32" s="85"/>
      <c r="J32" s="85"/>
      <c r="K32" s="85"/>
      <c r="L32" s="85"/>
      <c r="M32" s="85"/>
      <c r="N32" s="85"/>
      <c r="O32" s="85"/>
      <c r="P32" s="85"/>
      <c r="Q32" s="85"/>
      <c r="R32" s="85"/>
      <c r="S32" s="85"/>
    </row>
    <row r="33" spans="1:19" x14ac:dyDescent="0.25">
      <c r="A33" s="85"/>
      <c r="B33" s="85"/>
      <c r="C33" s="85"/>
      <c r="D33" s="85"/>
      <c r="E33" s="85"/>
      <c r="F33" s="85"/>
      <c r="G33" s="85"/>
      <c r="H33" s="85"/>
      <c r="I33" s="85"/>
      <c r="J33" s="85"/>
      <c r="K33" s="85"/>
      <c r="L33" s="85"/>
      <c r="M33" s="85"/>
      <c r="N33" s="85"/>
      <c r="O33" s="85"/>
      <c r="P33" s="85"/>
      <c r="Q33" s="85"/>
      <c r="R33" s="85"/>
      <c r="S33" s="85"/>
    </row>
    <row r="34" spans="1:19" x14ac:dyDescent="0.25">
      <c r="A34" s="85"/>
      <c r="B34" s="85"/>
      <c r="C34" s="85"/>
      <c r="D34" s="85"/>
      <c r="E34" s="85"/>
      <c r="F34" s="85"/>
      <c r="G34" s="85"/>
      <c r="H34" s="85"/>
      <c r="I34" s="85"/>
      <c r="J34" s="85"/>
      <c r="K34" s="85"/>
      <c r="L34" s="85"/>
      <c r="M34" s="85"/>
      <c r="N34" s="85"/>
      <c r="O34" s="85"/>
      <c r="P34" s="85"/>
      <c r="Q34" s="85"/>
      <c r="R34" s="85"/>
      <c r="S34" s="85"/>
    </row>
    <row r="35" spans="1:19" x14ac:dyDescent="0.25">
      <c r="A35" s="85"/>
      <c r="B35" s="85"/>
      <c r="C35" s="85"/>
      <c r="D35" s="85"/>
      <c r="E35" s="85"/>
      <c r="F35" s="85"/>
      <c r="G35" s="85"/>
      <c r="H35" s="85"/>
      <c r="I35" s="85"/>
      <c r="J35" s="85"/>
      <c r="K35" s="85"/>
      <c r="L35" s="85"/>
      <c r="M35" s="85"/>
      <c r="N35" s="85"/>
      <c r="O35" s="85"/>
      <c r="P35" s="85"/>
      <c r="Q35" s="85"/>
      <c r="R35" s="85"/>
      <c r="S35" s="85"/>
    </row>
  </sheetData>
  <conditionalFormatting sqref="E5:M11 E16:M19">
    <cfRule type="expression" dxfId="25" priority="2">
      <formula>Input_Shading= "Yes"</formula>
    </cfRule>
  </conditionalFormatting>
  <conditionalFormatting sqref="E13:M13">
    <cfRule type="expression" dxfId="24" priority="1">
      <formula>Input_Shading =  "Yes"</formula>
    </cfRule>
  </conditionalFormatting>
  <printOptions horizontalCentered="1" verticalCentered="1"/>
  <pageMargins left="0.5" right="0.5" top="1.75" bottom="0.5" header="0" footer="0"/>
  <pageSetup orientation="landscape" r:id="rId1"/>
  <customProperties>
    <customPr name="GUID" r:id="rId2"/>
  </customPropertie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5503-06FA-4DDA-A5BF-78B4FF148380}">
  <sheetPr codeName="Sheet14">
    <tabColor rgb="FF92D050"/>
    <pageSetUpPr fitToPage="1"/>
  </sheetPr>
  <dimension ref="A1:X90"/>
  <sheetViews>
    <sheetView topLeftCell="A34" zoomScale="150" zoomScaleNormal="150" workbookViewId="0">
      <selection activeCell="R11" sqref="R11"/>
    </sheetView>
  </sheetViews>
  <sheetFormatPr defaultColWidth="8.85546875" defaultRowHeight="15" x14ac:dyDescent="0.25"/>
  <cols>
    <col min="1" max="1" width="1.140625" customWidth="1"/>
    <col min="2" max="2" width="1.7109375" customWidth="1"/>
    <col min="3" max="4" width="1.85546875" customWidth="1"/>
    <col min="5" max="5" width="24.85546875" bestFit="1" customWidth="1"/>
    <col min="6" max="6" width="8" bestFit="1" customWidth="1"/>
    <col min="7" max="7" width="9" bestFit="1" customWidth="1"/>
    <col min="8" max="8" width="8.42578125" bestFit="1" customWidth="1"/>
    <col min="9" max="15" width="7.42578125" bestFit="1" customWidth="1"/>
    <col min="16" max="16" width="8" bestFit="1" customWidth="1"/>
    <col min="17" max="22" width="9" bestFit="1" customWidth="1"/>
  </cols>
  <sheetData>
    <row r="1" spans="1:23" x14ac:dyDescent="0.25">
      <c r="A1" s="85"/>
      <c r="B1" s="85"/>
      <c r="C1" s="85"/>
      <c r="D1" s="85"/>
      <c r="E1" s="387" t="s">
        <v>486</v>
      </c>
      <c r="F1" s="512"/>
      <c r="G1" s="512"/>
      <c r="H1" s="512"/>
      <c r="I1" s="512"/>
      <c r="J1" s="512"/>
      <c r="K1" s="512"/>
      <c r="L1" s="512"/>
      <c r="M1" s="512"/>
      <c r="N1" s="512"/>
      <c r="O1" s="512"/>
      <c r="P1" s="512"/>
      <c r="Q1" s="85"/>
      <c r="R1" s="85"/>
      <c r="S1" s="85"/>
      <c r="T1" s="85"/>
      <c r="U1" s="85"/>
      <c r="V1" s="89"/>
      <c r="W1" s="87"/>
    </row>
    <row r="2" spans="1:23" ht="7.5" customHeight="1" x14ac:dyDescent="0.25">
      <c r="A2" s="85"/>
      <c r="B2" s="85"/>
      <c r="C2" s="85"/>
      <c r="D2" s="85"/>
      <c r="E2" s="387"/>
      <c r="F2" s="512"/>
      <c r="G2" s="512"/>
      <c r="H2" s="512"/>
      <c r="I2" s="512"/>
      <c r="J2" s="512"/>
      <c r="K2" s="512"/>
      <c r="L2" s="512"/>
      <c r="M2" s="512"/>
      <c r="N2" s="512"/>
      <c r="O2" s="512"/>
      <c r="P2" s="512"/>
      <c r="Q2" s="85"/>
      <c r="R2" s="85"/>
      <c r="S2" s="85"/>
      <c r="T2" s="85"/>
      <c r="U2" s="85"/>
      <c r="V2" s="89"/>
      <c r="W2" s="87"/>
    </row>
    <row r="3" spans="1:23" ht="7.5" customHeight="1" x14ac:dyDescent="0.25">
      <c r="A3" s="85"/>
      <c r="B3" s="85"/>
      <c r="C3" s="85"/>
      <c r="D3" s="85"/>
      <c r="E3" s="1063"/>
      <c r="F3" s="1064"/>
      <c r="G3" s="1064"/>
      <c r="H3" s="1064"/>
      <c r="I3" s="1064"/>
      <c r="J3" s="1064"/>
      <c r="K3" s="1064"/>
      <c r="L3" s="1064"/>
      <c r="M3" s="1064"/>
      <c r="N3" s="1064"/>
      <c r="O3" s="1064"/>
      <c r="P3" s="1064"/>
      <c r="Q3" s="85"/>
      <c r="R3" s="85"/>
      <c r="S3" s="85"/>
      <c r="T3" s="85"/>
      <c r="U3" s="85"/>
      <c r="V3" s="89"/>
      <c r="W3" s="87"/>
    </row>
    <row r="4" spans="1:23" x14ac:dyDescent="0.25">
      <c r="A4" s="85"/>
      <c r="B4" s="85"/>
      <c r="C4" s="85"/>
      <c r="D4" s="89"/>
      <c r="E4" s="521" t="s">
        <v>397</v>
      </c>
      <c r="F4" s="522" t="str">
        <f>'Operating Statement'!O4</f>
        <v>CURRENT</v>
      </c>
      <c r="G4" s="483">
        <f>'Debt Input'!T15</f>
        <v>366</v>
      </c>
      <c r="H4" s="483">
        <f>'Debt Input'!U15</f>
        <v>701</v>
      </c>
      <c r="I4" s="483">
        <f>'Debt Input'!V15</f>
        <v>1066</v>
      </c>
      <c r="J4" s="483">
        <f>'Debt Input'!W15</f>
        <v>1431</v>
      </c>
      <c r="K4" s="483">
        <f>'Debt Input'!X15</f>
        <v>1797</v>
      </c>
      <c r="L4" s="483">
        <f>'Debt Input'!Y15</f>
        <v>2162</v>
      </c>
      <c r="M4" s="483">
        <f>'Debt Input'!Z15</f>
        <v>2527</v>
      </c>
      <c r="N4" s="483">
        <f>'Debt Input'!AA15</f>
        <v>2892</v>
      </c>
      <c r="O4" s="483">
        <f>'Debt Input'!AB15</f>
        <v>3258</v>
      </c>
      <c r="P4" s="483">
        <f>'Debt Input'!AC15</f>
        <v>3623</v>
      </c>
      <c r="Q4" s="88"/>
      <c r="R4" s="85"/>
      <c r="S4" s="85"/>
      <c r="T4" s="85"/>
      <c r="U4" s="85"/>
      <c r="V4" s="89"/>
      <c r="W4" s="89"/>
    </row>
    <row r="5" spans="1:23" x14ac:dyDescent="0.25">
      <c r="A5" s="85"/>
      <c r="B5" s="85"/>
      <c r="C5" s="85"/>
      <c r="D5" s="85"/>
      <c r="E5" s="519" t="str">
        <f>'Operating Statement'!E5</f>
        <v>Rental Income</v>
      </c>
      <c r="F5" s="520"/>
      <c r="G5" s="520"/>
      <c r="H5" s="520"/>
      <c r="I5" s="520"/>
      <c r="J5" s="520"/>
      <c r="K5" s="520"/>
      <c r="L5" s="520"/>
      <c r="M5" s="520"/>
      <c r="N5" s="520"/>
      <c r="O5" s="520"/>
      <c r="P5" s="520"/>
      <c r="Q5" s="85"/>
      <c r="R5" s="85"/>
      <c r="S5" s="85"/>
      <c r="T5" s="85"/>
      <c r="U5" s="85"/>
      <c r="V5" s="89"/>
      <c r="W5" s="89"/>
    </row>
    <row r="6" spans="1:23" x14ac:dyDescent="0.25">
      <c r="A6" s="85"/>
      <c r="B6" s="85"/>
      <c r="C6" s="85"/>
      <c r="D6" s="85"/>
      <c r="E6" s="393" t="str">
        <f>'Operating Statement'!E6</f>
        <v>Gross Potential Rent</v>
      </c>
      <c r="F6" s="514">
        <f ca="1">'Operating Statement'!O6</f>
        <v>0</v>
      </c>
      <c r="G6" s="514">
        <f ca="1">'Operating Statement'!Q6</f>
        <v>0</v>
      </c>
      <c r="H6" s="514">
        <f ca="1">G6*(1+'Growth Rates'!E5)</f>
        <v>0</v>
      </c>
      <c r="I6" s="514">
        <f ca="1">H6*(1+'Growth Rates'!F5)</f>
        <v>0</v>
      </c>
      <c r="J6" s="514">
        <f ca="1">I6*(1+'Growth Rates'!G5)</f>
        <v>0</v>
      </c>
      <c r="K6" s="514">
        <f ca="1">J6*(1+'Growth Rates'!H5)</f>
        <v>0</v>
      </c>
      <c r="L6" s="514">
        <f ca="1">K6*(1+'Growth Rates'!I5)</f>
        <v>0</v>
      </c>
      <c r="M6" s="514">
        <f ca="1">L6*(1+'Growth Rates'!J5)</f>
        <v>0</v>
      </c>
      <c r="N6" s="514">
        <f ca="1">M6*(1+'Growth Rates'!K5)</f>
        <v>0</v>
      </c>
      <c r="O6" s="514">
        <f ca="1">N6*(1+'Growth Rates'!L5)</f>
        <v>0</v>
      </c>
      <c r="P6" s="514">
        <f ca="1">O6*(1+'Growth Rates'!M5)</f>
        <v>0</v>
      </c>
      <c r="Q6" s="85"/>
      <c r="R6" s="85"/>
      <c r="S6" s="85"/>
      <c r="T6" s="85"/>
      <c r="U6" s="85"/>
      <c r="V6" s="89"/>
      <c r="W6" s="89"/>
    </row>
    <row r="7" spans="1:23" x14ac:dyDescent="0.25">
      <c r="A7" s="85"/>
      <c r="B7" s="1047"/>
      <c r="C7" s="85"/>
      <c r="D7" s="85"/>
      <c r="E7" s="485" t="str">
        <f>'Operating Statement'!E7</f>
        <v>Loss / Gain to Lease</v>
      </c>
      <c r="F7" s="523">
        <f ca="1">'Operating Statement'!O7</f>
        <v>0</v>
      </c>
      <c r="G7" s="523">
        <f ca="1">'Operating Statement'!Q7</f>
        <v>0</v>
      </c>
      <c r="H7" s="523">
        <f ca="1">-'Growth Rates'!E6*'Cash Flow'!H6</f>
        <v>0</v>
      </c>
      <c r="I7" s="523">
        <f ca="1">-'Growth Rates'!F6*'Cash Flow'!I6</f>
        <v>0</v>
      </c>
      <c r="J7" s="523">
        <f ca="1">-'Growth Rates'!G6*'Cash Flow'!J6</f>
        <v>0</v>
      </c>
      <c r="K7" s="523">
        <f ca="1">-'Growth Rates'!H6*'Cash Flow'!K6</f>
        <v>0</v>
      </c>
      <c r="L7" s="523">
        <f ca="1">-'Growth Rates'!I6*'Cash Flow'!L6</f>
        <v>0</v>
      </c>
      <c r="M7" s="523">
        <f ca="1">-'Growth Rates'!J6*'Cash Flow'!M6</f>
        <v>0</v>
      </c>
      <c r="N7" s="523">
        <f ca="1">-'Growth Rates'!K6*'Cash Flow'!N6</f>
        <v>0</v>
      </c>
      <c r="O7" s="523">
        <f ca="1">-'Growth Rates'!L6*'Cash Flow'!O6</f>
        <v>0</v>
      </c>
      <c r="P7" s="523">
        <f ca="1">-'Growth Rates'!M6*'Cash Flow'!P6</f>
        <v>0</v>
      </c>
      <c r="Q7" s="85"/>
      <c r="R7" s="85"/>
      <c r="S7" s="85"/>
      <c r="T7" s="85"/>
      <c r="U7" s="85"/>
      <c r="V7" s="89"/>
      <c r="W7" s="89"/>
    </row>
    <row r="8" spans="1:23" x14ac:dyDescent="0.25">
      <c r="A8" s="85"/>
      <c r="B8" s="85"/>
      <c r="C8" s="85"/>
      <c r="D8" s="89"/>
      <c r="E8" s="643" t="str">
        <f>'Operating Statement'!E8</f>
        <v>Gross Scheduled Rent</v>
      </c>
      <c r="F8" s="644">
        <f t="shared" ref="F8:P8" ca="1" si="0">SUM(F6:F7)</f>
        <v>0</v>
      </c>
      <c r="G8" s="644">
        <f t="shared" ca="1" si="0"/>
        <v>0</v>
      </c>
      <c r="H8" s="644">
        <f t="shared" ca="1" si="0"/>
        <v>0</v>
      </c>
      <c r="I8" s="644">
        <f t="shared" ca="1" si="0"/>
        <v>0</v>
      </c>
      <c r="J8" s="644">
        <f t="shared" ca="1" si="0"/>
        <v>0</v>
      </c>
      <c r="K8" s="644">
        <f t="shared" ca="1" si="0"/>
        <v>0</v>
      </c>
      <c r="L8" s="644">
        <f t="shared" ca="1" si="0"/>
        <v>0</v>
      </c>
      <c r="M8" s="644">
        <f t="shared" ca="1" si="0"/>
        <v>0</v>
      </c>
      <c r="N8" s="644">
        <f t="shared" ca="1" si="0"/>
        <v>0</v>
      </c>
      <c r="O8" s="644">
        <f t="shared" ca="1" si="0"/>
        <v>0</v>
      </c>
      <c r="P8" s="644">
        <f t="shared" ca="1" si="0"/>
        <v>0</v>
      </c>
      <c r="Q8" s="88"/>
      <c r="R8" s="85"/>
      <c r="S8" s="85"/>
      <c r="T8" s="85"/>
      <c r="U8" s="85"/>
      <c r="V8" s="89"/>
      <c r="W8" s="89"/>
    </row>
    <row r="9" spans="1:23" x14ac:dyDescent="0.25">
      <c r="A9" s="85"/>
      <c r="B9" s="85"/>
      <c r="C9" s="85"/>
      <c r="D9" s="85"/>
      <c r="E9" s="434" t="str">
        <f>'Operating Statement'!E9</f>
        <v>Physical Vacancy</v>
      </c>
      <c r="F9" s="642">
        <f ca="1">'Operating Statement'!O9</f>
        <v>0</v>
      </c>
      <c r="G9" s="642">
        <f ca="1">'Operating Statement'!Q9</f>
        <v>0</v>
      </c>
      <c r="H9" s="642">
        <f ca="1">-'Growth Rates'!E7*H8</f>
        <v>0</v>
      </c>
      <c r="I9" s="642">
        <f ca="1">-'Growth Rates'!F7*I8</f>
        <v>0</v>
      </c>
      <c r="J9" s="642">
        <f ca="1">-'Growth Rates'!G7*J8</f>
        <v>0</v>
      </c>
      <c r="K9" s="642">
        <f ca="1">-'Growth Rates'!H7*K8</f>
        <v>0</v>
      </c>
      <c r="L9" s="642">
        <f ca="1">-'Growth Rates'!I7*L8</f>
        <v>0</v>
      </c>
      <c r="M9" s="642">
        <f ca="1">-'Growth Rates'!J7*M8</f>
        <v>0</v>
      </c>
      <c r="N9" s="642">
        <f ca="1">-'Growth Rates'!K7*N8</f>
        <v>0</v>
      </c>
      <c r="O9" s="642">
        <f ca="1">-'Growth Rates'!L7*O8</f>
        <v>0</v>
      </c>
      <c r="P9" s="642">
        <f ca="1">-'Growth Rates'!M7*P8</f>
        <v>0</v>
      </c>
      <c r="Q9" s="85"/>
      <c r="R9" s="85"/>
      <c r="S9" s="85"/>
      <c r="T9" s="85"/>
      <c r="U9" s="85"/>
      <c r="V9" s="89"/>
      <c r="W9" s="89"/>
    </row>
    <row r="10" spans="1:23" x14ac:dyDescent="0.25">
      <c r="A10" s="85"/>
      <c r="B10" s="85"/>
      <c r="C10" s="85"/>
      <c r="D10" s="85"/>
      <c r="E10" s="393" t="str">
        <f>'Operating Statement'!E10</f>
        <v>Economic Vacancy</v>
      </c>
      <c r="F10" s="513"/>
      <c r="G10" s="513"/>
      <c r="H10" s="515"/>
      <c r="I10" s="515"/>
      <c r="J10" s="516"/>
      <c r="K10" s="516"/>
      <c r="L10" s="516"/>
      <c r="M10" s="516"/>
      <c r="N10" s="516"/>
      <c r="O10" s="516"/>
      <c r="P10" s="516"/>
      <c r="Q10" s="85"/>
      <c r="R10" s="85"/>
      <c r="S10" s="85"/>
      <c r="T10" s="85"/>
      <c r="U10" s="85"/>
      <c r="V10" s="89"/>
      <c r="W10" s="89"/>
    </row>
    <row r="11" spans="1:23" x14ac:dyDescent="0.25">
      <c r="A11" s="85"/>
      <c r="B11" s="85"/>
      <c r="C11" s="85"/>
      <c r="D11" s="85"/>
      <c r="E11" s="398" t="str">
        <f>'Operating Statement'!E11</f>
        <v>Non-Revenue Units</v>
      </c>
      <c r="F11" s="514">
        <f>'Operating Statement'!O11</f>
        <v>0</v>
      </c>
      <c r="G11" s="514">
        <f ca="1">'Operating Statement'!Q11</f>
        <v>0</v>
      </c>
      <c r="H11" s="514">
        <f ca="1">-'Growth Rates'!E9*'Cash Flow'!H8</f>
        <v>0</v>
      </c>
      <c r="I11" s="514">
        <f ca="1">-'Growth Rates'!F9*'Cash Flow'!I8</f>
        <v>0</v>
      </c>
      <c r="J11" s="514">
        <f ca="1">-'Growth Rates'!G9*'Cash Flow'!J8</f>
        <v>0</v>
      </c>
      <c r="K11" s="514">
        <f ca="1">-'Growth Rates'!H9*'Cash Flow'!K8</f>
        <v>0</v>
      </c>
      <c r="L11" s="514">
        <f ca="1">-'Growth Rates'!I9*'Cash Flow'!L8</f>
        <v>0</v>
      </c>
      <c r="M11" s="514">
        <f ca="1">-'Growth Rates'!J9*'Cash Flow'!M8</f>
        <v>0</v>
      </c>
      <c r="N11" s="514">
        <f ca="1">-'Growth Rates'!K9*'Cash Flow'!N8</f>
        <v>0</v>
      </c>
      <c r="O11" s="514">
        <f ca="1">-'Growth Rates'!L9*'Cash Flow'!O8</f>
        <v>0</v>
      </c>
      <c r="P11" s="514">
        <f ca="1">-'Growth Rates'!M9*'Cash Flow'!P8</f>
        <v>0</v>
      </c>
      <c r="Q11" s="85"/>
      <c r="R11" s="85"/>
      <c r="S11" s="85"/>
      <c r="T11" s="85"/>
      <c r="U11" s="85"/>
      <c r="V11" s="89"/>
      <c r="W11" s="89"/>
    </row>
    <row r="12" spans="1:23" x14ac:dyDescent="0.25">
      <c r="A12" s="85"/>
      <c r="B12" s="85"/>
      <c r="C12" s="85"/>
      <c r="D12" s="85"/>
      <c r="E12" s="398" t="str">
        <f>'Operating Statement'!E12</f>
        <v>Bad Debt</v>
      </c>
      <c r="F12" s="514">
        <f>'Operating Statement'!O12</f>
        <v>0</v>
      </c>
      <c r="G12" s="514">
        <f ca="1">'Operating Statement'!Q12</f>
        <v>0</v>
      </c>
      <c r="H12" s="514">
        <f ca="1">-'Growth Rates'!E10*'Cash Flow'!H8</f>
        <v>0</v>
      </c>
      <c r="I12" s="514">
        <f ca="1">-'Growth Rates'!F10*'Cash Flow'!I8</f>
        <v>0</v>
      </c>
      <c r="J12" s="514">
        <f ca="1">-'Growth Rates'!G10*'Cash Flow'!J8</f>
        <v>0</v>
      </c>
      <c r="K12" s="514">
        <f ca="1">-'Growth Rates'!H10*'Cash Flow'!K8</f>
        <v>0</v>
      </c>
      <c r="L12" s="514">
        <f ca="1">-'Growth Rates'!I10*'Cash Flow'!L8</f>
        <v>0</v>
      </c>
      <c r="M12" s="514">
        <f ca="1">-'Growth Rates'!J10*'Cash Flow'!M8</f>
        <v>0</v>
      </c>
      <c r="N12" s="514">
        <f ca="1">-'Growth Rates'!K10*'Cash Flow'!N8</f>
        <v>0</v>
      </c>
      <c r="O12" s="514">
        <f ca="1">-'Growth Rates'!L10*'Cash Flow'!O8</f>
        <v>0</v>
      </c>
      <c r="P12" s="514">
        <f ca="1">-'Growth Rates'!M10*'Cash Flow'!P8</f>
        <v>0</v>
      </c>
      <c r="Q12" s="85"/>
      <c r="R12" s="85"/>
      <c r="S12" s="85"/>
      <c r="T12" s="85"/>
      <c r="U12" s="85"/>
      <c r="V12" s="89"/>
      <c r="W12" s="89"/>
    </row>
    <row r="13" spans="1:23" x14ac:dyDescent="0.25">
      <c r="A13" s="85"/>
      <c r="B13" s="85"/>
      <c r="C13" s="85"/>
      <c r="D13" s="85"/>
      <c r="E13" s="485" t="str">
        <f>'Operating Statement'!E13</f>
        <v>Concession</v>
      </c>
      <c r="F13" s="523">
        <f>'Operating Statement'!O13</f>
        <v>0</v>
      </c>
      <c r="G13" s="523">
        <f ca="1">'Operating Statement'!Q13</f>
        <v>0</v>
      </c>
      <c r="H13" s="523">
        <f ca="1">-'Growth Rates'!E11*'Cash Flow'!H8</f>
        <v>0</v>
      </c>
      <c r="I13" s="523">
        <f ca="1">-'Growth Rates'!F11*'Cash Flow'!I8</f>
        <v>0</v>
      </c>
      <c r="J13" s="523">
        <f ca="1">-'Growth Rates'!G11*'Cash Flow'!J8</f>
        <v>0</v>
      </c>
      <c r="K13" s="523">
        <f ca="1">-'Growth Rates'!H11*'Cash Flow'!K8</f>
        <v>0</v>
      </c>
      <c r="L13" s="523">
        <f ca="1">-'Growth Rates'!I11*'Cash Flow'!L8</f>
        <v>0</v>
      </c>
      <c r="M13" s="523">
        <f ca="1">-'Growth Rates'!J11*'Cash Flow'!M8</f>
        <v>0</v>
      </c>
      <c r="N13" s="523">
        <f ca="1">-'Growth Rates'!K11*'Cash Flow'!N8</f>
        <v>0</v>
      </c>
      <c r="O13" s="523">
        <f ca="1">-'Growth Rates'!L11*'Cash Flow'!O8</f>
        <v>0</v>
      </c>
      <c r="P13" s="523">
        <f ca="1">-'Growth Rates'!M11*'Cash Flow'!P8</f>
        <v>0</v>
      </c>
      <c r="Q13" s="85"/>
      <c r="R13" s="85"/>
      <c r="S13" s="85"/>
      <c r="T13" s="85"/>
      <c r="U13" s="85"/>
      <c r="V13" s="89"/>
      <c r="W13" s="89"/>
    </row>
    <row r="14" spans="1:23" x14ac:dyDescent="0.25">
      <c r="A14" s="85"/>
      <c r="B14" s="85"/>
      <c r="C14" s="85"/>
      <c r="D14" s="89"/>
      <c r="E14" s="640" t="str">
        <f>'Operating Statement'!E14</f>
        <v>TOTAL VACANCY</v>
      </c>
      <c r="F14" s="641">
        <f ca="1">SUM(F9:F13)</f>
        <v>0</v>
      </c>
      <c r="G14" s="641">
        <f t="shared" ref="G14:P14" ca="1" si="1">SUM(G9:G13)</f>
        <v>0</v>
      </c>
      <c r="H14" s="641">
        <f t="shared" ca="1" si="1"/>
        <v>0</v>
      </c>
      <c r="I14" s="641">
        <f t="shared" ca="1" si="1"/>
        <v>0</v>
      </c>
      <c r="J14" s="641">
        <f t="shared" ca="1" si="1"/>
        <v>0</v>
      </c>
      <c r="K14" s="641">
        <f t="shared" ca="1" si="1"/>
        <v>0</v>
      </c>
      <c r="L14" s="641">
        <f t="shared" ca="1" si="1"/>
        <v>0</v>
      </c>
      <c r="M14" s="641">
        <f t="shared" ca="1" si="1"/>
        <v>0</v>
      </c>
      <c r="N14" s="641">
        <f t="shared" ca="1" si="1"/>
        <v>0</v>
      </c>
      <c r="O14" s="641">
        <f t="shared" ca="1" si="1"/>
        <v>0</v>
      </c>
      <c r="P14" s="641">
        <f t="shared" ca="1" si="1"/>
        <v>0</v>
      </c>
      <c r="Q14" s="88"/>
      <c r="R14" s="85"/>
      <c r="S14" s="85"/>
      <c r="T14" s="85"/>
      <c r="U14" s="85"/>
      <c r="V14" s="89"/>
      <c r="W14" s="89"/>
    </row>
    <row r="15" spans="1:23" x14ac:dyDescent="0.25">
      <c r="A15" s="85"/>
      <c r="B15" s="85"/>
      <c r="C15" s="85"/>
      <c r="D15" s="89"/>
      <c r="E15" s="643" t="str">
        <f>'Operating Statement'!E16</f>
        <v>Effective Rental Income</v>
      </c>
      <c r="F15" s="644">
        <f t="shared" ref="F15:P15" ca="1" si="2">+F8+F14</f>
        <v>0</v>
      </c>
      <c r="G15" s="644">
        <f t="shared" ca="1" si="2"/>
        <v>0</v>
      </c>
      <c r="H15" s="644">
        <f t="shared" ca="1" si="2"/>
        <v>0</v>
      </c>
      <c r="I15" s="644">
        <f t="shared" ca="1" si="2"/>
        <v>0</v>
      </c>
      <c r="J15" s="644">
        <f t="shared" ca="1" si="2"/>
        <v>0</v>
      </c>
      <c r="K15" s="644">
        <f t="shared" ca="1" si="2"/>
        <v>0</v>
      </c>
      <c r="L15" s="644">
        <f t="shared" ca="1" si="2"/>
        <v>0</v>
      </c>
      <c r="M15" s="644">
        <f t="shared" ca="1" si="2"/>
        <v>0</v>
      </c>
      <c r="N15" s="644">
        <f t="shared" ca="1" si="2"/>
        <v>0</v>
      </c>
      <c r="O15" s="644">
        <f t="shared" ca="1" si="2"/>
        <v>0</v>
      </c>
      <c r="P15" s="644">
        <f t="shared" ca="1" si="2"/>
        <v>0</v>
      </c>
      <c r="Q15" s="88"/>
      <c r="R15" s="85"/>
      <c r="S15" s="85"/>
      <c r="T15" s="85"/>
      <c r="U15" s="85"/>
      <c r="V15" s="89"/>
      <c r="W15" s="89"/>
    </row>
    <row r="16" spans="1:23" x14ac:dyDescent="0.25">
      <c r="A16" s="85"/>
      <c r="B16" s="85"/>
      <c r="C16" s="85"/>
      <c r="D16" s="85"/>
      <c r="E16" s="434" t="str">
        <f>'Operating Statement'!E17</f>
        <v>Other Income</v>
      </c>
      <c r="F16" s="520"/>
      <c r="G16" s="520"/>
      <c r="H16" s="520"/>
      <c r="I16" s="520"/>
      <c r="J16" s="520"/>
      <c r="K16" s="520"/>
      <c r="L16" s="520"/>
      <c r="M16" s="520"/>
      <c r="N16" s="520"/>
      <c r="O16" s="520"/>
      <c r="P16" s="520"/>
      <c r="Q16" s="85"/>
      <c r="R16" s="85"/>
      <c r="S16" s="85"/>
      <c r="T16" s="85"/>
      <c r="U16" s="85"/>
      <c r="V16" s="89"/>
      <c r="W16" s="89"/>
    </row>
    <row r="17" spans="1:23" x14ac:dyDescent="0.25">
      <c r="A17" s="85"/>
      <c r="B17" s="85"/>
      <c r="C17" s="85"/>
      <c r="D17" s="85"/>
      <c r="E17" s="398" t="str">
        <f>'Operating Statement'!E18</f>
        <v>Utility Bill-Back</v>
      </c>
      <c r="F17" s="514">
        <f>'Operating Statement'!O18</f>
        <v>0</v>
      </c>
      <c r="G17" s="514">
        <f>'Operating Statement'!Q18</f>
        <v>0</v>
      </c>
      <c r="H17" s="514">
        <f>G17*(1+'Growth Rates'!E13)</f>
        <v>0</v>
      </c>
      <c r="I17" s="514">
        <f>H17*(1+'Growth Rates'!F13)</f>
        <v>0</v>
      </c>
      <c r="J17" s="514">
        <f>I17*(1+'Growth Rates'!G13)</f>
        <v>0</v>
      </c>
      <c r="K17" s="514">
        <f>J17*(1+'Growth Rates'!H13)</f>
        <v>0</v>
      </c>
      <c r="L17" s="514">
        <f>K17*(1+'Growth Rates'!I13)</f>
        <v>0</v>
      </c>
      <c r="M17" s="514">
        <f>L17*(1+'Growth Rates'!J13)</f>
        <v>0</v>
      </c>
      <c r="N17" s="514">
        <f>M17*(1+'Growth Rates'!K13)</f>
        <v>0</v>
      </c>
      <c r="O17" s="514">
        <f>N17*(1+'Growth Rates'!L13)</f>
        <v>0</v>
      </c>
      <c r="P17" s="514">
        <f>O17*(1+'Growth Rates'!M13)</f>
        <v>0</v>
      </c>
      <c r="Q17" s="85"/>
      <c r="R17" s="85"/>
      <c r="S17" s="85"/>
      <c r="T17" s="85"/>
      <c r="U17" s="85"/>
      <c r="V17" s="89"/>
      <c r="W17" s="89"/>
    </row>
    <row r="18" spans="1:23" x14ac:dyDescent="0.25">
      <c r="A18" s="85"/>
      <c r="B18" s="85"/>
      <c r="C18" s="85"/>
      <c r="D18" s="85"/>
      <c r="E18" s="485" t="str">
        <f>'Operating Statement'!E19</f>
        <v>All Other Income</v>
      </c>
      <c r="F18" s="523">
        <f>'Operating Statement'!O19</f>
        <v>0</v>
      </c>
      <c r="G18" s="523">
        <f>'Operating Statement'!Q19</f>
        <v>0</v>
      </c>
      <c r="H18" s="523">
        <f>G18*(1+'Growth Rates'!E13)</f>
        <v>0</v>
      </c>
      <c r="I18" s="523">
        <f>H18*(1+'Growth Rates'!F13)</f>
        <v>0</v>
      </c>
      <c r="J18" s="523">
        <f>I18*(1+'Growth Rates'!G13)</f>
        <v>0</v>
      </c>
      <c r="K18" s="523">
        <f>J18*(1+'Growth Rates'!H13)</f>
        <v>0</v>
      </c>
      <c r="L18" s="523">
        <f>K18*(1+'Growth Rates'!I13)</f>
        <v>0</v>
      </c>
      <c r="M18" s="523">
        <f>L18*(1+'Growth Rates'!J13)</f>
        <v>0</v>
      </c>
      <c r="N18" s="523">
        <f>M18*(1+'Growth Rates'!K13)</f>
        <v>0</v>
      </c>
      <c r="O18" s="523">
        <f>N18*(1+'Growth Rates'!L13)</f>
        <v>0</v>
      </c>
      <c r="P18" s="523">
        <f>O18*(1+'Growth Rates'!M13)</f>
        <v>0</v>
      </c>
      <c r="Q18" s="85"/>
      <c r="R18" s="85"/>
      <c r="S18" s="85"/>
      <c r="T18" s="85"/>
      <c r="U18" s="85"/>
      <c r="V18" s="89"/>
      <c r="W18" s="89"/>
    </row>
    <row r="19" spans="1:23" x14ac:dyDescent="0.25">
      <c r="A19" s="85"/>
      <c r="B19" s="85"/>
      <c r="C19" s="85"/>
      <c r="D19" s="89"/>
      <c r="E19" s="640" t="str">
        <f>'Operating Statement'!E20</f>
        <v>TOTAL OTHER INCOME</v>
      </c>
      <c r="F19" s="641">
        <f>'Operating Statement'!O20</f>
        <v>0</v>
      </c>
      <c r="G19" s="641">
        <f>'Operating Statement'!Q20</f>
        <v>0</v>
      </c>
      <c r="H19" s="641">
        <f>G19*(1+'Growth Rates'!E13)</f>
        <v>0</v>
      </c>
      <c r="I19" s="641">
        <f>H19*(1+'Growth Rates'!F13)</f>
        <v>0</v>
      </c>
      <c r="J19" s="641">
        <f>I19*(1+'Growth Rates'!G13)</f>
        <v>0</v>
      </c>
      <c r="K19" s="641">
        <f>J19*(1+'Growth Rates'!H13)</f>
        <v>0</v>
      </c>
      <c r="L19" s="641">
        <f>K19*(1+'Growth Rates'!I13)</f>
        <v>0</v>
      </c>
      <c r="M19" s="641">
        <f>L19*(1+'Growth Rates'!J13)</f>
        <v>0</v>
      </c>
      <c r="N19" s="641">
        <f>M19*(1+'Growth Rates'!K13)</f>
        <v>0</v>
      </c>
      <c r="O19" s="641">
        <f>N19*(1+'Growth Rates'!L13)</f>
        <v>0</v>
      </c>
      <c r="P19" s="641">
        <f>O19*(1+'Growth Rates'!M13)</f>
        <v>0</v>
      </c>
      <c r="Q19" s="88"/>
      <c r="R19" s="85"/>
      <c r="S19" s="85"/>
      <c r="T19" s="85"/>
      <c r="U19" s="85"/>
      <c r="V19" s="89"/>
      <c r="W19" s="89"/>
    </row>
    <row r="20" spans="1:23" x14ac:dyDescent="0.25">
      <c r="A20" s="85"/>
      <c r="B20" s="85"/>
      <c r="C20" s="85"/>
      <c r="D20" s="89"/>
      <c r="E20" s="643" t="str">
        <f>'Operating Statement'!E21</f>
        <v>EFFECTIVE GROSS INCOME</v>
      </c>
      <c r="F20" s="644">
        <f ca="1">F15+F19</f>
        <v>0</v>
      </c>
      <c r="G20" s="644">
        <f t="shared" ref="G20:P20" ca="1" si="3">G15+G19</f>
        <v>0</v>
      </c>
      <c r="H20" s="644">
        <f t="shared" ca="1" si="3"/>
        <v>0</v>
      </c>
      <c r="I20" s="644">
        <f t="shared" ca="1" si="3"/>
        <v>0</v>
      </c>
      <c r="J20" s="644">
        <f t="shared" ca="1" si="3"/>
        <v>0</v>
      </c>
      <c r="K20" s="644">
        <f t="shared" ca="1" si="3"/>
        <v>0</v>
      </c>
      <c r="L20" s="644">
        <f t="shared" ca="1" si="3"/>
        <v>0</v>
      </c>
      <c r="M20" s="644">
        <f t="shared" ca="1" si="3"/>
        <v>0</v>
      </c>
      <c r="N20" s="644">
        <f t="shared" ca="1" si="3"/>
        <v>0</v>
      </c>
      <c r="O20" s="644">
        <f t="shared" ca="1" si="3"/>
        <v>0</v>
      </c>
      <c r="P20" s="644">
        <f t="shared" ca="1" si="3"/>
        <v>0</v>
      </c>
      <c r="Q20" s="88"/>
      <c r="R20" s="85"/>
      <c r="S20" s="85"/>
      <c r="T20" s="85"/>
      <c r="U20" s="85"/>
      <c r="V20" s="89"/>
      <c r="W20" s="89"/>
    </row>
    <row r="21" spans="1:23" x14ac:dyDescent="0.25">
      <c r="A21" s="85"/>
      <c r="B21" s="85"/>
      <c r="C21" s="85"/>
      <c r="D21" s="89"/>
      <c r="E21" s="1118" t="s">
        <v>419</v>
      </c>
      <c r="F21" s="1119"/>
      <c r="G21" s="1119"/>
      <c r="H21" s="1119"/>
      <c r="I21" s="1119"/>
      <c r="J21" s="1119"/>
      <c r="K21" s="1119"/>
      <c r="L21" s="1119"/>
      <c r="M21" s="1119"/>
      <c r="N21" s="1119"/>
      <c r="O21" s="1119"/>
      <c r="P21" s="1120"/>
      <c r="Q21" s="88"/>
      <c r="R21" s="85"/>
      <c r="S21" s="85"/>
      <c r="T21" s="85"/>
      <c r="U21" s="85"/>
      <c r="V21" s="89"/>
      <c r="W21" s="89"/>
    </row>
    <row r="22" spans="1:23" x14ac:dyDescent="0.25">
      <c r="A22" s="85"/>
      <c r="B22" s="85"/>
      <c r="C22" s="85"/>
      <c r="D22" s="85"/>
      <c r="E22" s="463" t="s">
        <v>426</v>
      </c>
      <c r="F22" s="642">
        <f>-SUM('Operating Statement'!O29:O36)</f>
        <v>0</v>
      </c>
      <c r="G22" s="642">
        <f>-SUM('Operating Statement'!Q29:Q36)</f>
        <v>0</v>
      </c>
      <c r="H22" s="642">
        <f>G22*(1+'Growth Rates'!E16)</f>
        <v>0</v>
      </c>
      <c r="I22" s="642">
        <f>H22*(1+'Growth Rates'!F16)</f>
        <v>0</v>
      </c>
      <c r="J22" s="642">
        <f>I22*(1+'Growth Rates'!G16)</f>
        <v>0</v>
      </c>
      <c r="K22" s="642">
        <f>J22*(1+'Growth Rates'!H16)</f>
        <v>0</v>
      </c>
      <c r="L22" s="642">
        <f>K22*(1+'Growth Rates'!I16)</f>
        <v>0</v>
      </c>
      <c r="M22" s="642">
        <f>L22*(1+'Growth Rates'!J16)</f>
        <v>0</v>
      </c>
      <c r="N22" s="642">
        <f>M22*(1+'Growth Rates'!K16)</f>
        <v>0</v>
      </c>
      <c r="O22" s="642">
        <f>N22*(1+'Growth Rates'!L16)</f>
        <v>0</v>
      </c>
      <c r="P22" s="642">
        <f>O22*(1+'Growth Rates'!M16)</f>
        <v>0</v>
      </c>
      <c r="Q22" s="85"/>
      <c r="R22" s="85"/>
      <c r="S22" s="85"/>
      <c r="T22" s="85"/>
      <c r="U22" s="85"/>
      <c r="V22" s="89"/>
      <c r="W22" s="89"/>
    </row>
    <row r="23" spans="1:23" x14ac:dyDescent="0.25">
      <c r="A23" s="85"/>
      <c r="B23" s="85"/>
      <c r="C23" s="85"/>
      <c r="D23" s="85"/>
      <c r="E23" s="398" t="str">
        <f>'Operating Statement'!E24</f>
        <v>Real Estate Taxes</v>
      </c>
      <c r="F23" s="514">
        <f>-'Operating Statement'!O24</f>
        <v>0</v>
      </c>
      <c r="G23" s="514">
        <f>-'Operating Statement'!Q24</f>
        <v>0</v>
      </c>
      <c r="H23" s="514">
        <f>G23*(1+'Growth Rates'!E17)</f>
        <v>0</v>
      </c>
      <c r="I23" s="514">
        <f>H23*(1+'Growth Rates'!F17)</f>
        <v>0</v>
      </c>
      <c r="J23" s="514">
        <f>I23*(1+'Growth Rates'!G17)</f>
        <v>0</v>
      </c>
      <c r="K23" s="514">
        <f>J23*(1+'Growth Rates'!H17)</f>
        <v>0</v>
      </c>
      <c r="L23" s="514">
        <f>K23*(1+'Growth Rates'!I17)</f>
        <v>0</v>
      </c>
      <c r="M23" s="514">
        <f>L23*(1+'Growth Rates'!J17)</f>
        <v>0</v>
      </c>
      <c r="N23" s="514">
        <f>M23*(1+'Growth Rates'!K17)</f>
        <v>0</v>
      </c>
      <c r="O23" s="514">
        <f>N23*(1+'Growth Rates'!L17)</f>
        <v>0</v>
      </c>
      <c r="P23" s="514">
        <f>O23*(1+'Growth Rates'!M17)</f>
        <v>0</v>
      </c>
      <c r="Q23" s="85"/>
      <c r="R23" s="85"/>
      <c r="S23" s="85"/>
      <c r="T23" s="85"/>
      <c r="U23" s="85"/>
      <c r="V23" s="89"/>
      <c r="W23" s="89"/>
    </row>
    <row r="24" spans="1:23" x14ac:dyDescent="0.25">
      <c r="A24" s="85"/>
      <c r="B24" s="85"/>
      <c r="C24" s="85"/>
      <c r="D24" s="85"/>
      <c r="E24" s="398" t="str">
        <f>'Operating Statement'!E25</f>
        <v>Insurance</v>
      </c>
      <c r="F24" s="514">
        <f>-'Operating Statement'!O25</f>
        <v>0</v>
      </c>
      <c r="G24" s="514">
        <f>-'Operating Statement'!Q25</f>
        <v>0</v>
      </c>
      <c r="H24" s="514">
        <f>G24*(1+'Growth Rates'!E18)</f>
        <v>0</v>
      </c>
      <c r="I24" s="514">
        <f>H24*(1+'Growth Rates'!F18)</f>
        <v>0</v>
      </c>
      <c r="J24" s="514">
        <f>I24*(1+'Growth Rates'!G18)</f>
        <v>0</v>
      </c>
      <c r="K24" s="514">
        <f>J24*(1+'Growth Rates'!H18)</f>
        <v>0</v>
      </c>
      <c r="L24" s="514">
        <f>K24*(1+'Growth Rates'!I18)</f>
        <v>0</v>
      </c>
      <c r="M24" s="514">
        <f>L24*(1+'Growth Rates'!J18)</f>
        <v>0</v>
      </c>
      <c r="N24" s="514">
        <f>M24*(1+'Growth Rates'!K18)</f>
        <v>0</v>
      </c>
      <c r="O24" s="514">
        <f>N24*(1+'Growth Rates'!L18)</f>
        <v>0</v>
      </c>
      <c r="P24" s="514">
        <f>O24*(1+'Growth Rates'!M18)</f>
        <v>0</v>
      </c>
      <c r="Q24" s="85"/>
      <c r="R24" s="85"/>
      <c r="S24" s="85"/>
      <c r="T24" s="85"/>
      <c r="U24" s="85"/>
      <c r="V24" s="89"/>
      <c r="W24" s="89"/>
    </row>
    <row r="25" spans="1:23" x14ac:dyDescent="0.25">
      <c r="A25" s="85"/>
      <c r="B25" s="85"/>
      <c r="C25" s="85"/>
      <c r="D25" s="85"/>
      <c r="E25" s="398" t="s">
        <v>422</v>
      </c>
      <c r="F25" s="514">
        <f>-SUM('Operating Statement'!O26:O28)</f>
        <v>0</v>
      </c>
      <c r="G25" s="514">
        <f>-SUM('Operating Statement'!Q26:Q28)</f>
        <v>0</v>
      </c>
      <c r="H25" s="514">
        <f>G25*(1+'Growth Rates'!E19)</f>
        <v>0</v>
      </c>
      <c r="I25" s="514">
        <f>H25*(1+'Growth Rates'!F19)</f>
        <v>0</v>
      </c>
      <c r="J25" s="514">
        <f>I25*(1+'Growth Rates'!G19)</f>
        <v>0</v>
      </c>
      <c r="K25" s="514">
        <f>J25*(1+'Growth Rates'!H19)</f>
        <v>0</v>
      </c>
      <c r="L25" s="514">
        <f>K25*(1+'Growth Rates'!I19)</f>
        <v>0</v>
      </c>
      <c r="M25" s="514">
        <f>L25*(1+'Growth Rates'!J19)</f>
        <v>0</v>
      </c>
      <c r="N25" s="514">
        <f>M25*(1+'Growth Rates'!K19)</f>
        <v>0</v>
      </c>
      <c r="O25" s="514">
        <f>N25*(1+'Growth Rates'!L19)</f>
        <v>0</v>
      </c>
      <c r="P25" s="514">
        <f>O25*(1+'Growth Rates'!M19)</f>
        <v>0</v>
      </c>
      <c r="Q25" s="85"/>
      <c r="R25" s="85"/>
      <c r="S25" s="85"/>
      <c r="T25" s="85"/>
      <c r="U25" s="85"/>
      <c r="V25" s="89"/>
      <c r="W25" s="89"/>
    </row>
    <row r="26" spans="1:23" x14ac:dyDescent="0.25">
      <c r="A26" s="85"/>
      <c r="B26" s="85"/>
      <c r="C26" s="85"/>
      <c r="D26" s="85"/>
      <c r="E26" s="485" t="str">
        <f>'Operating Statement'!E38</f>
        <v>Management Fee</v>
      </c>
      <c r="F26" s="523">
        <f ca="1">-'Operating Statement'!O38</f>
        <v>0</v>
      </c>
      <c r="G26" s="523">
        <f ca="1">-'Operating Statement'!Q38</f>
        <v>0</v>
      </c>
      <c r="H26" s="523">
        <f ca="1">-H20*'Growth Rates'!$D$20</f>
        <v>0</v>
      </c>
      <c r="I26" s="523">
        <f ca="1">-I20*'Growth Rates'!$D$20</f>
        <v>0</v>
      </c>
      <c r="J26" s="523">
        <f ca="1">-J20*'Growth Rates'!$D$20</f>
        <v>0</v>
      </c>
      <c r="K26" s="523">
        <f ca="1">-K20*'Growth Rates'!$D$20</f>
        <v>0</v>
      </c>
      <c r="L26" s="523">
        <f ca="1">-L20*'Growth Rates'!$D$20</f>
        <v>0</v>
      </c>
      <c r="M26" s="523">
        <f ca="1">-M20*'Growth Rates'!$D$20</f>
        <v>0</v>
      </c>
      <c r="N26" s="523">
        <f ca="1">-N20*'Growth Rates'!$D$20</f>
        <v>0</v>
      </c>
      <c r="O26" s="523">
        <f ca="1">-O20*'Growth Rates'!$D$20</f>
        <v>0</v>
      </c>
      <c r="P26" s="523">
        <f ca="1">-P20*'Growth Rates'!$D$20</f>
        <v>0</v>
      </c>
      <c r="Q26" s="85"/>
      <c r="R26" s="85"/>
      <c r="S26" s="85"/>
      <c r="T26" s="85"/>
      <c r="U26" s="85"/>
      <c r="V26" s="89"/>
      <c r="W26" s="89"/>
    </row>
    <row r="27" spans="1:23" x14ac:dyDescent="0.25">
      <c r="A27" s="85"/>
      <c r="B27" s="85"/>
      <c r="C27" s="85"/>
      <c r="D27" s="89"/>
      <c r="E27" s="490" t="s">
        <v>487</v>
      </c>
      <c r="F27" s="524">
        <f ca="1">SUM(F22:F26)</f>
        <v>0</v>
      </c>
      <c r="G27" s="524">
        <f t="shared" ref="G27:P27" ca="1" si="4">SUM(G22:G26)</f>
        <v>0</v>
      </c>
      <c r="H27" s="524">
        <f t="shared" ca="1" si="4"/>
        <v>0</v>
      </c>
      <c r="I27" s="524">
        <f t="shared" ca="1" si="4"/>
        <v>0</v>
      </c>
      <c r="J27" s="524">
        <f t="shared" ca="1" si="4"/>
        <v>0</v>
      </c>
      <c r="K27" s="524">
        <f t="shared" ca="1" si="4"/>
        <v>0</v>
      </c>
      <c r="L27" s="524">
        <f t="shared" ca="1" si="4"/>
        <v>0</v>
      </c>
      <c r="M27" s="524">
        <f t="shared" ca="1" si="4"/>
        <v>0</v>
      </c>
      <c r="N27" s="524">
        <f t="shared" ca="1" si="4"/>
        <v>0</v>
      </c>
      <c r="O27" s="524">
        <f t="shared" ca="1" si="4"/>
        <v>0</v>
      </c>
      <c r="P27" s="524">
        <f t="shared" ca="1" si="4"/>
        <v>0</v>
      </c>
      <c r="Q27" s="88"/>
      <c r="R27" s="85"/>
      <c r="S27" s="85"/>
      <c r="T27" s="85"/>
      <c r="U27" s="85"/>
      <c r="V27" s="89"/>
      <c r="W27" s="89"/>
    </row>
    <row r="28" spans="1:23" x14ac:dyDescent="0.25">
      <c r="A28" s="85"/>
      <c r="B28" s="85"/>
      <c r="C28" s="85"/>
      <c r="D28" s="89"/>
      <c r="E28" s="640" t="str">
        <f>+'Operating Statement'!E37</f>
        <v>Operating Reserves</v>
      </c>
      <c r="F28" s="641">
        <f>-'Operating Statement'!$O$37</f>
        <v>0</v>
      </c>
      <c r="G28" s="641">
        <f>-'Operating Statement'!$Q$37</f>
        <v>0</v>
      </c>
      <c r="H28" s="641">
        <f>-'Operating Statement'!$Q$37</f>
        <v>0</v>
      </c>
      <c r="I28" s="641">
        <f>-'Operating Statement'!$Q$37</f>
        <v>0</v>
      </c>
      <c r="J28" s="641">
        <f>-'Operating Statement'!$Q$37</f>
        <v>0</v>
      </c>
      <c r="K28" s="641">
        <f>-'Operating Statement'!$Q$37</f>
        <v>0</v>
      </c>
      <c r="L28" s="641">
        <f>-'Operating Statement'!$Q$37</f>
        <v>0</v>
      </c>
      <c r="M28" s="641">
        <f>-'Operating Statement'!$Q$37</f>
        <v>0</v>
      </c>
      <c r="N28" s="641">
        <f>-'Operating Statement'!$Q$37</f>
        <v>0</v>
      </c>
      <c r="O28" s="641">
        <f>-'Operating Statement'!$Q$37</f>
        <v>0</v>
      </c>
      <c r="P28" s="641">
        <f>-'Operating Statement'!$Q$37</f>
        <v>0</v>
      </c>
      <c r="Q28" s="88"/>
      <c r="R28" s="85"/>
      <c r="S28" s="85"/>
      <c r="T28" s="85"/>
      <c r="U28" s="85"/>
      <c r="V28" s="89"/>
      <c r="W28" s="89"/>
    </row>
    <row r="29" spans="1:23" x14ac:dyDescent="0.25">
      <c r="A29" s="85"/>
      <c r="B29" s="85"/>
      <c r="C29" s="85"/>
      <c r="D29" s="89"/>
      <c r="E29" s="643" t="str">
        <f>'Operating Statement'!E41</f>
        <v>NET OPERATING INCOME</v>
      </c>
      <c r="F29" s="644">
        <f ca="1">+F20+F27+F28</f>
        <v>0</v>
      </c>
      <c r="G29" s="644">
        <f t="shared" ref="G29:P29" ca="1" si="5">+G20+G27+G28</f>
        <v>0</v>
      </c>
      <c r="H29" s="644">
        <f t="shared" ca="1" si="5"/>
        <v>0</v>
      </c>
      <c r="I29" s="644">
        <f t="shared" ca="1" si="5"/>
        <v>0</v>
      </c>
      <c r="J29" s="644">
        <f t="shared" ca="1" si="5"/>
        <v>0</v>
      </c>
      <c r="K29" s="644">
        <f t="shared" ca="1" si="5"/>
        <v>0</v>
      </c>
      <c r="L29" s="644">
        <f t="shared" ca="1" si="5"/>
        <v>0</v>
      </c>
      <c r="M29" s="644">
        <f t="shared" ca="1" si="5"/>
        <v>0</v>
      </c>
      <c r="N29" s="644">
        <f t="shared" ca="1" si="5"/>
        <v>0</v>
      </c>
      <c r="O29" s="644">
        <f t="shared" ca="1" si="5"/>
        <v>0</v>
      </c>
      <c r="P29" s="644">
        <f t="shared" ca="1" si="5"/>
        <v>0</v>
      </c>
      <c r="Q29" s="88"/>
      <c r="R29" s="85"/>
      <c r="S29" s="85"/>
      <c r="T29" s="85"/>
      <c r="U29" s="85"/>
      <c r="V29" s="89"/>
      <c r="W29" s="89"/>
    </row>
    <row r="30" spans="1:23" x14ac:dyDescent="0.25">
      <c r="A30" s="85"/>
      <c r="B30" s="85"/>
      <c r="C30" s="85"/>
      <c r="D30" s="85"/>
      <c r="E30" s="676" t="str">
        <f>IF(SwitchCapEx = "Yes","Renovation Costs","")</f>
        <v/>
      </c>
      <c r="F30" s="677"/>
      <c r="G30" s="678" t="str">
        <f>+IF(SwitchCapEx = "Yes",-Input!E27,"")</f>
        <v/>
      </c>
      <c r="H30" s="678" t="str">
        <f>+IF(SwitchCapEx = "Yes",-Input!F27,"")</f>
        <v/>
      </c>
      <c r="I30" s="678" t="str">
        <f>+IF(SwitchCapEx = "Yes",-Input!G27,"")</f>
        <v/>
      </c>
      <c r="J30" s="678" t="str">
        <f>+IF(SwitchCapEx = "Yes",-Input!H27,"")</f>
        <v/>
      </c>
      <c r="K30" s="678" t="str">
        <f>+IF(SwitchCapEx = "Yes",-Input!I27,"")</f>
        <v/>
      </c>
      <c r="L30" s="678" t="str">
        <f>+IF(SwitchCapEx = "Yes",-Input!J27,"")</f>
        <v/>
      </c>
      <c r="M30" s="678" t="str">
        <f>+IF(SwitchCapEx = "Yes",-Input!K27,"")</f>
        <v/>
      </c>
      <c r="N30" s="678" t="str">
        <f>+IF(SwitchCapEx = "Yes",-Input!L27,"")</f>
        <v/>
      </c>
      <c r="O30" s="678" t="str">
        <f>+IF(SwitchCapEx = "Yes",-Input!M27,"")</f>
        <v/>
      </c>
      <c r="P30" s="678" t="str">
        <f>+IF(SwitchCapEx = "Yes",-Input!N27,"")</f>
        <v/>
      </c>
      <c r="Q30" s="85"/>
      <c r="R30" s="85"/>
      <c r="S30" s="85"/>
      <c r="T30" s="85"/>
      <c r="U30" s="85"/>
      <c r="V30" s="89"/>
      <c r="W30" s="89"/>
    </row>
    <row r="31" spans="1:23" x14ac:dyDescent="0.25">
      <c r="A31" s="85"/>
      <c r="B31" s="85"/>
      <c r="C31" s="85"/>
      <c r="D31" s="89"/>
      <c r="E31" s="1121" t="s">
        <v>488</v>
      </c>
      <c r="F31" s="1122"/>
      <c r="G31" s="1122"/>
      <c r="H31" s="1122"/>
      <c r="I31" s="1122"/>
      <c r="J31" s="1122"/>
      <c r="K31" s="1122"/>
      <c r="L31" s="1122"/>
      <c r="M31" s="1122"/>
      <c r="N31" s="1122"/>
      <c r="O31" s="1122"/>
      <c r="P31" s="1123"/>
      <c r="Q31" s="88"/>
      <c r="R31" s="85"/>
      <c r="S31" s="85"/>
      <c r="T31" s="85"/>
      <c r="U31" s="85"/>
      <c r="V31" s="89"/>
      <c r="W31" s="89"/>
    </row>
    <row r="32" spans="1:23" x14ac:dyDescent="0.25">
      <c r="A32" s="85"/>
      <c r="B32" s="85"/>
      <c r="C32" s="85"/>
      <c r="D32" s="85"/>
      <c r="E32" s="679" t="s">
        <v>489</v>
      </c>
      <c r="F32" s="678">
        <f>IF(Priced="Unpriced", "-", -Input!Q21)</f>
        <v>0</v>
      </c>
      <c r="G32" s="680"/>
      <c r="H32" s="680"/>
      <c r="I32" s="680"/>
      <c r="J32" s="680"/>
      <c r="K32" s="680"/>
      <c r="L32" s="680"/>
      <c r="M32" s="680"/>
      <c r="N32" s="680"/>
      <c r="O32" s="680"/>
      <c r="P32" s="680" t="str">
        <f ca="1">IFERROR(P29/Exit_CAP,"")</f>
        <v/>
      </c>
      <c r="Q32" s="85"/>
      <c r="R32" s="85"/>
      <c r="S32" s="85"/>
      <c r="T32" s="85"/>
      <c r="U32" s="85"/>
      <c r="V32" s="89"/>
      <c r="W32" s="89"/>
    </row>
    <row r="33" spans="1:23" x14ac:dyDescent="0.25">
      <c r="A33" s="85"/>
      <c r="B33" s="85"/>
      <c r="C33" s="85"/>
      <c r="D33" s="89"/>
      <c r="E33" s="643" t="s">
        <v>490</v>
      </c>
      <c r="F33" s="644"/>
      <c r="G33" s="644">
        <f ca="1">SUM(G29:G32)</f>
        <v>0</v>
      </c>
      <c r="H33" s="644">
        <f t="shared" ref="H33:O33" ca="1" si="6">SUM(H29:H32)</f>
        <v>0</v>
      </c>
      <c r="I33" s="644">
        <f t="shared" ca="1" si="6"/>
        <v>0</v>
      </c>
      <c r="J33" s="644">
        <f t="shared" ca="1" si="6"/>
        <v>0</v>
      </c>
      <c r="K33" s="644">
        <f t="shared" ca="1" si="6"/>
        <v>0</v>
      </c>
      <c r="L33" s="644">
        <f t="shared" ca="1" si="6"/>
        <v>0</v>
      </c>
      <c r="M33" s="644">
        <f t="shared" ca="1" si="6"/>
        <v>0</v>
      </c>
      <c r="N33" s="644">
        <f t="shared" ca="1" si="6"/>
        <v>0</v>
      </c>
      <c r="O33" s="644">
        <f t="shared" ca="1" si="6"/>
        <v>0</v>
      </c>
      <c r="P33" s="644">
        <f ca="1">SUM(P29:P32)</f>
        <v>0</v>
      </c>
      <c r="Q33" s="88"/>
      <c r="R33" s="85"/>
      <c r="S33" s="85"/>
      <c r="T33" s="85"/>
      <c r="U33" s="85"/>
      <c r="V33" s="89"/>
      <c r="W33" s="89"/>
    </row>
    <row r="34" spans="1:23" x14ac:dyDescent="0.25">
      <c r="A34" s="85"/>
      <c r="B34" s="85"/>
      <c r="C34" s="85"/>
      <c r="D34" s="89"/>
      <c r="E34" s="1118" t="s">
        <v>194</v>
      </c>
      <c r="F34" s="1119"/>
      <c r="G34" s="1119"/>
      <c r="H34" s="1119"/>
      <c r="I34" s="1119"/>
      <c r="J34" s="1119"/>
      <c r="K34" s="1119"/>
      <c r="L34" s="1119"/>
      <c r="M34" s="1119"/>
      <c r="N34" s="1119"/>
      <c r="O34" s="1119"/>
      <c r="P34" s="1120"/>
      <c r="Q34" s="88"/>
      <c r="R34" s="85"/>
      <c r="S34" s="85"/>
      <c r="T34" s="85"/>
      <c r="U34" s="85"/>
      <c r="V34" s="89"/>
      <c r="W34" s="89"/>
    </row>
    <row r="35" spans="1:23" x14ac:dyDescent="0.25">
      <c r="A35" s="85"/>
      <c r="B35" s="85"/>
      <c r="C35" s="85"/>
      <c r="D35" s="85"/>
      <c r="E35" s="463" t="s">
        <v>374</v>
      </c>
      <c r="F35" s="642" cm="1">
        <f t="array" aca="1" ref="F35" ca="1">IF(Acq_Financing_Type_Switch="All Cash",0,Current_Loan_Balance)+IF(Refi_Switch="Yes",Mezz_Loan_Balance,0)</f>
        <v>0</v>
      </c>
      <c r="G35" s="642" t="str">
        <f>IF(Acq_Financing_Type_Switch="All Cash",0,'Debt Input'!T32)</f>
        <v/>
      </c>
      <c r="H35" s="642">
        <f>IF(Acq_Financing_Type_Switch="All Cash",0,'Debt Input'!U32)</f>
        <v>0</v>
      </c>
      <c r="I35" s="642">
        <f>IF(Acq_Financing_Type_Switch="All Cash",0,'Debt Input'!V32)</f>
        <v>0</v>
      </c>
      <c r="J35" s="642">
        <f>IF(Acq_Financing_Type_Switch="All Cash",0,'Debt Input'!W32)</f>
        <v>0</v>
      </c>
      <c r="K35" s="642">
        <f>IF(Acq_Financing_Type_Switch="All Cash",0,'Debt Input'!X32)</f>
        <v>0</v>
      </c>
      <c r="L35" s="642">
        <f>IF(Acq_Financing_Type_Switch="All Cash",0,'Debt Input'!Y32)</f>
        <v>0</v>
      </c>
      <c r="M35" s="642">
        <f>IF(Acq_Financing_Type_Switch="All Cash",0,'Debt Input'!Z32)</f>
        <v>0</v>
      </c>
      <c r="N35" s="642">
        <f>IF(Acq_Financing_Type_Switch="All Cash",0,'Debt Input'!AA32)</f>
        <v>0</v>
      </c>
      <c r="O35" s="642">
        <f>IF(Acq_Financing_Type_Switch="All Cash",0,'Debt Input'!AB32)</f>
        <v>0</v>
      </c>
      <c r="P35" s="642">
        <f>IF(Acq_Financing_Type_Switch="All Cash",0,'Debt Input'!AC32)</f>
        <v>0</v>
      </c>
      <c r="Q35" s="85"/>
      <c r="R35" s="85"/>
      <c r="S35" s="85"/>
      <c r="T35" s="85"/>
      <c r="U35" s="85"/>
      <c r="V35" s="89"/>
      <c r="W35" s="89"/>
    </row>
    <row r="36" spans="1:23" x14ac:dyDescent="0.25">
      <c r="A36" s="85"/>
      <c r="B36" s="85"/>
      <c r="C36" s="85"/>
      <c r="D36" s="85"/>
      <c r="E36" s="398" t="s">
        <v>230</v>
      </c>
      <c r="F36" s="514"/>
      <c r="G36" s="514">
        <f>IF(Acq_Financing_Type_Switch="All Cash",0,'Debt Input'!T33)</f>
        <v>0</v>
      </c>
      <c r="H36" s="514">
        <f>IF(Acq_Financing_Type_Switch="All Cash",0,'Debt Input'!U33)</f>
        <v>0</v>
      </c>
      <c r="I36" s="514">
        <f>IF(Acq_Financing_Type_Switch="All Cash",0,'Debt Input'!V33)</f>
        <v>0</v>
      </c>
      <c r="J36" s="514">
        <f>IF(Acq_Financing_Type_Switch="All Cash",0,'Debt Input'!W33)</f>
        <v>0</v>
      </c>
      <c r="K36" s="514">
        <f>IF(Acq_Financing_Type_Switch="All Cash",0,'Debt Input'!X33)</f>
        <v>0</v>
      </c>
      <c r="L36" s="514">
        <f>IF(Acq_Financing_Type_Switch="All Cash",0,'Debt Input'!Y33)</f>
        <v>0</v>
      </c>
      <c r="M36" s="514">
        <f>IF(Acq_Financing_Type_Switch="All Cash",0,'Debt Input'!Z33)</f>
        <v>0</v>
      </c>
      <c r="N36" s="514">
        <f>IF(Acq_Financing_Type_Switch="All Cash",0,'Debt Input'!AA33)</f>
        <v>0</v>
      </c>
      <c r="O36" s="514">
        <f>IF(Acq_Financing_Type_Switch="All Cash",0,'Debt Input'!AB33)</f>
        <v>0</v>
      </c>
      <c r="P36" s="514">
        <f>IF(Acq_Financing_Type_Switch="All Cash",0,'Debt Input'!AC33)</f>
        <v>0</v>
      </c>
      <c r="Q36" s="85"/>
      <c r="R36" s="85"/>
      <c r="S36" s="85"/>
      <c r="T36" s="85"/>
      <c r="U36" s="85"/>
      <c r="V36" s="89"/>
      <c r="W36" s="89"/>
    </row>
    <row r="37" spans="1:23" x14ac:dyDescent="0.25">
      <c r="A37" s="85"/>
      <c r="B37" s="85"/>
      <c r="C37" s="85"/>
      <c r="D37" s="85"/>
      <c r="E37" s="398" t="s">
        <v>491</v>
      </c>
      <c r="F37" s="514">
        <f>-Current_Loan_Origination_Fee-'Debt Input'!J34*'Debt Input'!J19</f>
        <v>0</v>
      </c>
      <c r="G37" s="514" t="e">
        <f>IF(Acq_Financing_Type_Switch="All Cash",0,'Debt Input'!T34)</f>
        <v>#VALUE!</v>
      </c>
      <c r="H37" s="514">
        <f>IF(Acq_Financing_Type_Switch="All Cash",0,'Debt Input'!U34)</f>
        <v>0</v>
      </c>
      <c r="I37" s="514">
        <f>IF(Acq_Financing_Type_Switch="All Cash",0,'Debt Input'!V34)</f>
        <v>0</v>
      </c>
      <c r="J37" s="514">
        <f>IF(Acq_Financing_Type_Switch="All Cash",0,'Debt Input'!W34)</f>
        <v>0</v>
      </c>
      <c r="K37" s="514">
        <f>IF(Acq_Financing_Type_Switch="All Cash",0,'Debt Input'!X34)</f>
        <v>0</v>
      </c>
      <c r="L37" s="514">
        <f>IF(Acq_Financing_Type_Switch="All Cash",0,'Debt Input'!Y34)</f>
        <v>0</v>
      </c>
      <c r="M37" s="514">
        <f>IF(Acq_Financing_Type_Switch="All Cash",0,'Debt Input'!Z34)</f>
        <v>0</v>
      </c>
      <c r="N37" s="514">
        <f>IF(Acq_Financing_Type_Switch="All Cash",0,'Debt Input'!AA34)</f>
        <v>0</v>
      </c>
      <c r="O37" s="514">
        <f>IF(Acq_Financing_Type_Switch="All Cash",0,'Debt Input'!AB34)</f>
        <v>0</v>
      </c>
      <c r="P37" s="514">
        <f>IF(Acq_Financing_Type_Switch="All Cash",0,'Debt Input'!AC34)</f>
        <v>0</v>
      </c>
      <c r="Q37" s="85"/>
      <c r="R37" s="85"/>
      <c r="S37" s="85"/>
      <c r="T37" s="85"/>
      <c r="U37" s="85"/>
      <c r="V37" s="89"/>
      <c r="W37" s="89"/>
    </row>
    <row r="38" spans="1:23" x14ac:dyDescent="0.25">
      <c r="A38" s="85"/>
      <c r="B38" s="85"/>
      <c r="C38" s="85"/>
      <c r="D38" s="85"/>
      <c r="E38" s="398" t="s">
        <v>492</v>
      </c>
      <c r="F38" s="514"/>
      <c r="G38" s="514">
        <f>IF(Acq_Financing_Type_Switch="All Cash",0,'Debt Input'!T35)</f>
        <v>0</v>
      </c>
      <c r="H38" s="514">
        <f>IF(Acq_Financing_Type_Switch="All Cash",0,'Debt Input'!U35)</f>
        <v>0</v>
      </c>
      <c r="I38" s="514">
        <f>IF(Acq_Financing_Type_Switch="All Cash",0,'Debt Input'!V35)</f>
        <v>0</v>
      </c>
      <c r="J38" s="514">
        <f>IF(Acq_Financing_Type_Switch="All Cash",0,'Debt Input'!W35)</f>
        <v>0</v>
      </c>
      <c r="K38" s="514">
        <f>IF(Acq_Financing_Type_Switch="All Cash",0,'Debt Input'!X35)</f>
        <v>0</v>
      </c>
      <c r="L38" s="514">
        <f>IF(Acq_Financing_Type_Switch="All Cash",0,'Debt Input'!Y35)</f>
        <v>0</v>
      </c>
      <c r="M38" s="514">
        <f>IF(Acq_Financing_Type_Switch="All Cash",0,'Debt Input'!Z35)</f>
        <v>0</v>
      </c>
      <c r="N38" s="514">
        <f>IF(Acq_Financing_Type_Switch="All Cash",0,'Debt Input'!AA35)</f>
        <v>0</v>
      </c>
      <c r="O38" s="514">
        <f>IF(Acq_Financing_Type_Switch="All Cash",0,'Debt Input'!AB35)</f>
        <v>0</v>
      </c>
      <c r="P38" s="514">
        <f>IF(Acq_Financing_Type_Switch="All Cash",0,'Debt Input'!AC35)</f>
        <v>0</v>
      </c>
      <c r="Q38" s="85"/>
      <c r="R38" s="85"/>
      <c r="S38" s="85"/>
      <c r="T38" s="85"/>
      <c r="U38" s="85"/>
      <c r="V38" s="89"/>
      <c r="W38" s="89"/>
    </row>
    <row r="39" spans="1:23" x14ac:dyDescent="0.25">
      <c r="A39" s="85"/>
      <c r="B39" s="85"/>
      <c r="C39" s="85"/>
      <c r="D39" s="85"/>
      <c r="E39" s="398" t="s">
        <v>493</v>
      </c>
      <c r="F39" s="514"/>
      <c r="G39" s="514">
        <v>0</v>
      </c>
      <c r="H39" s="514">
        <v>0</v>
      </c>
      <c r="I39" s="514">
        <v>0</v>
      </c>
      <c r="J39" s="514">
        <v>0</v>
      </c>
      <c r="K39" s="514">
        <v>0</v>
      </c>
      <c r="L39" s="514">
        <v>0</v>
      </c>
      <c r="M39" s="514">
        <v>0</v>
      </c>
      <c r="N39" s="514">
        <v>0</v>
      </c>
      <c r="O39" s="514">
        <v>0</v>
      </c>
      <c r="P39" s="514">
        <f ca="1">IFERROR(-P32*Cost_of_Sale,0)</f>
        <v>0</v>
      </c>
      <c r="Q39" s="85"/>
      <c r="R39" s="85"/>
      <c r="S39" s="85"/>
      <c r="T39" s="85"/>
      <c r="U39" s="85"/>
      <c r="V39" s="89"/>
      <c r="W39" s="89"/>
    </row>
    <row r="40" spans="1:23" x14ac:dyDescent="0.25">
      <c r="A40" s="85"/>
      <c r="B40" s="85"/>
      <c r="C40" s="85"/>
      <c r="D40" s="85"/>
      <c r="E40" s="398" t="s">
        <v>494</v>
      </c>
      <c r="F40" s="514"/>
      <c r="G40" s="514">
        <f>IF(Acq_Financing_Type_Switch="All Cash",0,'Debt Input'!T30)</f>
        <v>0</v>
      </c>
      <c r="H40" s="514">
        <f ca="1">IF(Acq_Financing_Type_Switch="All Cash",0,'Debt Input'!U30)</f>
        <v>0</v>
      </c>
      <c r="I40" s="514">
        <f ca="1">IF(Acq_Financing_Type_Switch="All Cash",0,'Debt Input'!V30)</f>
        <v>0</v>
      </c>
      <c r="J40" s="514">
        <f ca="1">IF(Acq_Financing_Type_Switch="All Cash",0,'Debt Input'!W30)</f>
        <v>0</v>
      </c>
      <c r="K40" s="514">
        <f ca="1">IF(Acq_Financing_Type_Switch="All Cash",0,'Debt Input'!X30)</f>
        <v>0</v>
      </c>
      <c r="L40" s="514">
        <f ca="1">IF(Acq_Financing_Type_Switch="All Cash",0,'Debt Input'!Y30)</f>
        <v>0</v>
      </c>
      <c r="M40" s="514">
        <f ca="1">IF(Acq_Financing_Type_Switch="All Cash",0,'Debt Input'!Z30)</f>
        <v>0</v>
      </c>
      <c r="N40" s="514">
        <f ca="1">IF(Acq_Financing_Type_Switch="All Cash",0,'Debt Input'!AA30)</f>
        <v>0</v>
      </c>
      <c r="O40" s="514">
        <f ca="1">IF(Acq_Financing_Type_Switch="All Cash",0,'Debt Input'!AB30)</f>
        <v>0</v>
      </c>
      <c r="P40" s="514">
        <f ca="1">IF(Acq_Financing_Type_Switch="All Cash",0,'Debt Input'!AC30)</f>
        <v>0</v>
      </c>
      <c r="Q40" s="85"/>
      <c r="R40" s="85"/>
      <c r="S40" s="85"/>
      <c r="T40" s="85"/>
      <c r="U40" s="85"/>
      <c r="V40" s="89"/>
      <c r="W40" s="89"/>
    </row>
    <row r="41" spans="1:23" x14ac:dyDescent="0.25">
      <c r="A41" s="85"/>
      <c r="B41" s="85"/>
      <c r="C41" s="85"/>
      <c r="D41" s="85"/>
      <c r="E41" s="485" t="s">
        <v>495</v>
      </c>
      <c r="F41" s="523"/>
      <c r="G41" s="523">
        <f>IF(Acq_Financing_Type_Switch="All Cash",0,'Debt Input'!T31)</f>
        <v>0</v>
      </c>
      <c r="H41" s="523">
        <f ca="1">IF(Acq_Financing_Type_Switch="All Cash",0,'Debt Input'!U31)</f>
        <v>0</v>
      </c>
      <c r="I41" s="523">
        <f ca="1">IF(Acq_Financing_Type_Switch="All Cash",0,'Debt Input'!V31)</f>
        <v>0</v>
      </c>
      <c r="J41" s="523">
        <f ca="1">IF(Acq_Financing_Type_Switch="All Cash",0,'Debt Input'!W31)</f>
        <v>0</v>
      </c>
      <c r="K41" s="523">
        <f ca="1">IF(Acq_Financing_Type_Switch="All Cash",0,'Debt Input'!X31)</f>
        <v>0</v>
      </c>
      <c r="L41" s="523">
        <f ca="1">IF(Acq_Financing_Type_Switch="All Cash",0,'Debt Input'!Y31)</f>
        <v>0</v>
      </c>
      <c r="M41" s="523">
        <f ca="1">IF(Acq_Financing_Type_Switch="All Cash",0,'Debt Input'!Z31)</f>
        <v>0</v>
      </c>
      <c r="N41" s="523">
        <f ca="1">IF(Acq_Financing_Type_Switch="All Cash",0,'Debt Input'!AA31)</f>
        <v>0</v>
      </c>
      <c r="O41" s="523">
        <f ca="1">IF(Acq_Financing_Type_Switch="All Cash",0,'Debt Input'!AB31)</f>
        <v>0</v>
      </c>
      <c r="P41" s="523">
        <f ca="1">IF(Acq_Financing_Type_Switch="All Cash",0,'Debt Input'!AC31)</f>
        <v>0</v>
      </c>
      <c r="Q41" s="85"/>
      <c r="R41" s="85"/>
      <c r="S41" s="85"/>
      <c r="T41" s="85"/>
      <c r="U41" s="85"/>
      <c r="V41" s="89"/>
      <c r="W41" s="89"/>
    </row>
    <row r="42" spans="1:23" x14ac:dyDescent="0.25">
      <c r="A42" s="85"/>
      <c r="B42" s="85"/>
      <c r="C42" s="85"/>
      <c r="D42" s="89"/>
      <c r="E42" s="643" t="s">
        <v>496</v>
      </c>
      <c r="F42" s="644">
        <f ca="1">F32+SUM(F35:F41)</f>
        <v>0</v>
      </c>
      <c r="G42" s="644" t="e">
        <f t="shared" ref="G42:O42" ca="1" si="7">SUM(G33:G41)</f>
        <v>#VALUE!</v>
      </c>
      <c r="H42" s="644">
        <f t="shared" ca="1" si="7"/>
        <v>0</v>
      </c>
      <c r="I42" s="644">
        <f t="shared" ca="1" si="7"/>
        <v>0</v>
      </c>
      <c r="J42" s="644">
        <f t="shared" ca="1" si="7"/>
        <v>0</v>
      </c>
      <c r="K42" s="644">
        <f t="shared" ca="1" si="7"/>
        <v>0</v>
      </c>
      <c r="L42" s="644">
        <f t="shared" ca="1" si="7"/>
        <v>0</v>
      </c>
      <c r="M42" s="644">
        <f t="shared" ca="1" si="7"/>
        <v>0</v>
      </c>
      <c r="N42" s="644">
        <f t="shared" ca="1" si="7"/>
        <v>0</v>
      </c>
      <c r="O42" s="644">
        <f t="shared" ca="1" si="7"/>
        <v>0</v>
      </c>
      <c r="P42" s="644">
        <f ca="1">SUM(P33:P41)</f>
        <v>0</v>
      </c>
      <c r="Q42" s="88"/>
      <c r="R42" s="85"/>
      <c r="S42" s="85"/>
      <c r="T42" s="85"/>
      <c r="U42" s="85"/>
      <c r="V42" s="89"/>
      <c r="W42" s="89"/>
    </row>
    <row r="43" spans="1:23" x14ac:dyDescent="0.25">
      <c r="A43" s="85"/>
      <c r="B43" s="85"/>
      <c r="C43" s="85"/>
      <c r="D43" s="85"/>
      <c r="E43" s="676" t="s">
        <v>497</v>
      </c>
      <c r="F43" s="501"/>
      <c r="G43" s="681" t="str">
        <f t="shared" ref="G43:P43" ca="1" si="8">IFERROR(-G29/SUM(G40:G41),"")</f>
        <v/>
      </c>
      <c r="H43" s="681" t="str">
        <f t="shared" ca="1" si="8"/>
        <v/>
      </c>
      <c r="I43" s="681" t="str">
        <f t="shared" ca="1" si="8"/>
        <v/>
      </c>
      <c r="J43" s="681" t="str">
        <f t="shared" ca="1" si="8"/>
        <v/>
      </c>
      <c r="K43" s="681" t="str">
        <f t="shared" ca="1" si="8"/>
        <v/>
      </c>
      <c r="L43" s="681" t="str">
        <f t="shared" ca="1" si="8"/>
        <v/>
      </c>
      <c r="M43" s="681" t="str">
        <f t="shared" ca="1" si="8"/>
        <v/>
      </c>
      <c r="N43" s="681" t="str">
        <f t="shared" ca="1" si="8"/>
        <v/>
      </c>
      <c r="O43" s="681" t="str">
        <f t="shared" ca="1" si="8"/>
        <v/>
      </c>
      <c r="P43" s="681" t="str">
        <f t="shared" ca="1" si="8"/>
        <v/>
      </c>
      <c r="Q43" s="85"/>
      <c r="R43" s="85"/>
      <c r="S43" s="85"/>
      <c r="T43" s="85"/>
      <c r="U43" s="85"/>
      <c r="V43" s="89"/>
      <c r="W43" s="89"/>
    </row>
    <row r="44" spans="1:23" x14ac:dyDescent="0.25">
      <c r="A44" s="85"/>
      <c r="B44" s="85"/>
      <c r="C44" s="85"/>
      <c r="D44" s="89"/>
      <c r="E44" s="1121" t="s">
        <v>498</v>
      </c>
      <c r="F44" s="1122"/>
      <c r="G44" s="1122"/>
      <c r="H44" s="1122"/>
      <c r="I44" s="1122"/>
      <c r="J44" s="1122"/>
      <c r="K44" s="1122"/>
      <c r="L44" s="1122"/>
      <c r="M44" s="1122"/>
      <c r="N44" s="1122"/>
      <c r="O44" s="1122"/>
      <c r="P44" s="1123"/>
      <c r="Q44" s="88"/>
      <c r="R44" s="85"/>
      <c r="S44" s="85"/>
      <c r="T44" s="85"/>
      <c r="U44" s="85"/>
      <c r="V44" s="89"/>
      <c r="W44" s="89"/>
    </row>
    <row r="45" spans="1:23" x14ac:dyDescent="0.25">
      <c r="A45" s="85"/>
      <c r="B45" s="85"/>
      <c r="C45" s="85"/>
      <c r="D45" s="85"/>
      <c r="E45" s="463" t="s">
        <v>499</v>
      </c>
      <c r="F45" s="437"/>
      <c r="G45" s="682" t="e">
        <f>IF($E$45=" "," ",-G32/$F$32)</f>
        <v>#DIV/0!</v>
      </c>
      <c r="H45" s="682"/>
      <c r="I45" s="682"/>
      <c r="J45" s="683">
        <f ca="1">IFERROR(F56,0)</f>
        <v>0</v>
      </c>
      <c r="K45" s="683">
        <f ca="1">IFERROR(F57,0)</f>
        <v>0</v>
      </c>
      <c r="L45" s="683">
        <f ca="1">IFERROR(F58,0)</f>
        <v>0</v>
      </c>
      <c r="M45" s="683">
        <f ca="1">IFERROR(F59,0)</f>
        <v>0</v>
      </c>
      <c r="N45" s="683">
        <f ca="1">IFERROR(F60,0)</f>
        <v>0</v>
      </c>
      <c r="O45" s="683">
        <f ca="1">IFERROR(F61,0)</f>
        <v>0</v>
      </c>
      <c r="P45" s="683">
        <f ca="1">IFERROR(F62,0)</f>
        <v>0</v>
      </c>
      <c r="Q45" s="85"/>
      <c r="R45" s="85"/>
      <c r="S45" s="85"/>
      <c r="T45" s="85"/>
      <c r="U45" s="85"/>
      <c r="V45" s="89"/>
      <c r="W45" s="89"/>
    </row>
    <row r="46" spans="1:23" x14ac:dyDescent="0.25">
      <c r="A46" s="85"/>
      <c r="B46" s="85"/>
      <c r="C46" s="85"/>
      <c r="D46" s="85"/>
      <c r="E46" s="398" t="s">
        <v>500</v>
      </c>
      <c r="F46" s="395"/>
      <c r="G46" s="517" t="e">
        <f ca="1">IF($E$46=" "," ",-G42/$F$42)</f>
        <v>#VALUE!</v>
      </c>
      <c r="H46" s="517"/>
      <c r="I46" s="517"/>
      <c r="J46" s="518">
        <f ca="1">IFERROR(F69,0)</f>
        <v>0</v>
      </c>
      <c r="K46" s="518">
        <f ca="1">IFERROR(F70,0)</f>
        <v>0</v>
      </c>
      <c r="L46" s="518">
        <f ca="1">IFERROR(F71,0)</f>
        <v>0</v>
      </c>
      <c r="M46" s="518">
        <f ca="1">IFERROR(F72,0)</f>
        <v>0</v>
      </c>
      <c r="N46" s="518">
        <f ca="1">IFERROR(F73,0)</f>
        <v>0</v>
      </c>
      <c r="O46" s="518">
        <f ca="1">IFERROR(F74,0)</f>
        <v>0</v>
      </c>
      <c r="P46" s="518">
        <f ca="1">IFERROR(F75,0)</f>
        <v>0</v>
      </c>
      <c r="Q46" s="85"/>
      <c r="R46" s="85"/>
      <c r="S46" s="85"/>
      <c r="T46" s="85"/>
      <c r="U46" s="85"/>
      <c r="V46" s="89"/>
      <c r="W46" s="89"/>
    </row>
    <row r="47" spans="1:23" x14ac:dyDescent="0.25">
      <c r="A47" s="85"/>
      <c r="B47" s="85"/>
      <c r="C47" s="85"/>
      <c r="D47" s="85"/>
      <c r="E47" s="398" t="s">
        <v>501</v>
      </c>
      <c r="F47" s="395"/>
      <c r="G47" s="517" t="str">
        <f t="shared" ref="G47:P47" ca="1" si="9">IFERROR(-G29/$F$32,"")</f>
        <v/>
      </c>
      <c r="H47" s="517" t="str">
        <f t="shared" ca="1" si="9"/>
        <v/>
      </c>
      <c r="I47" s="517" t="str">
        <f t="shared" ca="1" si="9"/>
        <v/>
      </c>
      <c r="J47" s="517" t="str">
        <f t="shared" ca="1" si="9"/>
        <v/>
      </c>
      <c r="K47" s="517" t="str">
        <f t="shared" ca="1" si="9"/>
        <v/>
      </c>
      <c r="L47" s="517" t="str">
        <f t="shared" ca="1" si="9"/>
        <v/>
      </c>
      <c r="M47" s="517" t="str">
        <f t="shared" ca="1" si="9"/>
        <v/>
      </c>
      <c r="N47" s="517" t="str">
        <f t="shared" ca="1" si="9"/>
        <v/>
      </c>
      <c r="O47" s="517" t="str">
        <f t="shared" ca="1" si="9"/>
        <v/>
      </c>
      <c r="P47" s="517" t="str">
        <f t="shared" ca="1" si="9"/>
        <v/>
      </c>
      <c r="Q47" s="85"/>
      <c r="R47" s="85"/>
      <c r="S47" s="85"/>
      <c r="T47" s="85"/>
      <c r="U47" s="85"/>
      <c r="V47" s="89"/>
      <c r="W47" s="89"/>
    </row>
    <row r="48" spans="1:23" x14ac:dyDescent="0.25">
      <c r="A48" s="85"/>
      <c r="B48" s="85"/>
      <c r="C48" s="85"/>
      <c r="D48" s="85"/>
      <c r="E48" s="85"/>
      <c r="F48" s="85"/>
      <c r="G48" s="85"/>
      <c r="H48" s="85"/>
      <c r="I48" s="85"/>
      <c r="J48" s="85"/>
      <c r="K48" s="85"/>
      <c r="L48" s="85"/>
      <c r="M48" s="85"/>
      <c r="N48" s="85"/>
      <c r="O48" s="85"/>
      <c r="P48" s="85"/>
      <c r="Q48" s="85"/>
      <c r="R48" s="85"/>
      <c r="S48" s="85"/>
      <c r="T48" s="85"/>
      <c r="U48" s="85"/>
      <c r="V48" s="89"/>
      <c r="W48" s="89"/>
    </row>
    <row r="49" spans="1:24" x14ac:dyDescent="0.25">
      <c r="A49" s="85"/>
      <c r="B49" s="85"/>
      <c r="C49" s="85"/>
      <c r="D49" s="85"/>
      <c r="E49" s="85"/>
      <c r="F49" s="85"/>
      <c r="G49" s="85"/>
      <c r="H49" s="85"/>
      <c r="I49" s="85"/>
      <c r="J49" s="85"/>
      <c r="K49" s="85"/>
      <c r="L49" s="85"/>
      <c r="M49" s="85"/>
      <c r="N49" s="85"/>
      <c r="O49" s="85"/>
      <c r="P49" s="85"/>
      <c r="Q49" s="85"/>
      <c r="R49" s="85"/>
      <c r="S49" s="85"/>
      <c r="T49" s="85"/>
      <c r="U49" s="85"/>
      <c r="V49" s="89"/>
      <c r="W49" s="89"/>
    </row>
    <row r="50" spans="1:24" hidden="1" x14ac:dyDescent="0.25">
      <c r="A50" s="85"/>
      <c r="B50" s="85"/>
      <c r="C50" s="85"/>
      <c r="D50" s="85"/>
      <c r="E50" s="85"/>
      <c r="F50" s="85"/>
      <c r="G50" s="85"/>
      <c r="H50" s="85"/>
      <c r="I50" s="85"/>
      <c r="J50" s="85"/>
      <c r="K50" s="85"/>
      <c r="L50" s="85"/>
      <c r="M50" s="85"/>
      <c r="N50" s="85"/>
      <c r="O50" s="85"/>
      <c r="P50" s="85"/>
      <c r="Q50" s="85"/>
      <c r="R50" s="85"/>
      <c r="S50" s="85"/>
      <c r="T50" s="85"/>
      <c r="U50" s="85"/>
      <c r="V50" s="89"/>
      <c r="W50" s="89"/>
    </row>
    <row r="51" spans="1:24" hidden="1" x14ac:dyDescent="0.25">
      <c r="A51" s="85"/>
      <c r="B51" s="85"/>
      <c r="C51" s="85"/>
      <c r="D51" s="85"/>
      <c r="E51" s="556"/>
      <c r="F51" s="557" t="s">
        <v>154</v>
      </c>
      <c r="G51" s="558" t="s">
        <v>502</v>
      </c>
      <c r="H51" s="559"/>
      <c r="I51" s="559"/>
      <c r="J51" s="559"/>
      <c r="K51" s="559"/>
      <c r="L51" s="559"/>
      <c r="M51" s="559"/>
      <c r="N51" s="559"/>
      <c r="O51" s="559"/>
      <c r="P51" s="559"/>
      <c r="Q51" s="560" t="s">
        <v>503</v>
      </c>
      <c r="R51" s="561"/>
      <c r="S51" s="561"/>
      <c r="T51" s="561"/>
      <c r="U51" s="561"/>
      <c r="V51" s="561"/>
      <c r="W51" s="89"/>
    </row>
    <row r="52" spans="1:24" hidden="1" x14ac:dyDescent="0.25">
      <c r="A52" s="85"/>
      <c r="B52" s="85"/>
      <c r="C52" s="85"/>
      <c r="D52" s="85"/>
      <c r="E52" s="562"/>
      <c r="F52" s="563"/>
      <c r="G52" s="564">
        <v>0</v>
      </c>
      <c r="H52" s="564">
        <v>1</v>
      </c>
      <c r="I52" s="564">
        <v>2</v>
      </c>
      <c r="J52" s="564">
        <v>3</v>
      </c>
      <c r="K52" s="564">
        <v>4</v>
      </c>
      <c r="L52" s="564">
        <v>5</v>
      </c>
      <c r="M52" s="564">
        <v>6</v>
      </c>
      <c r="N52" s="564">
        <v>7</v>
      </c>
      <c r="O52" s="564">
        <v>8</v>
      </c>
      <c r="P52" s="564">
        <v>9</v>
      </c>
      <c r="Q52" s="565" t="s">
        <v>504</v>
      </c>
      <c r="R52" s="566" t="str">
        <f>R65</f>
        <v>11 Net</v>
      </c>
      <c r="S52" s="566" t="s">
        <v>505</v>
      </c>
      <c r="T52" s="567" t="s">
        <v>506</v>
      </c>
      <c r="U52" s="561"/>
      <c r="V52" s="561"/>
      <c r="W52" s="89"/>
    </row>
    <row r="53" spans="1:24" hidden="1" x14ac:dyDescent="0.25">
      <c r="A53" s="85"/>
      <c r="B53" s="85"/>
      <c r="C53" s="85"/>
      <c r="D53" s="85"/>
      <c r="E53" s="568">
        <v>1</v>
      </c>
      <c r="F53" s="569" t="e">
        <f ca="1">IRR(G53:H53)</f>
        <v>#VALUE!</v>
      </c>
      <c r="G53" s="570">
        <f>($F$32+$F$39)</f>
        <v>0</v>
      </c>
      <c r="H53" s="570" t="e">
        <f ca="1">Q53</f>
        <v>#DIV/0!</v>
      </c>
      <c r="I53" s="571"/>
      <c r="J53" s="571"/>
      <c r="K53" s="571"/>
      <c r="L53" s="571"/>
      <c r="M53" s="571"/>
      <c r="N53" s="571"/>
      <c r="O53" s="571"/>
      <c r="P53" s="571"/>
      <c r="Q53" s="572" t="e">
        <f ca="1">T53-S53+G33</f>
        <v>#DIV/0!</v>
      </c>
      <c r="R53" s="573"/>
      <c r="S53" s="573" t="e">
        <f t="shared" ref="S53:S63" ca="1" si="10">T53*Cost_of_Sale</f>
        <v>#DIV/0!</v>
      </c>
      <c r="T53" s="573" t="e">
        <f t="shared" ref="T53:T60" ca="1" si="11">U66</f>
        <v>#DIV/0!</v>
      </c>
      <c r="U53" s="561"/>
      <c r="V53" s="561"/>
      <c r="W53" s="89"/>
      <c r="X53" s="1041"/>
    </row>
    <row r="54" spans="1:24" hidden="1" x14ac:dyDescent="0.25">
      <c r="A54" s="85"/>
      <c r="B54" s="85"/>
      <c r="C54" s="85"/>
      <c r="D54" s="85"/>
      <c r="E54" s="568">
        <v>2</v>
      </c>
      <c r="F54" s="569" t="e">
        <f ca="1">IRR(G54:I54)</f>
        <v>#VALUE!</v>
      </c>
      <c r="G54" s="570">
        <f t="shared" ref="G54:G62" si="12">$F$32+$F$39</f>
        <v>0</v>
      </c>
      <c r="H54" s="574">
        <f t="shared" ref="H54:H61" ca="1" si="13">$G$33</f>
        <v>0</v>
      </c>
      <c r="I54" s="574" t="e">
        <f ca="1">Q54</f>
        <v>#DIV/0!</v>
      </c>
      <c r="J54" s="575"/>
      <c r="K54" s="575"/>
      <c r="L54" s="575"/>
      <c r="M54" s="575"/>
      <c r="N54" s="575"/>
      <c r="O54" s="575"/>
      <c r="P54" s="575"/>
      <c r="Q54" s="572" t="e">
        <f ca="1">T54-S54+H33</f>
        <v>#DIV/0!</v>
      </c>
      <c r="R54" s="573"/>
      <c r="S54" s="573" t="e">
        <f t="shared" ca="1" si="10"/>
        <v>#DIV/0!</v>
      </c>
      <c r="T54" s="573" t="e">
        <f t="shared" ca="1" si="11"/>
        <v>#DIV/0!</v>
      </c>
      <c r="U54" s="561"/>
      <c r="V54" s="561"/>
      <c r="W54" s="89"/>
    </row>
    <row r="55" spans="1:24" hidden="1" x14ac:dyDescent="0.25">
      <c r="A55" s="85"/>
      <c r="B55" s="85"/>
      <c r="C55" s="85"/>
      <c r="D55" s="85"/>
      <c r="E55" s="568">
        <v>3</v>
      </c>
      <c r="F55" s="569" t="e">
        <f ca="1">IRR(G55:J55)</f>
        <v>#VALUE!</v>
      </c>
      <c r="G55" s="570">
        <f t="shared" si="12"/>
        <v>0</v>
      </c>
      <c r="H55" s="574">
        <f t="shared" ca="1" si="13"/>
        <v>0</v>
      </c>
      <c r="I55" s="574">
        <f t="shared" ref="I55:I61" ca="1" si="14">$H$33</f>
        <v>0</v>
      </c>
      <c r="J55" s="574" t="e">
        <f ca="1">Q55</f>
        <v>#DIV/0!</v>
      </c>
      <c r="K55" s="575"/>
      <c r="L55" s="575"/>
      <c r="M55" s="575"/>
      <c r="N55" s="575"/>
      <c r="O55" s="575"/>
      <c r="P55" s="575"/>
      <c r="Q55" s="572" t="e">
        <f ca="1">T55-S55+I33</f>
        <v>#DIV/0!</v>
      </c>
      <c r="R55" s="573"/>
      <c r="S55" s="573" t="e">
        <f t="shared" ca="1" si="10"/>
        <v>#DIV/0!</v>
      </c>
      <c r="T55" s="573" t="e">
        <f t="shared" ca="1" si="11"/>
        <v>#DIV/0!</v>
      </c>
      <c r="U55" s="561"/>
      <c r="V55" s="561"/>
      <c r="W55" s="89"/>
    </row>
    <row r="56" spans="1:24" hidden="1" x14ac:dyDescent="0.25">
      <c r="A56" s="85"/>
      <c r="B56" s="85"/>
      <c r="C56" s="85"/>
      <c r="D56" s="85"/>
      <c r="E56" s="568">
        <v>4</v>
      </c>
      <c r="F56" s="569" t="e">
        <f ca="1">IRR(G56:K56)</f>
        <v>#VALUE!</v>
      </c>
      <c r="G56" s="570">
        <f t="shared" si="12"/>
        <v>0</v>
      </c>
      <c r="H56" s="574">
        <f t="shared" ca="1" si="13"/>
        <v>0</v>
      </c>
      <c r="I56" s="574">
        <f t="shared" ca="1" si="14"/>
        <v>0</v>
      </c>
      <c r="J56" s="574">
        <f t="shared" ref="J56:J63" ca="1" si="15">$I$33</f>
        <v>0</v>
      </c>
      <c r="K56" s="574" t="e">
        <f ca="1">Q56</f>
        <v>#DIV/0!</v>
      </c>
      <c r="L56" s="575"/>
      <c r="M56" s="575"/>
      <c r="N56" s="575"/>
      <c r="O56" s="575"/>
      <c r="P56" s="575"/>
      <c r="Q56" s="572" t="e">
        <f ca="1">T56-S56+J33</f>
        <v>#DIV/0!</v>
      </c>
      <c r="R56" s="573"/>
      <c r="S56" s="573" t="e">
        <f t="shared" ca="1" si="10"/>
        <v>#DIV/0!</v>
      </c>
      <c r="T56" s="573" t="e">
        <f t="shared" ca="1" si="11"/>
        <v>#DIV/0!</v>
      </c>
      <c r="U56" s="561"/>
      <c r="V56" s="561"/>
      <c r="W56" s="89"/>
    </row>
    <row r="57" spans="1:24" hidden="1" x14ac:dyDescent="0.25">
      <c r="A57" s="85"/>
      <c r="B57" s="85"/>
      <c r="C57" s="85"/>
      <c r="D57" s="85"/>
      <c r="E57" s="568">
        <v>5</v>
      </c>
      <c r="F57" s="569" t="e">
        <f ca="1">IRR(G57:L57)</f>
        <v>#VALUE!</v>
      </c>
      <c r="G57" s="570">
        <f t="shared" si="12"/>
        <v>0</v>
      </c>
      <c r="H57" s="574">
        <f t="shared" ca="1" si="13"/>
        <v>0</v>
      </c>
      <c r="I57" s="574">
        <f t="shared" ca="1" si="14"/>
        <v>0</v>
      </c>
      <c r="J57" s="574">
        <f t="shared" ca="1" si="15"/>
        <v>0</v>
      </c>
      <c r="K57" s="574">
        <f t="shared" ref="K57:K63" ca="1" si="16">$J$33</f>
        <v>0</v>
      </c>
      <c r="L57" s="574" t="e">
        <f ca="1">Q57</f>
        <v>#DIV/0!</v>
      </c>
      <c r="M57" s="575"/>
      <c r="N57" s="575"/>
      <c r="O57" s="575"/>
      <c r="P57" s="575"/>
      <c r="Q57" s="572" t="e">
        <f ca="1">T57-S57+K33</f>
        <v>#DIV/0!</v>
      </c>
      <c r="R57" s="573"/>
      <c r="S57" s="573" t="e">
        <f t="shared" ca="1" si="10"/>
        <v>#DIV/0!</v>
      </c>
      <c r="T57" s="573" t="e">
        <f t="shared" ca="1" si="11"/>
        <v>#DIV/0!</v>
      </c>
      <c r="U57" s="561"/>
      <c r="V57" s="561"/>
      <c r="W57" s="89"/>
    </row>
    <row r="58" spans="1:24" hidden="1" x14ac:dyDescent="0.25">
      <c r="A58" s="85"/>
      <c r="B58" s="85"/>
      <c r="C58" s="85"/>
      <c r="D58" s="85"/>
      <c r="E58" s="568">
        <v>6</v>
      </c>
      <c r="F58" s="569" t="e">
        <f ca="1">IRR(G58:M58)</f>
        <v>#VALUE!</v>
      </c>
      <c r="G58" s="570">
        <f t="shared" si="12"/>
        <v>0</v>
      </c>
      <c r="H58" s="574">
        <f t="shared" ca="1" si="13"/>
        <v>0</v>
      </c>
      <c r="I58" s="574">
        <f t="shared" ca="1" si="14"/>
        <v>0</v>
      </c>
      <c r="J58" s="574">
        <f t="shared" ca="1" si="15"/>
        <v>0</v>
      </c>
      <c r="K58" s="574">
        <f t="shared" ca="1" si="16"/>
        <v>0</v>
      </c>
      <c r="L58" s="574">
        <f t="shared" ref="L58:L63" ca="1" si="17">$K$33</f>
        <v>0</v>
      </c>
      <c r="M58" s="574" t="e">
        <f ca="1">Q58</f>
        <v>#DIV/0!</v>
      </c>
      <c r="N58" s="575"/>
      <c r="O58" s="575"/>
      <c r="P58" s="575"/>
      <c r="Q58" s="572" t="e">
        <f ca="1">T58-S58+L33</f>
        <v>#DIV/0!</v>
      </c>
      <c r="R58" s="573"/>
      <c r="S58" s="573" t="e">
        <f t="shared" ca="1" si="10"/>
        <v>#DIV/0!</v>
      </c>
      <c r="T58" s="573" t="e">
        <f t="shared" ca="1" si="11"/>
        <v>#DIV/0!</v>
      </c>
      <c r="U58" s="561"/>
      <c r="V58" s="561"/>
      <c r="W58" s="89"/>
    </row>
    <row r="59" spans="1:24" hidden="1" x14ac:dyDescent="0.25">
      <c r="A59" s="85"/>
      <c r="B59" s="85"/>
      <c r="C59" s="85"/>
      <c r="D59" s="85"/>
      <c r="E59" s="568">
        <v>7</v>
      </c>
      <c r="F59" s="569" t="e">
        <f ca="1">IRR(G59:N59)</f>
        <v>#VALUE!</v>
      </c>
      <c r="G59" s="570">
        <f t="shared" si="12"/>
        <v>0</v>
      </c>
      <c r="H59" s="574">
        <f t="shared" ca="1" si="13"/>
        <v>0</v>
      </c>
      <c r="I59" s="574">
        <f t="shared" ca="1" si="14"/>
        <v>0</v>
      </c>
      <c r="J59" s="574">
        <f t="shared" ca="1" si="15"/>
        <v>0</v>
      </c>
      <c r="K59" s="574">
        <f t="shared" ca="1" si="16"/>
        <v>0</v>
      </c>
      <c r="L59" s="574">
        <f t="shared" ca="1" si="17"/>
        <v>0</v>
      </c>
      <c r="M59" s="574">
        <f ca="1">$L$33</f>
        <v>0</v>
      </c>
      <c r="N59" s="574" t="e">
        <f ca="1">Q59</f>
        <v>#DIV/0!</v>
      </c>
      <c r="O59" s="575"/>
      <c r="P59" s="575"/>
      <c r="Q59" s="572" t="e">
        <f ca="1">T59-S59+M33</f>
        <v>#DIV/0!</v>
      </c>
      <c r="R59" s="573"/>
      <c r="S59" s="573" t="e">
        <f t="shared" ca="1" si="10"/>
        <v>#DIV/0!</v>
      </c>
      <c r="T59" s="573" t="e">
        <f t="shared" ca="1" si="11"/>
        <v>#DIV/0!</v>
      </c>
      <c r="U59" s="561"/>
      <c r="V59" s="561"/>
      <c r="W59" s="89"/>
    </row>
    <row r="60" spans="1:24" hidden="1" x14ac:dyDescent="0.25">
      <c r="A60" s="85"/>
      <c r="B60" s="85"/>
      <c r="C60" s="85"/>
      <c r="D60" s="85"/>
      <c r="E60" s="568">
        <v>8</v>
      </c>
      <c r="F60" s="569" t="e">
        <f ca="1">IRR(G60:O60)</f>
        <v>#VALUE!</v>
      </c>
      <c r="G60" s="570">
        <f t="shared" si="12"/>
        <v>0</v>
      </c>
      <c r="H60" s="574">
        <f t="shared" ca="1" si="13"/>
        <v>0</v>
      </c>
      <c r="I60" s="574">
        <f t="shared" ca="1" si="14"/>
        <v>0</v>
      </c>
      <c r="J60" s="574">
        <f t="shared" ca="1" si="15"/>
        <v>0</v>
      </c>
      <c r="K60" s="574">
        <f t="shared" ca="1" si="16"/>
        <v>0</v>
      </c>
      <c r="L60" s="574">
        <f t="shared" ca="1" si="17"/>
        <v>0</v>
      </c>
      <c r="M60" s="574">
        <f ca="1">$L$33</f>
        <v>0</v>
      </c>
      <c r="N60" s="574">
        <f ca="1">$M$33</f>
        <v>0</v>
      </c>
      <c r="O60" s="574" t="e">
        <f ca="1">Q60</f>
        <v>#DIV/0!</v>
      </c>
      <c r="P60" s="575"/>
      <c r="Q60" s="572" t="e">
        <f ca="1">T60-S60+N33</f>
        <v>#DIV/0!</v>
      </c>
      <c r="R60" s="573"/>
      <c r="S60" s="573" t="e">
        <f t="shared" ca="1" si="10"/>
        <v>#DIV/0!</v>
      </c>
      <c r="T60" s="573" t="e">
        <f t="shared" ca="1" si="11"/>
        <v>#DIV/0!</v>
      </c>
      <c r="U60" s="561"/>
      <c r="V60" s="561"/>
      <c r="W60" s="89"/>
    </row>
    <row r="61" spans="1:24" hidden="1" x14ac:dyDescent="0.25">
      <c r="A61" s="85"/>
      <c r="B61" s="85"/>
      <c r="C61" s="85"/>
      <c r="D61" s="85"/>
      <c r="E61" s="568">
        <v>9</v>
      </c>
      <c r="F61" s="569" t="e">
        <f ca="1">IRR(G61:P61)</f>
        <v>#VALUE!</v>
      </c>
      <c r="G61" s="570">
        <f t="shared" si="12"/>
        <v>0</v>
      </c>
      <c r="H61" s="574">
        <f t="shared" ca="1" si="13"/>
        <v>0</v>
      </c>
      <c r="I61" s="574">
        <f t="shared" ca="1" si="14"/>
        <v>0</v>
      </c>
      <c r="J61" s="574">
        <f t="shared" ca="1" si="15"/>
        <v>0</v>
      </c>
      <c r="K61" s="574">
        <f t="shared" ca="1" si="16"/>
        <v>0</v>
      </c>
      <c r="L61" s="574">
        <f t="shared" ca="1" si="17"/>
        <v>0</v>
      </c>
      <c r="M61" s="574">
        <f ca="1">$L$33</f>
        <v>0</v>
      </c>
      <c r="N61" s="574">
        <f ca="1">$M$33</f>
        <v>0</v>
      </c>
      <c r="O61" s="574">
        <f ca="1">$N$33</f>
        <v>0</v>
      </c>
      <c r="P61" s="574" t="e">
        <f ca="1">Q61</f>
        <v>#DIV/0!</v>
      </c>
      <c r="Q61" s="572" t="e">
        <f ca="1">T61-S61+O33</f>
        <v>#DIV/0!</v>
      </c>
      <c r="R61" s="573"/>
      <c r="S61" s="573" t="e">
        <f t="shared" ca="1" si="10"/>
        <v>#DIV/0!</v>
      </c>
      <c r="T61" s="573" t="e">
        <f ca="1">U74</f>
        <v>#DIV/0!</v>
      </c>
      <c r="U61" s="561" t="s">
        <v>507</v>
      </c>
      <c r="V61" s="561"/>
      <c r="W61" s="89"/>
    </row>
    <row r="62" spans="1:24" hidden="1" x14ac:dyDescent="0.25">
      <c r="E62" s="568">
        <v>10</v>
      </c>
      <c r="F62" s="569" t="e">
        <f ca="1">IRR(G62:Q62)</f>
        <v>#NUM!</v>
      </c>
      <c r="G62" s="570">
        <f t="shared" si="12"/>
        <v>0</v>
      </c>
      <c r="H62" s="574">
        <f ca="1">$G$33</f>
        <v>0</v>
      </c>
      <c r="I62" s="574">
        <f ca="1">$H$33</f>
        <v>0</v>
      </c>
      <c r="J62" s="574">
        <f t="shared" ca="1" si="15"/>
        <v>0</v>
      </c>
      <c r="K62" s="574">
        <f t="shared" ca="1" si="16"/>
        <v>0</v>
      </c>
      <c r="L62" s="574">
        <f t="shared" ca="1" si="17"/>
        <v>0</v>
      </c>
      <c r="M62" s="574">
        <f ca="1">$L$33</f>
        <v>0</v>
      </c>
      <c r="N62" s="574">
        <f ca="1">$M$33</f>
        <v>0</v>
      </c>
      <c r="O62" s="574">
        <f ca="1">$N$33</f>
        <v>0</v>
      </c>
      <c r="P62" s="574">
        <f ca="1">$O$33</f>
        <v>0</v>
      </c>
      <c r="Q62" s="572">
        <f ca="1">IFERROR(T62-S62-P30, T62-S62)</f>
        <v>0</v>
      </c>
      <c r="R62" s="573"/>
      <c r="S62" s="573">
        <f t="shared" ca="1" si="10"/>
        <v>0</v>
      </c>
      <c r="T62" s="573">
        <f ca="1">P33</f>
        <v>0</v>
      </c>
      <c r="U62" s="561" t="s">
        <v>508</v>
      </c>
      <c r="V62" s="561" t="s">
        <v>509</v>
      </c>
      <c r="W62" s="89"/>
    </row>
    <row r="63" spans="1:24" hidden="1" x14ac:dyDescent="0.25">
      <c r="E63" s="576">
        <v>11</v>
      </c>
      <c r="F63" s="577" t="e">
        <f ca="1">IRR(H63:R63)</f>
        <v>#VALUE!</v>
      </c>
      <c r="G63" s="578"/>
      <c r="H63" s="579">
        <f>$F$32+$F$39</f>
        <v>0</v>
      </c>
      <c r="I63" s="579">
        <f ca="1">$H$33</f>
        <v>0</v>
      </c>
      <c r="J63" s="579">
        <f t="shared" ca="1" si="15"/>
        <v>0</v>
      </c>
      <c r="K63" s="579">
        <f t="shared" ca="1" si="16"/>
        <v>0</v>
      </c>
      <c r="L63" s="579">
        <f t="shared" ca="1" si="17"/>
        <v>0</v>
      </c>
      <c r="M63" s="579">
        <f ca="1">$L$33</f>
        <v>0</v>
      </c>
      <c r="N63" s="579">
        <f ca="1">$M$33</f>
        <v>0</v>
      </c>
      <c r="O63" s="579">
        <f ca="1">$N$33</f>
        <v>0</v>
      </c>
      <c r="P63" s="579">
        <f ca="1">$O$33</f>
        <v>0</v>
      </c>
      <c r="Q63" s="580">
        <f ca="1">IFERROR(P29-P30,P29)</f>
        <v>0</v>
      </c>
      <c r="R63" s="581" t="e">
        <f ca="1">T63-S63+U63</f>
        <v>#DIV/0!</v>
      </c>
      <c r="S63" s="581" t="e">
        <f t="shared" ca="1" si="10"/>
        <v>#DIV/0!</v>
      </c>
      <c r="T63" s="581" t="e">
        <f ca="1">(U63/Exit_CAP)</f>
        <v>#DIV/0!</v>
      </c>
      <c r="U63" s="581" t="e">
        <f ca="1">Q63*(1+((P29-O29)/O29))</f>
        <v>#DIV/0!</v>
      </c>
      <c r="V63" s="581" t="e">
        <f ca="1">U63+SUM('Debt Input'!AC30:AC31)</f>
        <v>#DIV/0!</v>
      </c>
      <c r="W63" s="89"/>
    </row>
    <row r="64" spans="1:24" hidden="1" x14ac:dyDescent="0.25">
      <c r="E64" s="556" t="s">
        <v>150</v>
      </c>
      <c r="F64" s="557" t="s">
        <v>154</v>
      </c>
      <c r="G64" s="558" t="s">
        <v>510</v>
      </c>
      <c r="H64" s="559"/>
      <c r="I64" s="559"/>
      <c r="J64" s="559"/>
      <c r="K64" s="559"/>
      <c r="L64" s="559"/>
      <c r="M64" s="559"/>
      <c r="N64" s="559"/>
      <c r="O64" s="559"/>
      <c r="P64" s="559"/>
      <c r="Q64" s="556"/>
      <c r="R64" s="561"/>
      <c r="S64" s="561"/>
      <c r="T64" s="561"/>
      <c r="U64" s="561"/>
      <c r="V64" s="561"/>
      <c r="W64" s="89"/>
    </row>
    <row r="65" spans="1:23" hidden="1" x14ac:dyDescent="0.25">
      <c r="E65" s="562"/>
      <c r="F65" s="563"/>
      <c r="G65" s="564">
        <v>0</v>
      </c>
      <c r="H65" s="564">
        <v>1</v>
      </c>
      <c r="I65" s="564">
        <v>2</v>
      </c>
      <c r="J65" s="564">
        <v>3</v>
      </c>
      <c r="K65" s="564">
        <v>4</v>
      </c>
      <c r="L65" s="564">
        <v>5</v>
      </c>
      <c r="M65" s="564">
        <v>6</v>
      </c>
      <c r="N65" s="564">
        <v>7</v>
      </c>
      <c r="O65" s="564">
        <v>8</v>
      </c>
      <c r="P65" s="564">
        <v>9</v>
      </c>
      <c r="Q65" s="565" t="s">
        <v>511</v>
      </c>
      <c r="R65" s="566" t="s">
        <v>512</v>
      </c>
      <c r="S65" s="566" t="s">
        <v>505</v>
      </c>
      <c r="T65" s="566" t="s">
        <v>513</v>
      </c>
      <c r="U65" s="566" t="s">
        <v>514</v>
      </c>
      <c r="V65" s="566"/>
      <c r="W65" s="89"/>
    </row>
    <row r="66" spans="1:23" hidden="1" x14ac:dyDescent="0.25">
      <c r="E66" s="568">
        <v>1</v>
      </c>
      <c r="F66" s="569" t="str">
        <f ca="1">IFERROR(IRR(G66:H66),"")</f>
        <v/>
      </c>
      <c r="G66" s="570">
        <f t="shared" ref="G66:G75" ca="1" si="18">$F$42</f>
        <v>0</v>
      </c>
      <c r="H66" s="570" t="e">
        <f ca="1">Q66</f>
        <v>#DIV/0!</v>
      </c>
      <c r="I66" s="571"/>
      <c r="J66" s="571"/>
      <c r="K66" s="571"/>
      <c r="L66" s="571"/>
      <c r="M66" s="571"/>
      <c r="N66" s="571"/>
      <c r="O66" s="571"/>
      <c r="P66" s="571"/>
      <c r="Q66" s="572" t="e">
        <f ca="1">T66+U66+S66+H75</f>
        <v>#DIV/0!</v>
      </c>
      <c r="R66" s="573"/>
      <c r="S66" s="573" t="e">
        <f t="shared" ref="S66:S76" ca="1" si="19">-U66*Cost_of_Sale</f>
        <v>#DIV/0!</v>
      </c>
      <c r="T66" s="582">
        <f>IFERROR(-SUM(IF(AND(V66&gt;=SED_Origination_Date,V66&lt;=SED_Loan_Due_Date),_xlfn.XLOOKUP(EOMONTH(V66,1) + 1, INDEX(SED_Table,0,3), INDEX(SED_Table,0,8)),0),IF(AND(V66&gt;=Mezz_Origination_Date,V66&lt;=Mezz_Loan_Due_Date,Mezz_Switch="Yes"),_xlfn.XLOOKUP(EOMONTH(V66,1) + 1, INDEX(Mezz_Table,0,3), INDEX(Mezz_Table,0,8)),0),IF(AND(V66&gt;=Refi_Origination_Date,V66&lt;=Refi_Loan_Due_Date,YEAR(V66)&gt;=YEAR(Refi_Origination_Date),Refi_Switch="Yes"),_xlfn.XLOOKUP(EOMONTH(V66,1) + 1, INDEX(Refi_Table,0,3), INDEX(Refi_Table,0,8)),0)),0)</f>
        <v>0</v>
      </c>
      <c r="U66" s="573" t="e">
        <f ca="1">H29/Exit_CAP</f>
        <v>#DIV/0!</v>
      </c>
      <c r="V66" s="583">
        <f>G4</f>
        <v>366</v>
      </c>
      <c r="W66" s="89"/>
    </row>
    <row r="67" spans="1:23" hidden="1" x14ac:dyDescent="0.25">
      <c r="E67" s="568">
        <v>2</v>
      </c>
      <c r="F67" s="569" t="e">
        <f ca="1">IRR(G67:I67)</f>
        <v>#VALUE!</v>
      </c>
      <c r="G67" s="574">
        <f t="shared" ca="1" si="18"/>
        <v>0</v>
      </c>
      <c r="H67" s="574" t="e">
        <f t="shared" ref="H67:H75" ca="1" si="20">$G$42</f>
        <v>#VALUE!</v>
      </c>
      <c r="I67" s="574" t="e">
        <f ca="1">Q67</f>
        <v>#DIV/0!</v>
      </c>
      <c r="J67" s="575"/>
      <c r="K67" s="575"/>
      <c r="L67" s="575"/>
      <c r="M67" s="575"/>
      <c r="N67" s="575"/>
      <c r="O67" s="575"/>
      <c r="P67" s="575"/>
      <c r="Q67" s="572" t="e">
        <f ca="1">T67+U67+S67+I75</f>
        <v>#DIV/0!</v>
      </c>
      <c r="R67" s="573"/>
      <c r="S67" s="573" t="e">
        <f t="shared" ca="1" si="19"/>
        <v>#DIV/0!</v>
      </c>
      <c r="T67" s="582">
        <f>IFERROR(-SUM(IF(AND('Cash Flow'!V67&gt;=SED_Origination_Date,'Cash Flow'!V67&lt;=SED_Loan_Due_Date),_xlfn.XLOOKUP(V67, INDEX(SED_Table,0,3), INDEX(SED_Table,0,8)),0),IF(AND('Cash Flow'!V67&gt;=Mezz_Origination_Date,'Cash Flow'!V67&lt;=Mezz_Loan_Due_Date,Mezz_Switch="Yes"),_xlfn.XLOOKUP(V67, INDEX(Mezz_Table,0,3), INDEX(Mezz_Table,0,8)),0),IF(AND('Cash Flow'!V67&gt;=Refi_Origination_Date,'Cash Flow'!V67&lt;=Refi_Loan_Due_Date,YEAR(V67)&gt;=YEAR(Refi_Origination_Date),Refi_Switch="Yes"),_xlfn.XLOOKUP(V67, INDEX(Refi_Table,0,3), INDEX(Refi_Table,0,8)),0)),0)</f>
        <v>0</v>
      </c>
      <c r="U67" s="573" t="e">
        <f ca="1">I29/Exit_CAP</f>
        <v>#DIV/0!</v>
      </c>
      <c r="V67" s="583">
        <f>H4</f>
        <v>701</v>
      </c>
      <c r="W67" s="89"/>
    </row>
    <row r="68" spans="1:23" hidden="1" x14ac:dyDescent="0.25">
      <c r="E68" s="568">
        <v>3</v>
      </c>
      <c r="F68" s="569" t="e">
        <f ca="1">IRR(G68:J68)</f>
        <v>#VALUE!</v>
      </c>
      <c r="G68" s="574">
        <f t="shared" ca="1" si="18"/>
        <v>0</v>
      </c>
      <c r="H68" s="574" t="e">
        <f t="shared" ca="1" si="20"/>
        <v>#VALUE!</v>
      </c>
      <c r="I68" s="574">
        <f t="shared" ref="I68:I76" ca="1" si="21">$H$42</f>
        <v>0</v>
      </c>
      <c r="J68" s="574" t="e">
        <f ca="1">Q68</f>
        <v>#DIV/0!</v>
      </c>
      <c r="K68" s="575"/>
      <c r="L68" s="575"/>
      <c r="M68" s="575"/>
      <c r="N68" s="575"/>
      <c r="O68" s="575"/>
      <c r="P68" s="575"/>
      <c r="Q68" s="572" t="e">
        <f ca="1">T68+U68+S68+J75</f>
        <v>#DIV/0!</v>
      </c>
      <c r="R68" s="573"/>
      <c r="S68" s="573" t="e">
        <f t="shared" ca="1" si="19"/>
        <v>#DIV/0!</v>
      </c>
      <c r="T68" s="582">
        <f>IFERROR(-SUM(IF(AND('Cash Flow'!V68&gt;=SED_Origination_Date,'Cash Flow'!V68&lt;=SED_Loan_Due_Date),_xlfn.XLOOKUP(V68, INDEX(SED_Table,0,3), INDEX(SED_Table,0,8)),0),IF(AND('Cash Flow'!V68&gt;=Mezz_Origination_Date,'Cash Flow'!V68&lt;=Mezz_Loan_Due_Date,Mezz_Switch="Yes"),_xlfn.XLOOKUP(V68, INDEX(Mezz_Table,0,3), INDEX(Mezz_Table,0,8)),0),IF(AND('Cash Flow'!V68&gt;=Refi_Origination_Date,'Cash Flow'!V68&lt;=Refi_Loan_Due_Date,YEAR(V68)&gt;=YEAR(Refi_Origination_Date),Refi_Switch="Yes"),_xlfn.XLOOKUP(V68, INDEX(Refi_Table,0,3), INDEX(Refi_Table,0,8)),0)),0)</f>
        <v>0</v>
      </c>
      <c r="U68" s="573" t="e">
        <f ca="1">J29/Exit_CAP</f>
        <v>#DIV/0!</v>
      </c>
      <c r="V68" s="583">
        <f>I4</f>
        <v>1066</v>
      </c>
      <c r="W68" s="89"/>
    </row>
    <row r="69" spans="1:23" hidden="1" x14ac:dyDescent="0.25">
      <c r="E69" s="568">
        <v>4</v>
      </c>
      <c r="F69" s="569" t="e">
        <f ca="1">IRR(G69:K69)</f>
        <v>#VALUE!</v>
      </c>
      <c r="G69" s="574">
        <f t="shared" ca="1" si="18"/>
        <v>0</v>
      </c>
      <c r="H69" s="574" t="e">
        <f t="shared" ca="1" si="20"/>
        <v>#VALUE!</v>
      </c>
      <c r="I69" s="574">
        <f t="shared" ca="1" si="21"/>
        <v>0</v>
      </c>
      <c r="J69" s="574">
        <f t="shared" ref="J69:J76" ca="1" si="22">$I$42</f>
        <v>0</v>
      </c>
      <c r="K69" s="574" t="e">
        <f ca="1">Q69</f>
        <v>#DIV/0!</v>
      </c>
      <c r="L69" s="575"/>
      <c r="M69" s="575"/>
      <c r="N69" s="575"/>
      <c r="O69" s="575"/>
      <c r="P69" s="575"/>
      <c r="Q69" s="572" t="e">
        <f ca="1">T69+U69+S69+K75</f>
        <v>#DIV/0!</v>
      </c>
      <c r="R69" s="573"/>
      <c r="S69" s="573" t="e">
        <f t="shared" ca="1" si="19"/>
        <v>#DIV/0!</v>
      </c>
      <c r="T69" s="582">
        <f>IFERROR(-SUM(IF(AND('Cash Flow'!V69&gt;=SED_Origination_Date,'Cash Flow'!V69&lt;=SED_Loan_Due_Date),_xlfn.XLOOKUP(V69, INDEX(SED_Table,0,3), INDEX(SED_Table,0,8)),0),IF(AND('Cash Flow'!V69&gt;=Mezz_Origination_Date,'Cash Flow'!V69&lt;=Mezz_Loan_Due_Date,Mezz_Switch="Yes"),_xlfn.XLOOKUP(V69, INDEX(Mezz_Table,0,3), INDEX(Mezz_Table,0,8)),0),IF(AND('Cash Flow'!V69&gt;=Refi_Origination_Date,'Cash Flow'!V69&lt;=Refi_Loan_Due_Date,YEAR(V69)&gt;=YEAR(Refi_Origination_Date),Refi_Switch="Yes"),_xlfn.XLOOKUP(V69, INDEX(Refi_Table,0,3), INDEX(Refi_Table,0,8)),0)),0)</f>
        <v>0</v>
      </c>
      <c r="U69" s="573" t="e">
        <f ca="1">K29/Exit_CAP</f>
        <v>#DIV/0!</v>
      </c>
      <c r="V69" s="583">
        <f>J4</f>
        <v>1431</v>
      </c>
      <c r="W69" s="89"/>
    </row>
    <row r="70" spans="1:23" hidden="1" x14ac:dyDescent="0.25">
      <c r="E70" s="568">
        <v>5</v>
      </c>
      <c r="F70" s="569" t="e">
        <f ca="1">IRR(G70:L70)</f>
        <v>#VALUE!</v>
      </c>
      <c r="G70" s="574">
        <f t="shared" ca="1" si="18"/>
        <v>0</v>
      </c>
      <c r="H70" s="574" t="e">
        <f t="shared" ca="1" si="20"/>
        <v>#VALUE!</v>
      </c>
      <c r="I70" s="574">
        <f t="shared" ca="1" si="21"/>
        <v>0</v>
      </c>
      <c r="J70" s="574">
        <f t="shared" ca="1" si="22"/>
        <v>0</v>
      </c>
      <c r="K70" s="574">
        <f t="shared" ref="K70:K76" ca="1" si="23">$J$42</f>
        <v>0</v>
      </c>
      <c r="L70" s="574" t="e">
        <f ca="1">Q70</f>
        <v>#DIV/0!</v>
      </c>
      <c r="M70" s="575"/>
      <c r="N70" s="575"/>
      <c r="O70" s="575"/>
      <c r="P70" s="575"/>
      <c r="Q70" s="572" t="e">
        <f ca="1">T70+U70+S70+L75</f>
        <v>#DIV/0!</v>
      </c>
      <c r="R70" s="573"/>
      <c r="S70" s="573" t="e">
        <f t="shared" ca="1" si="19"/>
        <v>#DIV/0!</v>
      </c>
      <c r="T70" s="582">
        <f>IFERROR(-SUM(IF(AND('Cash Flow'!V70&gt;=SED_Origination_Date,'Cash Flow'!V70&lt;=SED_Loan_Due_Date),_xlfn.XLOOKUP(V70, INDEX(SED_Table,0,3), INDEX(SED_Table,0,8)),0),IF(AND('Cash Flow'!V70&gt;=Mezz_Origination_Date,'Cash Flow'!V70&lt;=Mezz_Loan_Due_Date,Mezz_Switch="Yes"),_xlfn.XLOOKUP(V70, INDEX(Mezz_Table,0,3), INDEX(Mezz_Table,0,8)),0),IF(AND('Cash Flow'!V70&gt;=Refi_Origination_Date,'Cash Flow'!V70&lt;=Refi_Loan_Due_Date,YEAR(V70)&gt;=YEAR(Refi_Origination_Date),Refi_Switch="Yes"),_xlfn.XLOOKUP(V70, INDEX(Refi_Table,0,3), INDEX(Refi_Table,0,8)),0)),0)</f>
        <v>0</v>
      </c>
      <c r="U70" s="573" t="e">
        <f ca="1">L29/Exit_CAP</f>
        <v>#DIV/0!</v>
      </c>
      <c r="V70" s="583">
        <f>K4</f>
        <v>1797</v>
      </c>
      <c r="W70" s="89"/>
    </row>
    <row r="71" spans="1:23" hidden="1" x14ac:dyDescent="0.25">
      <c r="E71" s="568">
        <v>6</v>
      </c>
      <c r="F71" s="569" t="e">
        <f ca="1">IRR(G71:M71)</f>
        <v>#VALUE!</v>
      </c>
      <c r="G71" s="574">
        <f t="shared" ca="1" si="18"/>
        <v>0</v>
      </c>
      <c r="H71" s="574" t="e">
        <f t="shared" ca="1" si="20"/>
        <v>#VALUE!</v>
      </c>
      <c r="I71" s="574">
        <f t="shared" ca="1" si="21"/>
        <v>0</v>
      </c>
      <c r="J71" s="574">
        <f t="shared" ca="1" si="22"/>
        <v>0</v>
      </c>
      <c r="K71" s="574">
        <f t="shared" ca="1" si="23"/>
        <v>0</v>
      </c>
      <c r="L71" s="574">
        <f t="shared" ref="L71:L76" ca="1" si="24">$K$42</f>
        <v>0</v>
      </c>
      <c r="M71" s="574" t="e">
        <f ca="1">Q71</f>
        <v>#DIV/0!</v>
      </c>
      <c r="N71" s="575"/>
      <c r="O71" s="575"/>
      <c r="P71" s="575"/>
      <c r="Q71" s="572" t="e">
        <f ca="1">T71+U71+S71+M75</f>
        <v>#DIV/0!</v>
      </c>
      <c r="R71" s="573"/>
      <c r="S71" s="573" t="e">
        <f t="shared" ca="1" si="19"/>
        <v>#DIV/0!</v>
      </c>
      <c r="T71" s="582">
        <f>IFERROR(-SUM(IF(AND('Cash Flow'!V71&gt;=SED_Origination_Date,'Cash Flow'!V71&lt;=SED_Loan_Due_Date),_xlfn.XLOOKUP(V71, INDEX(SED_Table,0,3), INDEX(SED_Table,0,8)),0),IF(AND('Cash Flow'!V71&gt;=Mezz_Origination_Date,'Cash Flow'!V71&lt;=Mezz_Loan_Due_Date,Mezz_Switch="Yes"),_xlfn.XLOOKUP(V71, INDEX(Mezz_Table,0,3), INDEX(Mezz_Table,0,8)),0),IF(AND('Cash Flow'!V71&gt;=Refi_Origination_Date,'Cash Flow'!V71&lt;=Refi_Loan_Due_Date,YEAR(V71)&gt;=YEAR(Refi_Origination_Date),Refi_Switch="Yes"),_xlfn.XLOOKUP(V71, INDEX(Refi_Table,0,3), INDEX(Refi_Table,0,8)),0)),0)</f>
        <v>0</v>
      </c>
      <c r="U71" s="573" t="e">
        <f ca="1">M29/Exit_CAP</f>
        <v>#DIV/0!</v>
      </c>
      <c r="V71" s="583">
        <f>L4</f>
        <v>2162</v>
      </c>
      <c r="W71" s="89"/>
    </row>
    <row r="72" spans="1:23" hidden="1" x14ac:dyDescent="0.25">
      <c r="E72" s="568">
        <v>7</v>
      </c>
      <c r="F72" s="569" t="e">
        <f ca="1">IRR(G72:N72)</f>
        <v>#VALUE!</v>
      </c>
      <c r="G72" s="574">
        <f t="shared" ca="1" si="18"/>
        <v>0</v>
      </c>
      <c r="H72" s="574" t="e">
        <f t="shared" ca="1" si="20"/>
        <v>#VALUE!</v>
      </c>
      <c r="I72" s="574">
        <f t="shared" ca="1" si="21"/>
        <v>0</v>
      </c>
      <c r="J72" s="574">
        <f t="shared" ca="1" si="22"/>
        <v>0</v>
      </c>
      <c r="K72" s="574">
        <f t="shared" ca="1" si="23"/>
        <v>0</v>
      </c>
      <c r="L72" s="574">
        <f t="shared" ca="1" si="24"/>
        <v>0</v>
      </c>
      <c r="M72" s="574">
        <f ca="1">$L$42</f>
        <v>0</v>
      </c>
      <c r="N72" s="574" t="e">
        <f ca="1">Q72</f>
        <v>#DIV/0!</v>
      </c>
      <c r="O72" s="575"/>
      <c r="P72" s="575"/>
      <c r="Q72" s="572" t="e">
        <f ca="1">T72+U72+S72+N75</f>
        <v>#DIV/0!</v>
      </c>
      <c r="R72" s="573"/>
      <c r="S72" s="573" t="e">
        <f t="shared" ca="1" si="19"/>
        <v>#DIV/0!</v>
      </c>
      <c r="T72" s="582">
        <f>IFERROR(-SUM(IF(AND('Cash Flow'!V72&gt;=SED_Origination_Date,'Cash Flow'!V72&lt;=SED_Loan_Due_Date),_xlfn.XLOOKUP(V72, INDEX(SED_Table,0,3), INDEX(SED_Table,0,8)),0),IF(AND('Cash Flow'!V72&gt;=Mezz_Origination_Date,'Cash Flow'!V72&lt;=Mezz_Loan_Due_Date,Mezz_Switch="Yes"),_xlfn.XLOOKUP(V72, INDEX(Mezz_Table,0,3), INDEX(Mezz_Table,0,8)),0),IF(AND('Cash Flow'!V72&gt;=Refi_Origination_Date,'Cash Flow'!V72&lt;=Refi_Loan_Due_Date,YEAR(V72)&gt;=YEAR(Refi_Origination_Date),Refi_Switch="Yes"),_xlfn.XLOOKUP(V72, INDEX(Refi_Table,0,3), INDEX(Refi_Table,0,8)),0)),0)</f>
        <v>0</v>
      </c>
      <c r="U72" s="573" t="e">
        <f ca="1">N29/Exit_CAP</f>
        <v>#DIV/0!</v>
      </c>
      <c r="V72" s="583">
        <f>M4</f>
        <v>2527</v>
      </c>
      <c r="W72" s="89"/>
    </row>
    <row r="73" spans="1:23" hidden="1" x14ac:dyDescent="0.25">
      <c r="E73" s="568">
        <v>8</v>
      </c>
      <c r="F73" s="569" t="e">
        <f ca="1">IRR(G73:O73)</f>
        <v>#VALUE!</v>
      </c>
      <c r="G73" s="574">
        <f t="shared" ca="1" si="18"/>
        <v>0</v>
      </c>
      <c r="H73" s="574" t="e">
        <f t="shared" ca="1" si="20"/>
        <v>#VALUE!</v>
      </c>
      <c r="I73" s="574">
        <f t="shared" ca="1" si="21"/>
        <v>0</v>
      </c>
      <c r="J73" s="574">
        <f t="shared" ca="1" si="22"/>
        <v>0</v>
      </c>
      <c r="K73" s="574">
        <f t="shared" ca="1" si="23"/>
        <v>0</v>
      </c>
      <c r="L73" s="574">
        <f t="shared" ca="1" si="24"/>
        <v>0</v>
      </c>
      <c r="M73" s="574">
        <f ca="1">$L$42</f>
        <v>0</v>
      </c>
      <c r="N73" s="574">
        <f ca="1">$M$42</f>
        <v>0</v>
      </c>
      <c r="O73" s="574" t="e">
        <f ca="1">Q73</f>
        <v>#DIV/0!</v>
      </c>
      <c r="P73" s="575"/>
      <c r="Q73" s="572" t="e">
        <f ca="1">T73+U73+S73+O75</f>
        <v>#DIV/0!</v>
      </c>
      <c r="R73" s="573"/>
      <c r="S73" s="573" t="e">
        <f t="shared" ca="1" si="19"/>
        <v>#DIV/0!</v>
      </c>
      <c r="T73" s="582">
        <f>IFERROR(-SUM(IF(AND('Cash Flow'!V73&gt;=SED_Origination_Date,'Cash Flow'!V73&lt;=SED_Loan_Due_Date),_xlfn.XLOOKUP(V73, INDEX(SED_Table,0,3), INDEX(SED_Table,0,8)),0),IF(AND('Cash Flow'!V73&gt;=Mezz_Origination_Date,'Cash Flow'!V73&lt;=Mezz_Loan_Due_Date,Mezz_Switch="Yes"),_xlfn.XLOOKUP(V73, INDEX(Mezz_Table,0,3), INDEX(Mezz_Table,0,8)),0),IF(AND('Cash Flow'!V73&gt;=Refi_Origination_Date,'Cash Flow'!V73&lt;=Refi_Loan_Due_Date,YEAR(V73)&gt;=YEAR(Refi_Origination_Date),Refi_Switch="Yes"),_xlfn.XLOOKUP(V73, INDEX(Refi_Table,0,3), INDEX(Refi_Table,0,8)),0)),0)</f>
        <v>0</v>
      </c>
      <c r="U73" s="573" t="e">
        <f ca="1">O29/Exit_CAP</f>
        <v>#DIV/0!</v>
      </c>
      <c r="V73" s="583">
        <f>N4</f>
        <v>2892</v>
      </c>
      <c r="W73" s="89"/>
    </row>
    <row r="74" spans="1:23" hidden="1" x14ac:dyDescent="0.25">
      <c r="E74" s="568">
        <v>9</v>
      </c>
      <c r="F74" s="569" t="e">
        <f ca="1">IRR(G74:P74)</f>
        <v>#VALUE!</v>
      </c>
      <c r="G74" s="574">
        <f t="shared" ca="1" si="18"/>
        <v>0</v>
      </c>
      <c r="H74" s="574" t="e">
        <f t="shared" ca="1" si="20"/>
        <v>#VALUE!</v>
      </c>
      <c r="I74" s="574">
        <f t="shared" ca="1" si="21"/>
        <v>0</v>
      </c>
      <c r="J74" s="574">
        <f t="shared" ca="1" si="22"/>
        <v>0</v>
      </c>
      <c r="K74" s="574">
        <f t="shared" ca="1" si="23"/>
        <v>0</v>
      </c>
      <c r="L74" s="574">
        <f t="shared" ca="1" si="24"/>
        <v>0</v>
      </c>
      <c r="M74" s="574">
        <f ca="1">$L$42</f>
        <v>0</v>
      </c>
      <c r="N74" s="574">
        <f ca="1">$M$42</f>
        <v>0</v>
      </c>
      <c r="O74" s="574">
        <f ca="1">$N$42</f>
        <v>0</v>
      </c>
      <c r="P74" s="574" t="e">
        <f ca="1">Q74</f>
        <v>#DIV/0!</v>
      </c>
      <c r="Q74" s="572" t="e">
        <f ca="1">T74+U74+S74+P75</f>
        <v>#DIV/0!</v>
      </c>
      <c r="R74" s="573"/>
      <c r="S74" s="573" t="e">
        <f t="shared" ca="1" si="19"/>
        <v>#DIV/0!</v>
      </c>
      <c r="T74" s="582">
        <f>IFERROR(-SUM(IF(AND('Cash Flow'!V74&gt;=SED_Origination_Date,'Cash Flow'!V74&lt;=SED_Loan_Due_Date),_xlfn.XLOOKUP(V74, INDEX(SED_Table,0,3), INDEX(SED_Table,0,8)),0),IF(AND('Cash Flow'!V74&gt;=Mezz_Origination_Date,'Cash Flow'!V74&lt;=Mezz_Loan_Due_Date,Mezz_Switch="Yes"),_xlfn.XLOOKUP(V74, INDEX(Mezz_Table,0,3), INDEX(Mezz_Table,0,8)),0),IF(AND('Cash Flow'!V74&gt;=Refi_Origination_Date,'Cash Flow'!V74&lt;=Refi_Loan_Due_Date,YEAR(V74)&gt;=YEAR(Refi_Origination_Date),Refi_Switch="Yes"),_xlfn.XLOOKUP(V74, INDEX(Refi_Table,0,3), INDEX(Refi_Table,0,8)),0)),0)</f>
        <v>0</v>
      </c>
      <c r="U74" s="573" t="e">
        <f ca="1">P29/Exit_CAP</f>
        <v>#DIV/0!</v>
      </c>
      <c r="V74" s="583">
        <f>O4</f>
        <v>3258</v>
      </c>
      <c r="W74" s="89"/>
    </row>
    <row r="75" spans="1:23" hidden="1" x14ac:dyDescent="0.25">
      <c r="E75" s="568">
        <v>10</v>
      </c>
      <c r="F75" s="569" t="e">
        <f ca="1">IRR(G75:Q75)</f>
        <v>#VALUE!</v>
      </c>
      <c r="G75" s="574">
        <f t="shared" ca="1" si="18"/>
        <v>0</v>
      </c>
      <c r="H75" s="574" t="e">
        <f t="shared" ca="1" si="20"/>
        <v>#VALUE!</v>
      </c>
      <c r="I75" s="574">
        <f t="shared" ca="1" si="21"/>
        <v>0</v>
      </c>
      <c r="J75" s="574">
        <f t="shared" ca="1" si="22"/>
        <v>0</v>
      </c>
      <c r="K75" s="574">
        <f t="shared" ca="1" si="23"/>
        <v>0</v>
      </c>
      <c r="L75" s="574">
        <f t="shared" ca="1" si="24"/>
        <v>0</v>
      </c>
      <c r="M75" s="574">
        <f ca="1">$L$42</f>
        <v>0</v>
      </c>
      <c r="N75" s="574">
        <f ca="1">$M$42</f>
        <v>0</v>
      </c>
      <c r="O75" s="574">
        <f ca="1">$N$42</f>
        <v>0</v>
      </c>
      <c r="P75" s="574">
        <f ca="1">$O$42</f>
        <v>0</v>
      </c>
      <c r="Q75" s="572" t="e">
        <f ca="1">IFERROR(T75+U75+S75-P30, T75+U75+S75)</f>
        <v>#DIV/0!</v>
      </c>
      <c r="R75" s="584"/>
      <c r="S75" s="573" t="e">
        <f t="shared" ca="1" si="19"/>
        <v>#DIV/0!</v>
      </c>
      <c r="T75" s="582">
        <f>IFERROR(-SUM(IF(AND('Cash Flow'!V75&gt;=SED_Origination_Date,'Cash Flow'!V75&lt;=SED_Loan_Due_Date),_xlfn.XLOOKUP(V75, INDEX(SED_Table,0,3), INDEX(SED_Table,0,8)),0),IF(AND('Cash Flow'!V75&gt;=Mezz_Origination_Date,'Cash Flow'!V75&lt;=Mezz_Loan_Due_Date,Mezz_Switch="Yes"),_xlfn.XLOOKUP(V75, INDEX(Mezz_Table,0,3), INDEX(Mezz_Table,0,8)),0),IF(AND('Cash Flow'!V75&gt;=Refi_Origination_Date,'Cash Flow'!V75&lt;=Refi_Loan_Due_Date,YEAR(V75)&gt;=YEAR(Refi_Origination_Date),Refi_Switch="Yes"),_xlfn.XLOOKUP(V75, INDEX(Refi_Table,0,3), INDEX(Refi_Table,0,8)),0)),0)</f>
        <v>0</v>
      </c>
      <c r="U75" s="573" t="e">
        <f ca="1">P29*(1+((P29-O29)/O29))/Exit_CAP</f>
        <v>#DIV/0!</v>
      </c>
      <c r="V75" s="583">
        <f>P4</f>
        <v>3623</v>
      </c>
      <c r="W75" s="89"/>
    </row>
    <row r="76" spans="1:23" hidden="1" x14ac:dyDescent="0.25">
      <c r="E76" s="576">
        <v>11</v>
      </c>
      <c r="F76" s="577" t="e">
        <f ca="1">IRR(H76:R76)</f>
        <v>#VALUE!</v>
      </c>
      <c r="G76" s="578"/>
      <c r="H76" s="579">
        <f ca="1">$F$42</f>
        <v>0</v>
      </c>
      <c r="I76" s="579">
        <f t="shared" ca="1" si="21"/>
        <v>0</v>
      </c>
      <c r="J76" s="579">
        <f t="shared" ca="1" si="22"/>
        <v>0</v>
      </c>
      <c r="K76" s="579">
        <f t="shared" ca="1" si="23"/>
        <v>0</v>
      </c>
      <c r="L76" s="579">
        <f t="shared" ca="1" si="24"/>
        <v>0</v>
      </c>
      <c r="M76" s="579">
        <f ca="1">$L$42</f>
        <v>0</v>
      </c>
      <c r="N76" s="579">
        <f ca="1">$M$42</f>
        <v>0</v>
      </c>
      <c r="O76" s="579">
        <f ca="1">$N$42</f>
        <v>0</v>
      </c>
      <c r="P76" s="579">
        <f ca="1">$O$42</f>
        <v>0</v>
      </c>
      <c r="Q76" s="585">
        <f ca="1">P29+SUM(P40:P41)</f>
        <v>0</v>
      </c>
      <c r="R76" s="581" t="e">
        <f ca="1">V63+(U76+T76+S76)</f>
        <v>#DIV/0!</v>
      </c>
      <c r="S76" s="586" t="e">
        <f t="shared" ca="1" si="19"/>
        <v>#DIV/0!</v>
      </c>
      <c r="T76" s="581">
        <f>IFERROR(-SUM(IF(AND(V76&gt;=DATE(YEAR(SED_Origination_Date)+1,MONTH(SED_Origination_Date),DAY(SED_Origination_Date)),V76&lt;=DATE(YEAR(SED_Loan_Due_Date)+1,MONTH(SED_Loan_Due_Date),DAY(SED_Loan_Due_Date))),_xlfn.XLOOKUP(DATE(YEAR(V76)-1,MONTH(V76),DAY(V76)),INDEX(SED_Table,0,3),INDEX(SED_Table,0,8)),0),IF(AND(V76&gt;=DATE(YEAR(Mezz_Origination_Date)+1,MONTH(Mezz_Origination_Date),DAY(Mezz_Origination_Date)),V76&lt;=DATE(YEAR(Mezz_Loan_Due_Date)-1,MONTH(Mezz_Loan_Due_Date),DAY(Mezz_Loan_Due_Date)),Mezz_Switch="Yes"),_xlfn.XLOOKUP(DATE(YEAR(V76)-1,MONTH(V76),DAY(V76)),INDEX(Mezz_Table,0,3),INDEX(Mezz_Table,0,8)),0),IF(AND(V76&gt;=DATE(YEAR(Refi_Origination_Date)+1,MONTH(Refi_Origination_Date),DAY(Refi_Origination_Date)),V76&lt;=DATE(YEAR(Refi_Loan_Due_Date)+1,MONTH(Refi_Loan_Due_Date),DAY(Refi_Loan_Due_Date)),Refi_Switch="Yes"),_xlfn.XLOOKUP(DATE(YEAR(V76)-1,MONTH(V76),DAY(V76)),INDEX(Refi_Table,0,3),INDEX(Refi_Table,0,8)),0)),0)</f>
        <v>0</v>
      </c>
      <c r="U76" s="581" t="e">
        <f ca="1">U63/Exit_CAP</f>
        <v>#DIV/0!</v>
      </c>
      <c r="V76" s="587">
        <f>DATE(YEAR(V75)+1,MONTH(V75),DAY(1))</f>
        <v>3988</v>
      </c>
      <c r="W76" s="89"/>
    </row>
    <row r="77" spans="1:23" hidden="1" x14ac:dyDescent="0.25">
      <c r="E77" s="568"/>
      <c r="F77" s="557"/>
      <c r="G77" s="559"/>
      <c r="H77" s="559"/>
      <c r="I77" s="559"/>
      <c r="J77" s="559"/>
      <c r="K77" s="588"/>
      <c r="L77" s="588"/>
      <c r="M77" s="588"/>
      <c r="N77" s="588"/>
      <c r="O77" s="588"/>
      <c r="P77" s="588"/>
      <c r="Q77" s="589"/>
      <c r="R77" s="561"/>
      <c r="S77" s="561"/>
      <c r="T77" s="561"/>
      <c r="U77" s="561"/>
      <c r="V77" s="561"/>
      <c r="W77" s="89"/>
    </row>
    <row r="78" spans="1:23" hidden="1" x14ac:dyDescent="0.25">
      <c r="E78" s="568"/>
      <c r="F78" s="557"/>
      <c r="G78" s="559">
        <v>1</v>
      </c>
      <c r="H78" s="559">
        <v>2</v>
      </c>
      <c r="I78" s="559">
        <v>3</v>
      </c>
      <c r="J78" s="559">
        <v>4</v>
      </c>
      <c r="K78" s="559">
        <v>5</v>
      </c>
      <c r="L78" s="559">
        <v>6</v>
      </c>
      <c r="M78" s="559">
        <v>7</v>
      </c>
      <c r="N78" s="559">
        <v>8</v>
      </c>
      <c r="O78" s="559">
        <v>9</v>
      </c>
      <c r="P78" s="559"/>
      <c r="Q78" s="568"/>
      <c r="R78" s="561"/>
      <c r="S78" s="561"/>
      <c r="T78" s="561"/>
      <c r="U78" s="561"/>
      <c r="V78" s="561"/>
      <c r="W78" s="89"/>
    </row>
    <row r="79" spans="1:23" hidden="1" x14ac:dyDescent="0.25">
      <c r="E79" s="568"/>
      <c r="F79" s="557"/>
      <c r="G79" s="588" t="e">
        <f t="shared" ref="G79:O79" ca="1" si="25">G42/-$F$42</f>
        <v>#VALUE!</v>
      </c>
      <c r="H79" s="588" t="e">
        <f t="shared" ca="1" si="25"/>
        <v>#DIV/0!</v>
      </c>
      <c r="I79" s="588" t="e">
        <f t="shared" ca="1" si="25"/>
        <v>#DIV/0!</v>
      </c>
      <c r="J79" s="588" t="e">
        <f t="shared" ca="1" si="25"/>
        <v>#DIV/0!</v>
      </c>
      <c r="K79" s="588" t="e">
        <f t="shared" ca="1" si="25"/>
        <v>#DIV/0!</v>
      </c>
      <c r="L79" s="588" t="e">
        <f t="shared" ca="1" si="25"/>
        <v>#DIV/0!</v>
      </c>
      <c r="M79" s="588" t="e">
        <f t="shared" ca="1" si="25"/>
        <v>#DIV/0!</v>
      </c>
      <c r="N79" s="588" t="e">
        <f t="shared" ca="1" si="25"/>
        <v>#DIV/0!</v>
      </c>
      <c r="O79" s="588" t="e">
        <f t="shared" ca="1" si="25"/>
        <v>#DIV/0!</v>
      </c>
      <c r="P79" s="590"/>
      <c r="Q79" s="568"/>
      <c r="R79" s="561"/>
      <c r="S79" s="561"/>
      <c r="T79" s="561"/>
      <c r="U79" s="561"/>
      <c r="V79" s="561"/>
      <c r="W79" s="89"/>
    </row>
    <row r="80" spans="1:23" hidden="1" x14ac:dyDescent="0.25">
      <c r="A80" s="386"/>
      <c r="B80" s="93"/>
      <c r="C80" s="93"/>
      <c r="D80" s="93"/>
      <c r="E80" s="93"/>
      <c r="F80" s="93"/>
      <c r="G80" s="93"/>
      <c r="H80" s="93"/>
      <c r="I80" s="93"/>
      <c r="J80" s="93"/>
      <c r="K80" s="93"/>
      <c r="L80" s="93"/>
      <c r="M80" s="93"/>
      <c r="N80" s="93"/>
      <c r="O80" s="93"/>
      <c r="P80" s="93"/>
      <c r="Q80" s="93"/>
      <c r="R80" s="93"/>
      <c r="S80" s="93"/>
      <c r="T80" s="93"/>
      <c r="U80" s="93"/>
      <c r="V80" s="87"/>
      <c r="W80" s="89"/>
    </row>
    <row r="81" spans="1:23" hidden="1" x14ac:dyDescent="0.25">
      <c r="A81" s="88"/>
      <c r="B81" s="85"/>
      <c r="C81" s="85"/>
      <c r="D81" s="85"/>
      <c r="E81" s="85"/>
      <c r="F81" s="85"/>
      <c r="G81" s="85"/>
      <c r="H81" s="85"/>
      <c r="I81" s="85"/>
      <c r="J81" s="85"/>
      <c r="K81" s="85"/>
      <c r="L81" s="85"/>
      <c r="M81" s="85"/>
      <c r="N81" s="85"/>
      <c r="O81" s="85"/>
      <c r="P81" s="85"/>
      <c r="Q81" s="85"/>
      <c r="R81" s="85"/>
      <c r="S81" s="85"/>
      <c r="T81" s="85"/>
      <c r="U81" s="85"/>
      <c r="V81" s="89"/>
      <c r="W81" s="89"/>
    </row>
    <row r="82" spans="1:23" x14ac:dyDescent="0.25">
      <c r="A82" s="88"/>
      <c r="B82" s="85"/>
      <c r="C82" s="85"/>
      <c r="D82" s="85"/>
      <c r="E82" s="85"/>
      <c r="F82" s="85"/>
      <c r="G82" s="85"/>
      <c r="H82" s="85"/>
      <c r="I82" s="85"/>
      <c r="J82" s="85"/>
      <c r="K82" s="85"/>
      <c r="L82" s="85"/>
      <c r="M82" s="85"/>
      <c r="N82" s="85"/>
      <c r="O82" s="85"/>
      <c r="P82" s="85"/>
      <c r="Q82" s="85"/>
      <c r="R82" s="85"/>
      <c r="S82" s="85"/>
      <c r="T82" s="85"/>
      <c r="U82" s="85"/>
      <c r="V82" s="85"/>
      <c r="W82" s="89"/>
    </row>
    <row r="83" spans="1:23" x14ac:dyDescent="0.25">
      <c r="A83" s="88"/>
      <c r="B83" s="85"/>
      <c r="C83" s="85"/>
      <c r="D83" s="85"/>
      <c r="E83" s="85"/>
      <c r="F83" s="85"/>
      <c r="G83" s="85"/>
      <c r="H83" s="85"/>
      <c r="I83" s="85"/>
      <c r="J83" s="85"/>
      <c r="K83" s="85"/>
      <c r="L83" s="85"/>
      <c r="M83" s="85"/>
      <c r="N83" s="85"/>
      <c r="O83" s="85"/>
      <c r="P83" s="85"/>
      <c r="Q83" s="85"/>
      <c r="R83" s="85"/>
      <c r="S83" s="85"/>
      <c r="T83" s="85"/>
      <c r="U83" s="85"/>
      <c r="V83" s="85"/>
      <c r="W83" s="89"/>
    </row>
    <row r="84" spans="1:23" x14ac:dyDescent="0.25">
      <c r="A84" s="88"/>
      <c r="B84" s="85"/>
      <c r="C84" s="85"/>
      <c r="D84" s="85"/>
      <c r="E84" s="85"/>
      <c r="F84" s="85"/>
      <c r="G84" s="85"/>
      <c r="H84" s="85"/>
      <c r="I84" s="85"/>
      <c r="J84" s="85"/>
      <c r="K84" s="85"/>
      <c r="L84" s="85"/>
      <c r="M84" s="85"/>
      <c r="N84" s="85"/>
      <c r="O84" s="85"/>
      <c r="P84" s="85"/>
      <c r="Q84" s="85"/>
      <c r="R84" s="85"/>
      <c r="S84" s="85"/>
      <c r="T84" s="85"/>
      <c r="U84" s="85"/>
      <c r="V84" s="85"/>
      <c r="W84" s="89"/>
    </row>
    <row r="85" spans="1:23" x14ac:dyDescent="0.25">
      <c r="A85" s="88"/>
      <c r="B85" s="85"/>
      <c r="C85" s="85"/>
      <c r="D85" s="85"/>
      <c r="E85" s="85"/>
      <c r="F85" s="85"/>
      <c r="G85" s="85"/>
      <c r="H85" s="85"/>
      <c r="I85" s="85"/>
      <c r="J85" s="85"/>
      <c r="K85" s="85"/>
      <c r="L85" s="85"/>
      <c r="M85" s="85"/>
      <c r="N85" s="85"/>
      <c r="O85" s="85"/>
      <c r="P85" s="85"/>
      <c r="Q85" s="85"/>
      <c r="R85" s="85"/>
      <c r="S85" s="85"/>
      <c r="T85" s="85"/>
      <c r="U85" s="85"/>
      <c r="V85" s="85"/>
      <c r="W85" s="89"/>
    </row>
    <row r="86" spans="1:23" x14ac:dyDescent="0.25">
      <c r="A86" s="88"/>
      <c r="B86" s="85"/>
      <c r="C86" s="85"/>
      <c r="D86" s="85"/>
      <c r="E86" s="85"/>
      <c r="F86" s="85"/>
      <c r="G86" s="85"/>
      <c r="H86" s="85"/>
      <c r="I86" s="85"/>
      <c r="J86" s="85"/>
      <c r="K86" s="85"/>
      <c r="L86" s="85"/>
      <c r="M86" s="85"/>
      <c r="N86" s="85"/>
      <c r="O86" s="85"/>
      <c r="P86" s="85"/>
      <c r="Q86" s="85"/>
      <c r="R86" s="85"/>
      <c r="S86" s="85"/>
      <c r="T86" s="85"/>
      <c r="U86" s="85"/>
      <c r="V86" s="85"/>
      <c r="W86" s="89"/>
    </row>
    <row r="87" spans="1:23" x14ac:dyDescent="0.25">
      <c r="A87" s="88"/>
      <c r="B87" s="85"/>
      <c r="C87" s="85"/>
      <c r="D87" s="85"/>
      <c r="E87" s="85"/>
      <c r="F87" s="85"/>
      <c r="G87" s="85"/>
      <c r="H87" s="85"/>
      <c r="I87" s="85"/>
      <c r="J87" s="85"/>
      <c r="K87" s="85"/>
      <c r="L87" s="85"/>
      <c r="M87" s="85"/>
      <c r="N87" s="85"/>
      <c r="O87" s="85"/>
      <c r="P87" s="85"/>
      <c r="Q87" s="85"/>
      <c r="R87" s="85"/>
      <c r="S87" s="85"/>
      <c r="T87" s="85"/>
      <c r="U87" s="85"/>
      <c r="V87" s="85"/>
      <c r="W87" s="89"/>
    </row>
    <row r="88" spans="1:23" x14ac:dyDescent="0.25">
      <c r="A88" s="88"/>
      <c r="B88" s="85"/>
      <c r="C88" s="85"/>
      <c r="D88" s="85"/>
      <c r="E88" s="85"/>
      <c r="F88" s="85"/>
      <c r="G88" s="85"/>
      <c r="H88" s="85"/>
      <c r="I88" s="85"/>
      <c r="J88" s="85"/>
      <c r="K88" s="85"/>
      <c r="L88" s="85"/>
      <c r="M88" s="85"/>
      <c r="N88" s="85"/>
      <c r="O88" s="85"/>
      <c r="P88" s="85"/>
      <c r="Q88" s="85"/>
      <c r="R88" s="85"/>
      <c r="S88" s="85"/>
      <c r="T88" s="85"/>
      <c r="U88" s="85"/>
      <c r="V88" s="85"/>
      <c r="W88" s="89"/>
    </row>
    <row r="89" spans="1:23" x14ac:dyDescent="0.25">
      <c r="A89" s="88"/>
      <c r="B89" s="85"/>
      <c r="C89" s="85"/>
      <c r="D89" s="85"/>
      <c r="E89" s="85"/>
      <c r="F89" s="85"/>
      <c r="G89" s="85"/>
      <c r="H89" s="85"/>
      <c r="I89" s="85"/>
      <c r="J89" s="85"/>
      <c r="K89" s="85"/>
      <c r="L89" s="85"/>
      <c r="M89" s="85"/>
      <c r="N89" s="85"/>
      <c r="O89" s="85"/>
      <c r="P89" s="85"/>
      <c r="Q89" s="85"/>
      <c r="R89" s="85"/>
      <c r="S89" s="85"/>
      <c r="T89" s="85"/>
      <c r="U89" s="85"/>
      <c r="V89" s="85"/>
      <c r="W89" s="89"/>
    </row>
    <row r="90" spans="1:23" x14ac:dyDescent="0.25">
      <c r="A90" s="90"/>
      <c r="B90" s="91"/>
      <c r="C90" s="91"/>
      <c r="D90" s="91"/>
      <c r="E90" s="91"/>
      <c r="F90" s="91"/>
      <c r="G90" s="91"/>
      <c r="H90" s="91"/>
      <c r="I90" s="91"/>
      <c r="J90" s="91"/>
      <c r="K90" s="91"/>
      <c r="L90" s="91"/>
      <c r="M90" s="91"/>
      <c r="N90" s="91"/>
      <c r="O90" s="91"/>
      <c r="P90" s="91"/>
      <c r="Q90" s="91"/>
      <c r="R90" s="91"/>
      <c r="S90" s="91"/>
      <c r="T90" s="91"/>
      <c r="U90" s="91"/>
      <c r="V90" s="91"/>
      <c r="W90" s="92"/>
    </row>
  </sheetData>
  <mergeCells count="4">
    <mergeCell ref="E21:P21"/>
    <mergeCell ref="E31:P31"/>
    <mergeCell ref="E34:P34"/>
    <mergeCell ref="E44:P44"/>
  </mergeCells>
  <conditionalFormatting sqref="F33">
    <cfRule type="cellIs" dxfId="23" priority="1" operator="equal">
      <formula>0</formula>
    </cfRule>
  </conditionalFormatting>
  <conditionalFormatting sqref="F35">
    <cfRule type="expression" dxfId="22" priority="3">
      <formula>$F$35=0</formula>
    </cfRule>
  </conditionalFormatting>
  <conditionalFormatting sqref="F37">
    <cfRule type="expression" dxfId="21" priority="2">
      <formula>$F$37=0</formula>
    </cfRule>
  </conditionalFormatting>
  <conditionalFormatting sqref="F38:F39">
    <cfRule type="expression" dxfId="20" priority="4">
      <formula>$F$39=0</formula>
    </cfRule>
  </conditionalFormatting>
  <printOptions horizontalCentered="1" verticalCentered="1"/>
  <pageMargins left="0.5" right="0.5" top="1.75" bottom="0.5" header="0" footer="0"/>
  <pageSetup scale="70" orientation="landscape" r:id="rId1"/>
  <customProperties>
    <customPr name="GUID" r:id="rId2"/>
  </customProperties>
  <ignoredErrors>
    <ignoredError sqref="F22:G25"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1450-6C2D-4FFF-892A-F18C746E471F}">
  <sheetPr codeName="Sheet11">
    <tabColor theme="4" tint="-0.249977111117893"/>
  </sheetPr>
  <dimension ref="A1:X43"/>
  <sheetViews>
    <sheetView zoomScale="125" zoomScaleNormal="125" workbookViewId="0">
      <selection activeCell="R3" sqref="R3"/>
    </sheetView>
  </sheetViews>
  <sheetFormatPr defaultColWidth="8.85546875" defaultRowHeight="15" x14ac:dyDescent="0.25"/>
  <cols>
    <col min="1" max="1" width="1.140625" customWidth="1"/>
    <col min="2" max="2" width="1.42578125" customWidth="1"/>
    <col min="4" max="4" width="15.42578125" customWidth="1"/>
    <col min="5" max="5" width="2.7109375" customWidth="1"/>
    <col min="13" max="13" width="11.140625" bestFit="1" customWidth="1"/>
    <col min="15" max="15" width="2.42578125" customWidth="1"/>
  </cols>
  <sheetData>
    <row r="1" spans="1:24" x14ac:dyDescent="0.25">
      <c r="A1" s="694"/>
      <c r="B1" s="695"/>
      <c r="C1" s="696" t="s">
        <v>515</v>
      </c>
      <c r="D1" s="695"/>
      <c r="E1" s="695"/>
      <c r="F1" s="697"/>
      <c r="G1" s="697"/>
      <c r="H1" s="697"/>
      <c r="I1" s="697"/>
      <c r="J1" s="697"/>
      <c r="K1" s="697"/>
      <c r="L1" s="695"/>
      <c r="M1" s="695"/>
      <c r="N1" s="695"/>
      <c r="O1" s="695"/>
      <c r="P1" s="695"/>
      <c r="Q1" s="695"/>
      <c r="R1" s="695"/>
      <c r="S1" s="93"/>
      <c r="T1" s="93"/>
      <c r="U1" s="93"/>
      <c r="V1" s="87"/>
    </row>
    <row r="2" spans="1:24" x14ac:dyDescent="0.25">
      <c r="A2" s="698"/>
      <c r="B2" s="377"/>
      <c r="C2" s="377"/>
      <c r="D2" s="779"/>
      <c r="E2" s="699"/>
      <c r="F2" s="743"/>
      <c r="G2" s="743"/>
      <c r="H2" s="743"/>
      <c r="I2" s="743"/>
      <c r="J2" s="743"/>
      <c r="K2" s="743"/>
      <c r="L2" s="672"/>
      <c r="M2" s="672"/>
      <c r="N2" s="672"/>
      <c r="O2" s="377"/>
      <c r="P2" s="672"/>
      <c r="Q2" s="672"/>
      <c r="R2" s="672"/>
      <c r="S2" s="85"/>
      <c r="T2" s="85"/>
      <c r="U2" s="85"/>
      <c r="V2" s="89"/>
    </row>
    <row r="3" spans="1:24" ht="16.5" x14ac:dyDescent="0.3">
      <c r="A3" s="700"/>
      <c r="B3" s="701"/>
      <c r="C3" s="737"/>
      <c r="D3" s="1124" t="s">
        <v>516</v>
      </c>
      <c r="E3" s="774"/>
      <c r="F3" s="744"/>
      <c r="G3" s="744"/>
      <c r="H3" s="744"/>
      <c r="I3" s="744" t="str" cm="1">
        <f t="array" ref="I3">IF(AND(OR(PPIRR_Displncr="Both",PPIRR_DispIncr="Top"),PPIRR_Increments=5),Calculations!P3,"")</f>
        <v>Initial Cash-</v>
      </c>
      <c r="J3" s="744" t="str">
        <f>IF(AND(OR(PPIRR_DispIncr="Both",PPIRR_DispIncr="Top"),PPIRR_Increments=5),Calculations!Q3,"")</f>
        <v>Year 10</v>
      </c>
      <c r="K3" s="744" t="str">
        <f>IF(AND(OR(PPIRR_DispIncr="Both",PPIRR_DispIncr="Top"),PPIRR_Increments=5),Calculations!R3,"")</f>
        <v>Year 10</v>
      </c>
      <c r="L3" s="744"/>
      <c r="M3" s="744"/>
      <c r="N3" s="744"/>
      <c r="O3" s="876"/>
      <c r="P3" s="740"/>
      <c r="Q3" s="735" t="s">
        <v>517</v>
      </c>
      <c r="R3" s="780">
        <v>5</v>
      </c>
      <c r="S3" s="85"/>
      <c r="T3" s="85"/>
      <c r="U3" s="85"/>
      <c r="V3" s="89"/>
      <c r="X3" s="691"/>
    </row>
    <row r="4" spans="1:24" ht="16.5" x14ac:dyDescent="0.25">
      <c r="A4" s="702"/>
      <c r="B4" s="703"/>
      <c r="C4" s="738"/>
      <c r="D4" s="1125"/>
      <c r="E4" s="775"/>
      <c r="F4" s="744" t="str">
        <f>IF(AND(OR(PPIRR_DispIncr="Both",PPIRR_DispIncr="Top"),PPIRR_Increments=5),Calculations!M4,"")</f>
        <v>Purchase</v>
      </c>
      <c r="G4" s="744" t="str">
        <f>IF(AND(OR(PPIRR_DispIncr="Both",PPIRR_DispIncr="Top"),PPIRR_Increments=5),Calculations!N4,"")</f>
        <v>CURRENT</v>
      </c>
      <c r="H4" s="744" t="str">
        <f>IF(AND(OR(PPIRR_DispIncr="Both",PPIRR_DispIncr="Top"),PPIRR_Increments=5),Calculations!O4,"")</f>
        <v>YEAR 1</v>
      </c>
      <c r="I4" s="744" t="str">
        <f>IF(AND(OR(PPIRR_DispIncr="Both",PPIRR_DispIncr="Top"),PPIRR_Increments=5),Calculations!P4,IF(AND(OR(PPIRR_DispIncr="Both",PPIRR_DispIncr="Top"),PPIRR_Increments=4),Calculations!P3,""))</f>
        <v>on-Cash</v>
      </c>
      <c r="J4" s="744" t="str">
        <f>IF(AND(OR(PPIRR_DispIncr="Both",PPIRR_DispIncr="Top"),PPIRR_Increments=5),Calculations!Q4,IF(AND(OR(PPIRR_DispIncr="Both",PPIRR_DispIncr="Top"),PPIRR_Increments=4),Calculations!Q3,""))</f>
        <v>Unlevered</v>
      </c>
      <c r="K4" s="744" t="str">
        <f>IF(AND(OR(PPIRR_DispIncr="Both",PPIRR_DispIncr="Top"),PPIRR_Increments=5),Calculations!R4,IF(AND(OR(PPIRR_DispIncr="Both",PPIRR_DispIncr="Top"),PPIRR_Increments=4),Calculations!R3,""))</f>
        <v>Levered</v>
      </c>
      <c r="L4" s="744" t="str">
        <f>IF(AND(OR(PPIRR_DispIncr="Both",PPIRR_DispIncr="Top"),PPIRR_Increments=5),Calculations!S4,"")</f>
        <v>Price</v>
      </c>
      <c r="M4" s="744" t="str">
        <f>IF(AND(OR(PPIRR_DispIncr="Both",PPIRR_DispIncr="Top"),PPIRR_Increments=5),Calculations!T4,"")</f>
        <v>Price</v>
      </c>
      <c r="N4" s="744" t="str">
        <f>IF(AND(OR(PPIRR_DispIncr="Both",PPIRR_DispIncr="Top"),PPIRR_Increments=5),Calculations!U4,"")</f>
        <v>YEAR 1</v>
      </c>
      <c r="O4" s="877"/>
      <c r="P4" s="741"/>
      <c r="Q4" s="736" t="s">
        <v>518</v>
      </c>
      <c r="R4" s="781" t="s">
        <v>519</v>
      </c>
      <c r="S4" s="85"/>
      <c r="T4" s="85"/>
      <c r="U4" s="85"/>
      <c r="V4" s="89"/>
      <c r="X4" s="692"/>
    </row>
    <row r="5" spans="1:24" ht="16.5" x14ac:dyDescent="0.25">
      <c r="A5" s="704"/>
      <c r="B5" s="705"/>
      <c r="C5" s="739"/>
      <c r="D5" s="1125"/>
      <c r="E5" s="776"/>
      <c r="F5" s="744" t="str">
        <f>IF(AND(OR(PPIRR_DispIncr="Both",PPIRR_DispIncr="Top"),PPIRR_Increments=5),Calculations!M5,IF(AND(OR(PPIRR_DispIncr="Both",PPIRR_DispIncr="Top"),PPIRR_Increments=4),Calculations!M4,""))</f>
        <v>Price</v>
      </c>
      <c r="G5" s="744" t="str">
        <f>IF(AND(OR(PPIRR_DispIncr="Both",PPIRR_DispIncr="Top"),PPIRR_Increments=5),Calculations!N5,IF(AND(OR(PPIRR_DispIncr="Both",PPIRR_DispIncr="Top"),PPIRR_Increments=4),Calculations!N4,""))</f>
        <v>Cap Rate</v>
      </c>
      <c r="H5" s="744" t="str">
        <f>IF(AND(OR(PPIRR_DispIncr="Both",PPIRR_DispIncr="Top"),PPIRR_Increments=5),Calculations!O5,IF(AND(OR(PPIRR_DispIncr="Both",PPIRR_DispIncr="Top"),PPIRR_Increments=4),Calculations!O4,""))</f>
        <v>Cap Rate</v>
      </c>
      <c r="I5" s="744" t="str">
        <f>IFERROR(IF(AND(OR(PPIRR_DispIncr="Both",PPIRR_DispIncr="Top"),PPIRR_Increments=5),Calculations!P5,IF(AND(OR(PPIRR_DispIncr="Both",PPIRR_DispIncr="Top"),PPIRR_Increments=4),Calculations!P4,IF(AND(OR(PPIRR_DispIncr="Both",PPIRR_DispIncr="Top"),PPIRR_Increments=3),Calculations!P3,""))),0)</f>
        <v>Return</v>
      </c>
      <c r="J5" s="744" t="str">
        <f>IF(AND(OR(PPIRR_DispIncr="Both",PPIRR_DispIncr="Top"),PPIRR_Increments=5),Calculations!Q5,IF(AND(OR(PPIRR_DispIncr="Both",PPIRR_DispIncr="Top"),PPIRR_Increments=4),Calculations!Q4,IF(AND(OR(PPIRR_DispIncr="Both",PPIRR_DispIncr="Top"),PPIRR_Increments=3),Calculations!Q3,"")))</f>
        <v>IRR</v>
      </c>
      <c r="K5" s="744" t="str">
        <f>IF(AND(OR(PPIRR_DispIncr="Both",PPIRR_DispIncr="Top"),PPIRR_Increments=5),Calculations!R5,IF(AND(OR(PPIRR_DispIncr="Both",PPIRR_DispIncr="Top"),PPIRR_Increments=4),Calculations!R4,IF(AND(OR(PPIRR_DispIncr="Both",PPIRR_DispIncr="Top"),PPIRR_Increments=3),Calculations!R3,"")))</f>
        <v>IRR</v>
      </c>
      <c r="L5" s="744" t="str">
        <f>IF(AND(OR(PPIRR_DispIncr="Both",PPIRR_DispIncr="Top"),PPIRR_Increments=5),Calculations!S5,IF(AND(OR(PPIRR_DispIncr="Both",PPIRR_DispIncr="Top"),PPIRR_Increments=4),Calculations!S4,""))</f>
        <v>Per SF</v>
      </c>
      <c r="M5" s="744" t="str">
        <f>IF(AND(OR(PPIRR_DispIncr="Both",PPIRR_DispIncr="Top"),PPIRR_Increments=5),Calculations!T5,IF(AND(OR(PPIRR_DispIncr="Both",PPIRR_DispIncr="Top"),PPIRR_Increments=4),Calculations!T4,""))</f>
        <v>Per Unit</v>
      </c>
      <c r="N5" s="744" t="str">
        <f>IF(AND(OR(PPIRR_DispIncr="Both",PPIRR_DispIncr="Top"),PPIRR_Increments=5),Calculations!U5,IF(AND(OR(PPIRR_DispIncr="Both",PPIRR_DispIncr="Top"),PPIRR_Increments=4),Calculations!U4,""))</f>
        <v>GRM</v>
      </c>
      <c r="O5" s="704"/>
      <c r="P5" s="742"/>
      <c r="Q5" s="734"/>
      <c r="R5" s="734"/>
      <c r="S5" s="85"/>
      <c r="T5" s="85"/>
      <c r="U5" s="85"/>
      <c r="V5" s="89"/>
      <c r="X5" s="693"/>
    </row>
    <row r="6" spans="1:24" x14ac:dyDescent="0.25">
      <c r="A6" s="706"/>
      <c r="B6" s="1046"/>
      <c r="C6" s="767"/>
      <c r="D6" s="1125"/>
      <c r="E6" s="777"/>
      <c r="F6" s="763" cm="1">
        <f t="array" ref="F6">IF(AND(OR(PPIRR_DispIncr="Both",PPIRR_DispIncr="Top"),PPIRR_Increments=5),5*Price_Increments+Price,IF(AND(OR(PPIRR_DispIncr="Both",PPIRR_DispIncr="Top"),PPIRR_Increments=4),Calculations!M5,IF(AND(OR(PPIRR_DispIncr="Both",PPIRR_DispIncr="Top"),PPIRR_Increments=3),Calculations!M4,"")))</f>
        <v>0</v>
      </c>
      <c r="G6" s="764">
        <f ca="1">IFERROR(IF(AND(OR(PPIRR_DispIncr="Both",PPIRR_DispIncr="Top"),PPIRR_Increments=5),'Pricing Detail'!$N$13/F6,IF(AND(OR(PPIRR_DispIncr="Both",PPIRR_DispIncr="Top"),PPIRR_Increments=4),Calculations!N5,IF(AND(OR(PPIRR_DispIncr="Both",PPIRR_DispIncr="Top"),PPIRR_Increments=3),Calculations!N4,""))),0)</f>
        <v>0</v>
      </c>
      <c r="H6" s="764">
        <f>IFERROR(IF(AND(OR(PPIRR_DispIncr="Both",PPIRR_DispIncr="Top"),PPIRR_Increments=5),Input!R26,IF(AND(OR(PPIRR_DispIncr="Both",PPIRR_DispIncr="Top"),PPIRR_Increments=4),Calculations!O5,IF(AND(OR(PPIRR_DispIncr="Both",PPIRR_DispIncr="Top"),PPIRR_Increments=3),Calculations!O4,""))),0)</f>
        <v>0</v>
      </c>
      <c r="I6" s="764">
        <f>IFERROR(IF(AND(OR(PPIRR_DispIncr="Both",PPIRR_DispIncr="Top"),PPIRR_Increments=5),Input!S26,IF(AND(OR(PPIRR_DispIncr="Both",PPIRR_DispIncr="Top"),PPIRR_Increments=4),Calculations!P5,IF(AND(OR(PPIRR_DispIncr="Both",PPIRR_DispIncr="Top"),PPIRR_Increments=3),Calculations!P4,IF(AND(OR(PPIRR_DispIncr="Both",PPIRR_DispIncr="Top"),PPIRR_Increments=2),Calculations!P3,"")))),0)</f>
        <v>0</v>
      </c>
      <c r="J6" s="764">
        <f>IFERROR(IF(AND(OR(PPIRR_DispIncr="Both",PPIRR_DispIncr="Top"),PPIRR_Increments=5),Input!T26,IF(AND(OR(PPIRR_DispIncr="Both",PPIRR_DispIncr="Top"),PPIRR_Increments=4),Calculations!Q5,IF(AND(OR(PPIRR_DispIncr="Both",PPIRR_DispIncr="Top"),PPIRR_Increments=3),Calculations!Q4,IF(AND(OR(PPIRR_DispIncr="Both",PPIRR_DispIncr="Top"),PPIRR_Increments=2),Calculations!Q3,"")))),0)</f>
        <v>0</v>
      </c>
      <c r="K6" s="764">
        <f>IFERROR(IF(AND(OR(PPIRR_DispIncr="Both",PPIRR_DispIncr="Top"),PPIRR_Increments=5),Input!U26,IF(AND(OR(PPIRR_DispIncr="Both",PPIRR_DispIncr="Top"),PPIRR_Increments=4),Calculations!R5,IF(AND(OR(PPIRR_DispIncr="Both",PPIRR_DispIncr="Top"),PPIRR_Increments=3),Calculations!R4,IF(AND(OR(PPIRR_DispIncr="Both",PPIRR_DispIncr="Top"),PPIRR_Increments=2),Calculations!R3,"")))),0)</f>
        <v>0</v>
      </c>
      <c r="L6" s="765">
        <f>IFERROR(IF(AND(OR(PPIRR_DispIncr="Both",PPIRR_DispIncr="Top"),PPIRR_Increments=5),Input!V26,IF(AND(OR(PPIRR_DispIncr="Both",PPIRR_DispIncr="Top"),PPIRR_Increments=4),Calculations!S5,IF(AND(OR(PPIRR_DispIncr="Both",PPIRR_DispIncr="Top"),PPIRR_Increments=3),Calculations!S4,""))),0)</f>
        <v>0</v>
      </c>
      <c r="M6" s="763">
        <f>IFERROR(IF(AND(OR(PPIRR_DispIncr="Both",PPIRR_DispIncr="Top"),PPIRR_Increments=5),Input!W26,IF(AND(OR(PPIRR_DispIncr="Both",PPIRR_DispIncr="Top"),PPIRR_Increments=4),Calculations!T5,IF(AND(OR(PPIRR_DispIncr="Both",PPIRR_DispIncr="Top"),PPIRR_Increments=3),Calculations!T4,""))),0)</f>
        <v>0</v>
      </c>
      <c r="N6" s="766">
        <f>IFERROR(IF(AND(OR(PPIRR_DispIncr="Both",PPIRR_DispIncr="Top"),PPIRR_Increments=5),Input!X26,IF(AND(OR(PPIRR_DispIncr="Both",PPIRR_DispIncr="Top"),PPIRR_Increments=4),Calculations!U5,IF(AND(OR(PPIRR_DispIncr="Both",PPIRR_DispIncr="Top"),PPIRR_Increments=3),Calculations!U4,""))),0)</f>
        <v>0</v>
      </c>
      <c r="O6" s="709"/>
      <c r="P6" s="745"/>
      <c r="Q6" s="708"/>
      <c r="R6" s="708"/>
      <c r="S6" s="85"/>
      <c r="T6" s="85"/>
      <c r="U6" s="85"/>
      <c r="V6" s="89"/>
    </row>
    <row r="7" spans="1:24" x14ac:dyDescent="0.25">
      <c r="A7" s="710"/>
      <c r="B7" s="711"/>
      <c r="C7" s="773"/>
      <c r="D7" s="1126"/>
      <c r="E7" s="778"/>
      <c r="F7" s="763" cm="1">
        <f t="array" ref="F7">IF(AND(OR(PPIRR_DispIncr="Both",PPIRR_DispIncr="Top"),PPIRR_Increments=5),4*Price_Increments+Price,IF(AND(OR(PPIRR_DispIncr="Both",PPIRR_DispIncr="Top"),PPIRR_Increments=4),4*Price_Increments+Price,IF(AND(OR(PPIRR_DispIncr="Both",PPIRR_DispIncr="Top"),PPIRR_Increments=3),Calculations!M5,IF(AND(OR(PPIRR_DispIncr="Both",PPIRR_DispIncr="Top"),PPIRR_Increments=2),Calculations!M4,""))))</f>
        <v>0</v>
      </c>
      <c r="G7" s="764">
        <f ca="1">IFERROR(IF(AND(OR(PPIRR_DispIncr="Both",PPIRR_DispIncr="Top"),PPIRR_Increments=5),'Pricing Detail'!$N$13/F7,IF(AND(OR(PPIRR_DispIncr="Both",PPIRR_DispIncr="Top"),PPIRR_Increments=4),'Pricing Detail'!$N$13/F7,IF(AND(OR(PPIRR_DispIncr="Both",PPIRR_DispIncr="Top"),PPIRR_Increments=3),Calculations!N5,IF(AND(OR(PPIRR_DispIncr="Both",PPIRR_DispIncr="Top"),PPIRR_Increments=2),Calculations!N4,"")))),0)</f>
        <v>0</v>
      </c>
      <c r="H7" s="764">
        <f>IFERROR(IF(AND(OR(PPIRR_DispIncr="Both",PPIRR_DispIncr="Top"),PPIRR_Increments=5),Input!R27,IF(AND(OR(PPIRR_DispIncr="Both",PPIRR_DispIncr="Top"),PPIRR_Increments=4),Input!R27,IF(AND(OR(PPIRR_DispIncr="Both",PPIRR_DispIncr="Top"),PPIRR_Increments=3),Calculations!O5,IF(AND(OR(PPIRR_DispIncr="Both",PPIRR_DispIncr="Top"),PPIRR_Increments=2),Calculations!O4,"")))),0)</f>
        <v>0</v>
      </c>
      <c r="I7" s="764">
        <f>IFERROR(IF(AND(OR(PPIRR_DispIncr="Both",PPIRR_DispIncr="Top"),PPIRR_Increments=5),Input!S27,IF(AND(OR(PPIRR_DispIncr="Both",PPIRR_DispIncr="Top"),PPIRR_Increments=4),Input!S27,IF(AND(OR(PPIRR_DispIncr="Both",PPIRR_DispIncr="Top"),PPIRR_Increments=3),Calculations!P5,IF(AND(OR(PPIRR_DispIncr="Both",PPIRR_DispIncr="Top"),PPIRR_Increments=2),Calculations!P4,IF(AND(OR(PPIRR_DispIncr="Both",PPIRR_DispIncr="Top"),PPIRR_Increments=1),Calculations!P3,""))))),0)</f>
        <v>0</v>
      </c>
      <c r="J7" s="764">
        <f>IFERROR(IF(AND(OR(PPIRR_DispIncr="Both",PPIRR_DispIncr="Top"),PPIRR_Increments=5),Input!T27,IF(AND(OR(PPIRR_DispIncr="Both",PPIRR_DispIncr="Top"),PPIRR_Increments=4),Input!T27,IF(AND(OR(PPIRR_DispIncr="Both",PPIRR_DispIncr="Top"),PPIRR_Increments=3),Calculations!Q5,IF(AND(OR(PPIRR_DispIncr="Both",PPIRR_DispIncr="Top"),PPIRR_Increments=2),Calculations!Q4,IF(AND(OR(PPIRR_DispIncr="Both",PPIRR_DispIncr="Top"),PPIRR_Increments=1),Calculations!Q3,""))))),0)</f>
        <v>0</v>
      </c>
      <c r="K7" s="764">
        <f>IFERROR(IF(AND(OR(PPIRR_DispIncr="Both",PPIRR_DispIncr="Top"),PPIRR_Increments=5),Input!U27,IF(AND(OR(PPIRR_DispIncr="Both",PPIRR_DispIncr="Top"),PPIRR_Increments=4),Input!U27,IF(AND(OR(PPIRR_DispIncr="Both",PPIRR_DispIncr="Top"),PPIRR_Increments=3),Calculations!R5,IF(AND(OR(PPIRR_DispIncr="Both",PPIRR_DispIncr="Top"),PPIRR_Increments=2),Calculations!R4,IF(AND(OR(PPIRR_DispIncr="Both",PPIRR_DispIncr="Top"),PPIRR_Increments=1),Calculations!R3,""))))),0)</f>
        <v>0</v>
      </c>
      <c r="L7" s="765">
        <f>IFERROR(IF(AND(OR(PPIRR_DispIncr="Both",PPIRR_DispIncr="Top"),PPIRR_Increments=5),Input!V27,IF(AND(OR(PPIRR_DispIncr="Both",PPIRR_DispIncr="Top"),PPIRR_Increments=4),Input!V27,IF(AND(OR(PPIRR_DispIncr="Both",PPIRR_DispIncr="Top"),PPIRR_Increments=3),Calculations!S5,IF(AND(OR(PPIRR_DispIncr="Both",PPIRR_DispIncr="Top"),PPIRR_Increments=2),Calculations!S4,"")))),0)</f>
        <v>0</v>
      </c>
      <c r="M7" s="763">
        <f>IFERROR(IF(AND(OR(PPIRR_DispIncr="Both",PPIRR_DispIncr="Top"),PPIRR_Increments=5),Input!W27,IF(AND(OR(PPIRR_DispIncr="Both",PPIRR_DispIncr="Top"),PPIRR_Increments=4),Input!W27,IF(AND(OR(PPIRR_DispIncr="Both",PPIRR_DispIncr="Top"),PPIRR_Increments=3),Calculations!T5,IF(AND(OR(PPIRR_DispIncr="Both",PPIRR_DispIncr="Top"),PPIRR_Increments=2),Calculations!T4,"")))),0)</f>
        <v>0</v>
      </c>
      <c r="N7" s="766">
        <f>IFERROR(IF(AND(OR(PPIRR_DispIncr="Both",PPIRR_DispIncr="Top"),PPIRR_Increments=5),Input!X27,IF(AND(OR(PPIRR_DispIncr="Both",PPIRR_DispIncr="Top"),PPIRR_Increments=4),Input!X27,IF(AND(OR(PPIRR_DispIncr="Both",PPIRR_DispIncr="Top"),PPIRR_Increments=3),Calculations!U5,IF(AND(OR(PPIRR_DispIncr="Both",PPIRR_DispIncr="Top"),PPIRR_Increments=2),Calculations!U4,"")))),0)</f>
        <v>0</v>
      </c>
      <c r="O7" s="712"/>
      <c r="P7" s="746"/>
      <c r="Q7" s="709"/>
      <c r="R7" s="709"/>
      <c r="S7" s="85"/>
      <c r="T7" s="85"/>
      <c r="U7" s="85"/>
      <c r="V7" s="89"/>
    </row>
    <row r="8" spans="1:24" x14ac:dyDescent="0.25">
      <c r="A8" s="706"/>
      <c r="B8" s="707"/>
      <c r="C8" s="767"/>
      <c r="D8" s="1127">
        <f ca="1">IF(PPIRR_DispIncr="Top",OFFSET(F11,-PPIRR_Increments,0),IF(PPIRR_DispIncr="Bottom",F11,IF(PPIRR_DispIncr="Both",OFFSET(F11,-PPIRR_Increments,0),"")))</f>
        <v>0</v>
      </c>
      <c r="E8" s="768"/>
      <c r="F8" s="763" cm="1">
        <f t="array" ref="F8">IF(AND(OR(PPIRR_DispIncr="Both",PPIRR_DispIncr="Top"),PPIRR_Increments=5),3*Price_Increments+Price,IF(AND(OR(PPIRR_DispIncr="Both",PPIRR_DispIncr="Top"),PPIRR_Increments=4),3*Price_Increments+Price,IF(AND(OR(PPIRR_DispIncr="Both",PPIRR_DispIncr="Top"),PPIRR_Increments=3),3*Price_Increments+Price,IF(AND(OR(PPIRR_DispIncr="Both",PPIRR_DispIncr="Top"),PPIRR_Increments=2),Calculations!M5,IF(AND(OR(PPIRR_DispIncr="Both",PPIRR_DispIncr="Top"),PPIRR_Increments=1),Calculations!M4,"")))))</f>
        <v>0</v>
      </c>
      <c r="G8" s="764">
        <f ca="1">IFERROR(IF(AND(OR(PPIRR_DispIncr="Both",PPIRR_DispIncr="Top"),PPIRR_Increments=5),'Pricing Detail'!$N$13/F8,IF(AND(OR(PPIRR_DispIncr="Both",PPIRR_DispIncr="Top"),PPIRR_Increments=4),'Pricing Detail'!$N$13/F8,IF(AND(OR(PPIRR_DispIncr="Both",PPIRR_DispIncr="Top"),PPIRR_Increments=3),'Pricing Detail'!$N$13/F8,IF(AND(OR(PPIRR_DispIncr="Both",PPIRR_DispIncr="Top"),PPIRR_Increments=2),Calculations!N5,IF(AND(OR(PPIRR_DispIncr="Both",PPIRR_DispIncr="Top"),PPIRR_Increments=1),Calculations!N4,""))))),0)</f>
        <v>0</v>
      </c>
      <c r="H8" s="764">
        <f>IFERROR(IF(AND(OR(PPIRR_DispIncr="Both",PPIRR_DispIncr="Top"),PPIRR_Increments=5),Input!R28,IF(AND(OR(PPIRR_DispIncr="Both",PPIRR_DispIncr="Top"),PPIRR_Increments=4),Input!R28,IF(AND(OR(PPIRR_DispIncr="Both",PPIRR_DispIncr="Top"),PPIRR_Increments=3),Input!R28,IF(AND(OR(PPIRR_DispIncr="Both",PPIRR_DispIncr="Top"),PPIRR_Increments=2),Calculations!O5,IF(AND(OR(PPIRR_DispIncr="Both",PPIRR_DispIncr="Top"),PPIRR_Increments=1),Calculations!O4,""))))),0)</f>
        <v>0</v>
      </c>
      <c r="I8" s="764">
        <f>IFERROR(IF(AND(OR(PPIRR_DispIncr="Both",PPIRR_DispIncr="Top"),PPIRR_Increments=5),Input!S28,IF(AND(OR(PPIRR_DispIncr="Both",PPIRR_DispIncr="Top"),PPIRR_Increments=4),Input!S28,IF(AND(OR(PPIRR_DispIncr="Both",PPIRR_DispIncr="Top"),PPIRR_Increments=3),Input!S28,IF(AND(OR(PPIRR_DispIncr="Both",PPIRR_DispIncr="Top"),PPIRR_Increments=2),Calculations!P5,IF(AND(OR(PPIRR_DispIncr="Both",PPIRR_DispIncr="Top"),PPIRR_Increments=1),Calculations!P4,IF(AND(OR(PPIRR_DispIncr="Both",PPIRR_DispIncr="Top"),PPIRR_Increments=0),Calculations!P3,IF(PPIRR_DispIncr="Bottom",Calculations!P3,""))))))),0)</f>
        <v>0</v>
      </c>
      <c r="J8" s="764">
        <f>IFERROR(IF(AND(OR(PPIRR_DispIncr="Both",PPIRR_DispIncr="Top"),PPIRR_Increments=5),Input!T28,IF(AND(OR(PPIRR_DispIncr="Both",PPIRR_DispIncr="Top"),PPIRR_Increments=4),Input!T28,IF(AND(OR(PPIRR_DispIncr="Both",PPIRR_DispIncr="Top"),PPIRR_Increments=3),Input!T28,IF(AND(OR(PPIRR_DispIncr="Both",PPIRR_DispIncr="Top"),PPIRR_Increments=2),Calculations!Q5,IF(AND(OR(PPIRR_DispIncr="Both",PPIRR_DispIncr="Top"),PPIRR_Increments=1),Calculations!Q4,IF(AND(OR(PPIRR_DispIncr="Both",PPIRR_DispIncr="Top"),PPIRR_Increments=0),Calculations!Q3,IF(PPIRR_DispIncr="Bottom",Calculations!Q3,""))))))),0)</f>
        <v>0</v>
      </c>
      <c r="K8" s="764">
        <f>IFERROR(IF(AND(OR(PPIRR_DispIncr="Both",PPIRR_DispIncr="Top"),PPIRR_Increments=5),Input!U28,IF(AND(OR(PPIRR_DispIncr="Both",PPIRR_DispIncr="Top"),PPIRR_Increments=4),Input!U28,IF(AND(OR(PPIRR_DispIncr="Both",PPIRR_DispIncr="Top"),PPIRR_Increments=3),Input!U28,IF(AND(OR(PPIRR_DispIncr="Both",PPIRR_DispIncr="Top"),PPIRR_Increments=2),Calculations!R5,IF(AND(OR(PPIRR_DispIncr="Both",PPIRR_DispIncr="Top"),PPIRR_Increments=1),Calculations!R4,IF(AND(OR(PPIRR_DispIncr="Both",PPIRR_DispIncr="Top"),PPIRR_Increments=0),Calculations!R3,IF(PPIRR_DispIncr="Bottom",Calculations!R3,""))))))),0)</f>
        <v>0</v>
      </c>
      <c r="L8" s="765">
        <f>IFERROR(IF(AND(OR(PPIRR_DispIncr="Both",PPIRR_DispIncr="Top"),PPIRR_Increments=5),Input!V28,IF(AND(OR(PPIRR_DispIncr="Both",PPIRR_DispIncr="Top"),PPIRR_Increments=4),Input!V28,IF(AND(OR(PPIRR_DispIncr="Both",PPIRR_DispIncr="Top"),PPIRR_Increments=3),Input!V28,IF(AND(OR(PPIRR_DispIncr="Both",PPIRR_DispIncr="Top"),PPIRR_Increments=2),Calculations!S5,IF(AND(OR(PPIRR_DispIncr="Both",PPIRR_DispIncr="Top"),PPIRR_Increments=1),Calculations!S4,""))))),0)</f>
        <v>0</v>
      </c>
      <c r="M8" s="763">
        <f>IFERROR(IF(AND(OR(PPIRR_DispIncr="Both",PPIRR_DispIncr="Top"),PPIRR_Increments=5),Input!W28,IF(AND(OR(PPIRR_DispIncr="Both",PPIRR_DispIncr="Top"),PPIRR_Increments=4),Input!W28,IF(AND(OR(PPIRR_DispIncr="Both",PPIRR_DispIncr="Top"),PPIRR_Increments=3),Input!W28,IF(AND(OR(PPIRR_DispIncr="Both",PPIRR_DispIncr="Top"),PPIRR_Increments=2),Calculations!T5,IF(AND(OR(PPIRR_DispIncr="Both",PPIRR_DispIncr="Top"),PPIRR_Increments=1),Calculations!T4,""))))),0)</f>
        <v>0</v>
      </c>
      <c r="N8" s="766">
        <f>IFERROR(IF(AND(OR(PPIRR_DispIncr="Both",PPIRR_DispIncr="Top"),PPIRR_Increments=5),Input!X28,IF(AND(OR(PPIRR_DispIncr="Both",PPIRR_DispIncr="Top"),PPIRR_Increments=4),Input!X28,IF(AND(OR(PPIRR_DispIncr="Both",PPIRR_DispIncr="Top"),PPIRR_Increments=3),Input!X28,IF(AND(OR(PPIRR_DispIncr="Both",PPIRR_DispIncr="Top"),PPIRR_Increments=2),Calculations!U5,IF(AND(OR(PPIRR_DispIncr="Both",PPIRR_DispIncr="Top"),PPIRR_Increments=1),Calculations!U4,""))))),0)</f>
        <v>0</v>
      </c>
      <c r="O8" s="712"/>
      <c r="P8" s="746"/>
      <c r="Q8" s="712"/>
      <c r="R8" s="712"/>
      <c r="S8" s="85"/>
      <c r="T8" s="85"/>
      <c r="U8" s="85"/>
      <c r="V8" s="89"/>
    </row>
    <row r="9" spans="1:24" x14ac:dyDescent="0.25">
      <c r="A9" s="706"/>
      <c r="B9" s="707"/>
      <c r="C9" s="767"/>
      <c r="D9" s="1128"/>
      <c r="E9" s="768"/>
      <c r="F9" s="763" cm="1">
        <f t="array" ref="F9">IF(AND(OR(PPIRR_DispIncr="Both",PPIRR_DispIncr="Top"),PPIRR_Increments=5),2*Price_Increments+Price,IF(AND(OR(PPIRR_DispIncr="Both",PPIRR_DispIncr="Top"),PPIRR_Increments=4),2*Price_Increments+Price,IF(AND(OR(PPIRR_DispIncr="Both",PPIRR_DispIncr="Top"),PPIRR_Increments=3),2*Price_Increments+Price,IF(AND(OR(PPIRR_DispIncr="Both",PPIRR_DispIncr="Top"),PPIRR_Increments=2),2*Price_Increments+Price,IF(AND(OR(PPIRR_DispIncr="Both",PPIRR_DispIncr="Top"),PPIRR_Increments=1),Calculations!M5,IF(AND(OR(PPIRR_DispIncr="Both",PPIRR_DispIncr="Top"),PPIRR_Increments=0),Calculations!M4,IF(PPIRR_DispIncr="Bottom",Calculations!M4,"")))))))</f>
        <v>0</v>
      </c>
      <c r="G9" s="764">
        <f ca="1">IFERROR(IF(AND(OR(PPIRR_DispIncr="Both",PPIRR_DispIncr="Top"),PPIRR_Increments=5),'Pricing Detail'!$N$13/F9,IF(AND(OR(PPIRR_DispIncr="Both",PPIRR_DispIncr="Top"),PPIRR_Increments=4),'Pricing Detail'!$N$13/F9,IF(AND(OR(PPIRR_DispIncr="Both",PPIRR_DispIncr="Top"),PPIRR_Increments=3),'Pricing Detail'!$N$13/F9,IF(AND(OR(PPIRR_DispIncr="Both",PPIRR_DispIncr="Top"),PPIRR_Increments=2),'Pricing Detail'!$N$13/F9,IF(AND(OR(PPIRR_DispIncr="Both",PPIRR_DispIncr="Top"),PPIRR_Increments=1),Calculations!N5,IF(AND(OR(PPIRR_DispIncr="Both",PPIRR_DispIncr="Top"),PPIRR_Increments=0),Calculations!N4,IF(PPIRR_DispIncr="Bottom",Calculations!N4,""))))))),0)</f>
        <v>0</v>
      </c>
      <c r="H9" s="764">
        <f>IFERROR(IF(AND(OR(PPIRR_DispIncr="Both",PPIRR_DispIncr="Top"),PPIRR_Increments=5),Input!R29,IF(AND(OR(PPIRR_DispIncr="Both",PPIRR_DispIncr="Top"),PPIRR_Increments=4),Input!R29,IF(AND(OR(PPIRR_DispIncr="Both",PPIRR_DispIncr="Top"),PPIRR_Increments=3),Input!R29,IF(AND(OR(PPIRR_DispIncr="Both",PPIRR_DispIncr="Top"),PPIRR_Increments=2),Input!R29,IF(AND(OR(PPIRR_DispIncr="Both",PPIRR_DispIncr="Top"),PPIRR_Increments=1),Calculations!O5,IF(AND(OR(PPIRR_DispIncr="Both",PPIRR_DispIncr="Top"),PPIRR_Increments=0),Calculations!O4,IF(PPIRR_DispIncr="Bottom",Calculations!O4,""))))))),0)</f>
        <v>0</v>
      </c>
      <c r="I9" s="764">
        <f>IFERROR(IF(AND(OR(PPIRR_DispIncr="Both",PPIRR_DispIncr="Top"),PPIRR_Increments=5),Input!S29,IF(AND(OR(PPIRR_DispIncr="Both",PPIRR_DispIncr="Top"),PPIRR_Increments=4),Input!S29,IF(AND(OR(PPIRR_DispIncr="Both",PPIRR_DispIncr="Top"),PPIRR_Increments=3),Input!S29,IF(AND(OR(PPIRR_DispIncr="Both",PPIRR_DispIncr="Top"),PPIRR_Increments=2),Input!S29,IF(AND(OR(PPIRR_DispIncr="Both",PPIRR_DispIncr="Top"),PPIRR_Increments=1),Calculations!P5,IF(AND(OR(PPIRR_DispIncr="Both",PPIRR_DispIncr="Top"),PPIRR_Increments=0),Calculations!P4,IF(PPIRR_DispIncr="Bottom",Calculations!P4,""))))))),0)</f>
        <v>0</v>
      </c>
      <c r="J9" s="764">
        <f>IFERROR(IF(AND(OR(PPIRR_DispIncr="Both",PPIRR_DispIncr="Top"),PPIRR_Increments=5),Input!T29,IF(AND(OR(PPIRR_DispIncr="Both",PPIRR_DispIncr="Top"),PPIRR_Increments=4),Input!T29,IF(AND(OR(PPIRR_DispIncr="Both",PPIRR_DispIncr="Top"),PPIRR_Increments=3),Input!T29,IF(AND(OR(PPIRR_DispIncr="Both",PPIRR_DispIncr="Top"),PPIRR_Increments=2),Input!T29,IF(AND(OR(PPIRR_DispIncr="Both",PPIRR_DispIncr="Top"),PPIRR_Increments=1),Calculations!Q5,IF(AND(OR(PPIRR_DispIncr="Both",PPIRR_DispIncr="Top"),PPIRR_Increments=0),Calculations!Q4,IF(PPIRR_DispIncr="Bottom",Calculations!Q4,""))))))),0)</f>
        <v>0</v>
      </c>
      <c r="K9" s="764">
        <f>IFERROR(IF(AND(OR(PPIRR_DispIncr="Both",PPIRR_DispIncr="Top"),PPIRR_Increments=5),Input!U29,IF(AND(OR(PPIRR_DispIncr="Both",PPIRR_DispIncr="Top"),PPIRR_Increments=4),Input!U29,IF(AND(OR(PPIRR_DispIncr="Both",PPIRR_DispIncr="Top"),PPIRR_Increments=3),Input!U29,IF(AND(OR(PPIRR_DispIncr="Both",PPIRR_DispIncr="Top"),PPIRR_Increments=2),Input!U29,IF(AND(OR(PPIRR_DispIncr="Both",PPIRR_DispIncr="Top"),PPIRR_Increments=1),Calculations!R5,IF(AND(OR(PPIRR_DispIncr="Both",PPIRR_DispIncr="Top"),PPIRR_Increments=0),Calculations!R4,IF(PPIRR_DispIncr="Bottom",Calculations!R4,""))))))),0)</f>
        <v>0</v>
      </c>
      <c r="L9" s="765">
        <f>IFERROR(IF(AND(OR(PPIRR_DispIncr="Both",PPIRR_DispIncr="Top"),PPIRR_Increments=5),Input!V29,IF(AND(OR(PPIRR_DispIncr="Both",PPIRR_DispIncr="Top"),PPIRR_Increments=4),Input!V29,IF(AND(OR(PPIRR_DispIncr="Both",PPIRR_DispIncr="Top"),PPIRR_Increments=3),Input!V29,IF(AND(OR(PPIRR_DispIncr="Both",PPIRR_DispIncr="Top"),PPIRR_Increments=2),Input!V29,IF(AND(OR(PPIRR_DispIncr="Both",PPIRR_DispIncr="Top"),PPIRR_Increments=1),Calculations!S5,IF(AND(OR(PPIRR_DispIncr="Both",PPIRR_DispIncr="Top"),PPIRR_Increments=0),Calculations!S4,IF(PPIRR_DispIncr="Bottom",Calculations!S4,""))))))),0)</f>
        <v>0</v>
      </c>
      <c r="M9" s="763">
        <f>IFERROR(IF(AND(OR(PPIRR_DispIncr="Both",PPIRR_DispIncr="Top"),PPIRR_Increments=5),Input!W29,IF(AND(OR(PPIRR_DispIncr="Both",PPIRR_DispIncr="Top"),PPIRR_Increments=4),Input!W29,IF(AND(OR(PPIRR_DispIncr="Both",PPIRR_DispIncr="Top"),PPIRR_Increments=3),Input!W29,IF(AND(OR(PPIRR_DispIncr="Both",PPIRR_DispIncr="Top"),PPIRR_Increments=2),Input!W29,IF(AND(OR(PPIRR_DispIncr="Both",PPIRR_DispIncr="Top"),PPIRR_Increments=1),Calculations!T5,IF(AND(OR(PPIRR_DispIncr="Both",PPIRR_DispIncr="Top"),PPIRR_Increments=0),Calculations!T4,IF(PPIRR_DispIncr="Bottom",Calculations!T4,""))))))),0)</f>
        <v>0</v>
      </c>
      <c r="N9" s="766">
        <f>IFERROR(IF(AND(OR(PPIRR_DispIncr="Both",PPIRR_DispIncr="Top"),PPIRR_Increments=5),Input!X29,IF(AND(OR(PPIRR_DispIncr="Both",PPIRR_DispIncr="Top"),PPIRR_Increments=4),Input!X29,IF(AND(OR(PPIRR_DispIncr="Both",PPIRR_DispIncr="Top"),PPIRR_Increments=3),Input!X29,IF(AND(OR(PPIRR_DispIncr="Both",PPIRR_DispIncr="Top"),PPIRR_Increments=2),Input!X29,IF(AND(OR(PPIRR_DispIncr="Both",PPIRR_DispIncr="Top"),PPIRR_Increments=1),Calculations!U5,IF(AND(OR(PPIRR_DispIncr="Both",PPIRR_DispIncr="Top"),PPIRR_Increments=0),Calculations!U4,IF(PPIRR_DispIncr="Bottom",Calculations!U4,""))))))),0)</f>
        <v>0</v>
      </c>
      <c r="O9" s="707"/>
      <c r="P9" s="706"/>
      <c r="Q9" s="712"/>
      <c r="R9" s="712"/>
      <c r="S9" s="85"/>
      <c r="T9" s="85"/>
      <c r="U9" s="85"/>
      <c r="V9" s="89"/>
    </row>
    <row r="10" spans="1:24" x14ac:dyDescent="0.25">
      <c r="A10" s="706"/>
      <c r="B10" s="707"/>
      <c r="C10" s="767"/>
      <c r="D10" s="1128"/>
      <c r="E10" s="768"/>
      <c r="F10" s="878" cm="1">
        <f t="array" ref="F10">IF(AND(OR(PPIRR_DispIncr="Both",PPIRR_DispIncr="Top"),PPIRR_Increments=5),Price_Increments+Price,IF(AND(OR(PPIRR_DispIncr="Both",PPIRR_DispIncr="Top"),PPIRR_Increments=4),Price_Increments+Price,IF(AND(OR(PPIRR_DispIncr="Both",PPIRR_DispIncr="Top"),PPIRR_Increments=3),Price_Increments+Price,IF(AND(OR(PPIRR_DispIncr="Both",PPIRR_DispIncr="Top"),PPIRR_Increments=2),Price_Increments+Price,IF(AND(OR(PPIRR_DispIncr="Both",PPIRR_DispIncr="Top"),PPIRR_Increments=1),Price_Increments+Price,IF(AND(OR(PPIRR_DispIncr="Both",PPIRR_DispIncr="Top"),PPIRR_Increments=0),Calculations!M5,IF(PPIRR_DispIncr="Bottom",Calculations!M5,"")))))))</f>
        <v>0</v>
      </c>
      <c r="G10" s="879">
        <f ca="1">IFERROR(IF(AND(OR(PPIRR_DispIncr="Both",PPIRR_DispIncr="Top"),PPIRR_Increments=5),'Pricing Detail'!$N$13/F10,IF(AND(OR(PPIRR_DispIncr="Both",PPIRR_DispIncr="Top"),PPIRR_Increments=4),'Pricing Detail'!$N$13/F10,IF(AND(OR(PPIRR_DispIncr="Both",PPIRR_DispIncr="Top"),PPIRR_Increments=3),'Pricing Detail'!$N$13/F10,IF(AND(OR(PPIRR_DispIncr="Both",PPIRR_DispIncr="Top"),PPIRR_Increments=2),'Pricing Detail'!$N$13/F10,IF(AND(OR(PPIRR_DispIncr="Both",PPIRR_DispIncr="Top"),PPIRR_Increments=1),'Pricing Detail'!$N$13/F10,IF(AND(OR(PPIRR_DispIncr="Both",PPIRR_DispIncr="Top"),PPIRR_Increments=0),Calculations!N5,IF(PPIRR_DispIncr="Bottom",Calculations!N5,""))))))),0)</f>
        <v>0</v>
      </c>
      <c r="H10" s="879">
        <f>IFERROR(IF(AND(OR(PPIRR_DispIncr="Both",PPIRR_DispIncr="Top"),PPIRR_Increments=5),Input!R30,IF(AND(OR(PPIRR_DispIncr="Both",PPIRR_DispIncr="Top"),PPIRR_Increments=4),Input!R30,IF(AND(OR(PPIRR_DispIncr="Both",PPIRR_DispIncr="Top"),PPIRR_Increments=3),Input!R30,IF(AND(OR(PPIRR_DispIncr="Both",PPIRR_DispIncr="Top"),PPIRR_Increments=2),Input!R30,IF(AND(OR(PPIRR_DispIncr="Both",PPIRR_DispIncr="Top"),PPIRR_Increments=1),Input!R30,IF(AND(OR(PPIRR_DispIncr="Both",PPIRR_DispIncr="Top"),PPIRR_Increments=0),Calculations!O5,IF(PPIRR_DispIncr="Bottom",Calculations!O5,""))))))),0)</f>
        <v>0</v>
      </c>
      <c r="I10" s="879">
        <f>IFERROR(IF(AND(OR(PPIRR_DispIncr="Both",PPIRR_DispIncr="Top"),PPIRR_Increments=5),Input!S30,IF(AND(OR(PPIRR_DispIncr="Both",PPIRR_DispIncr="Top"),PPIRR_Increments=4),Input!S30,IF(AND(OR(PPIRR_DispIncr="Both",PPIRR_DispIncr="Top"),PPIRR_Increments=3),Input!S30,IF(AND(OR(PPIRR_DispIncr="Both",PPIRR_DispIncr="Top"),PPIRR_Increments=2),Input!S30,IF(AND(OR(PPIRR_DispIncr="Both",PPIRR_DispIncr="Top"),PPIRR_Increments=1),Input!S30,IF(AND(OR(PPIRR_DispIncr="Both",PPIRR_DispIncr="Top"),PPIRR_Increments=0),Calculations!P5,IF(PPIRR_DispIncr="Bottom",Calculations!P5,""))))))),0)</f>
        <v>0</v>
      </c>
      <c r="J10" s="879">
        <f>IFERROR(IF(AND(OR(PPIRR_DispIncr="Both",PPIRR_DispIncr="Top"),PPIRR_Increments=5),Input!T30,IF(AND(OR(PPIRR_DispIncr="Both",PPIRR_DispIncr="Top"),PPIRR_Increments=4),Input!T30,IF(AND(OR(PPIRR_DispIncr="Both",PPIRR_DispIncr="Top"),PPIRR_Increments=3),Input!T30,IF(AND(OR(PPIRR_DispIncr="Both",PPIRR_DispIncr="Top"),PPIRR_Increments=2),Input!T30,IF(AND(OR(PPIRR_DispIncr="Both",PPIRR_DispIncr="Top"),PPIRR_Increments=1),Input!T30,IF(AND(OR(PPIRR_DispIncr="Both",PPIRR_DispIncr="Top"),PPIRR_Increments=0),Calculations!Q5,IF(PPIRR_DispIncr="Bottom",Calculations!Q5,""))))))),0)</f>
        <v>0</v>
      </c>
      <c r="K10" s="879">
        <f>IFERROR(IF(AND(OR(PPIRR_DispIncr="Both",PPIRR_DispIncr="Top"),PPIRR_Increments=5),Input!U30,IF(AND(OR(PPIRR_DispIncr="Both",PPIRR_DispIncr="Top"),PPIRR_Increments=4),Input!U30,IF(AND(OR(PPIRR_DispIncr="Both",PPIRR_DispIncr="Top"),PPIRR_Increments=3),Input!U30,IF(AND(OR(PPIRR_DispIncr="Both",PPIRR_DispIncr="Top"),PPIRR_Increments=2),Input!U30,IF(AND(OR(PPIRR_DispIncr="Both",PPIRR_DispIncr="Top"),PPIRR_Increments=1),Input!U30,IF(AND(OR(PPIRR_DispIncr="Both",PPIRR_DispIncr="Top"),PPIRR_Increments=0),Calculations!R5,IF(PPIRR_DispIncr="Bottom",Calculations!R5,""))))))),0)</f>
        <v>0</v>
      </c>
      <c r="L10" s="880">
        <f>IFERROR(IF(AND(OR(PPIRR_DispIncr="Both",PPIRR_DispIncr="Top"),PPIRR_Increments=5),Input!V30,IF(AND(OR(PPIRR_DispIncr="Both",PPIRR_DispIncr="Top"),PPIRR_Increments=4),Input!V30,IF(AND(OR(PPIRR_DispIncr="Both",PPIRR_DispIncr="Top"),PPIRR_Increments=3),Input!V30,IF(AND(OR(PPIRR_DispIncr="Both",PPIRR_DispIncr="Top"),PPIRR_Increments=2),Input!V30,IF(AND(OR(PPIRR_DispIncr="Both",PPIRR_DispIncr="Top"),PPIRR_Increments=1),Input!V30,IF(AND(OR(PPIRR_DispIncr="Both",PPIRR_DispIncr="Top"),PPIRR_Increments=0),Calculations!S5,IF(PPIRR_DispIncr="Bottom",Calculations!S5,""))))))),0)</f>
        <v>0</v>
      </c>
      <c r="M10" s="878">
        <f>IFERROR(IF(AND(OR(PPIRR_DispIncr="Both",PPIRR_DispIncr="Top"),PPIRR_Increments=5),Input!W30,IF(AND(OR(PPIRR_DispIncr="Both",PPIRR_DispIncr="Top"),PPIRR_Increments=4),Input!W30,IF(AND(OR(PPIRR_DispIncr="Both",PPIRR_DispIncr="Top"),PPIRR_Increments=3),Input!W30,IF(AND(OR(PPIRR_DispIncr="Both",PPIRR_DispIncr="Top"),PPIRR_Increments=2),Input!W30,IF(AND(OR(PPIRR_DispIncr="Both",PPIRR_DispIncr="Top"),PPIRR_Increments=1),Input!W30,IF(AND(OR(PPIRR_DispIncr="Both",PPIRR_DispIncr="Top"),PPIRR_Increments=0),Calculations!T5,IF(PPIRR_DispIncr="Bottom",Calculations!T5,""))))))),0)</f>
        <v>0</v>
      </c>
      <c r="N10" s="881">
        <f>IFERROR(IF(AND(OR(PPIRR_DispIncr="Both",PPIRR_DispIncr="Top"),PPIRR_Increments=5),Input!X30,IF(AND(OR(PPIRR_DispIncr="Both",PPIRR_DispIncr="Top"),PPIRR_Increments=4),Input!X30,IF(AND(OR(PPIRR_DispIncr="Both",PPIRR_DispIncr="Top"),PPIRR_Increments=3),Input!X30,IF(AND(OR(PPIRR_DispIncr="Both",PPIRR_DispIncr="Top"),PPIRR_Increments=2),Input!X30,IF(AND(OR(PPIRR_DispIncr="Both",PPIRR_DispIncr="Top"),PPIRR_Increments=1),Input!X30,IF(AND(OR(PPIRR_DispIncr="Both",PPIRR_DispIncr="Top"),PPIRR_Increments=0),Calculations!U5,IF(PPIRR_DispIncr="Bottom",Calculations!U5,""))))))),0)</f>
        <v>0</v>
      </c>
      <c r="O10" s="706"/>
      <c r="P10" s="706"/>
      <c r="Q10" s="707"/>
      <c r="R10" s="712"/>
      <c r="S10" s="85"/>
      <c r="T10" s="85"/>
      <c r="U10" s="85"/>
      <c r="V10" s="89"/>
    </row>
    <row r="11" spans="1:24" x14ac:dyDescent="0.25">
      <c r="A11" s="706"/>
      <c r="B11" s="707"/>
      <c r="C11" s="767"/>
      <c r="D11" s="771" t="s">
        <v>520</v>
      </c>
      <c r="E11" s="768"/>
      <c r="F11" s="886">
        <f>Input!Q21</f>
        <v>0</v>
      </c>
      <c r="G11" s="887">
        <f ca="1">IFERROR('Pricing Detail'!$N$13/F11,0)</f>
        <v>0</v>
      </c>
      <c r="H11" s="888">
        <f>Input!R31</f>
        <v>0</v>
      </c>
      <c r="I11" s="887">
        <f>Input!S31</f>
        <v>0</v>
      </c>
      <c r="J11" s="887">
        <f>IFERROR(Input!T31,0)</f>
        <v>0</v>
      </c>
      <c r="K11" s="887">
        <f>IFERROR(Input!U31,0)</f>
        <v>0</v>
      </c>
      <c r="L11" s="889">
        <f>IFERROR(Input!V31,0)</f>
        <v>0</v>
      </c>
      <c r="M11" s="890">
        <f>IFERROR(Input!W31,0)</f>
        <v>0</v>
      </c>
      <c r="N11" s="891">
        <f>IFERROR(Input!X31,0)</f>
        <v>0</v>
      </c>
      <c r="O11" s="706"/>
      <c r="P11" s="706"/>
      <c r="Q11" s="707"/>
      <c r="R11" s="712"/>
      <c r="S11" s="85"/>
      <c r="T11" s="85"/>
      <c r="U11" s="85"/>
      <c r="V11" s="89"/>
    </row>
    <row r="12" spans="1:24" x14ac:dyDescent="0.25">
      <c r="A12" s="706"/>
      <c r="B12" s="707"/>
      <c r="C12" s="767"/>
      <c r="D12" s="1128">
        <f ca="1">IF(PPIRR_DispIncr="Top",F11,IF(PPIRR_DispIncr="Bottom",OFFSET(F11,PPIRR_Increments,0),IF(PPIRR_DispIncr="Both",OFFSET(F11,PPIRR_Increments,0),"")))</f>
        <v>0</v>
      </c>
      <c r="E12" s="768"/>
      <c r="F12" s="882" cm="1">
        <f t="array" ref="F12">IF(AND(OR(PPIRR_DispIncr="Both",PPIRR_DispIncr="Bottom"),PPIRR_Increments=5),-1*Price_Increments+Price,IF(AND(OR(PPIRR_DispIncr="Both",PPIRR_DispIncr="Bottom"),PPIRR_Increments=4),-1*Price_Increments+Price,IF(AND(OR(PPIRR_DispIncr="Both",PPIRR_DispIncr="Bottom"),PPIRR_Increments=3),-1*Price_Increments+Price,IF(AND(OR(PPIRR_DispIncr="Both",PPIRR_DispIncr="Bottom"),PPIRR_Increments=2),-1*Price_Increments+Price,IF(AND(OR(PPIRR_DispIncr="Both",PPIRR_DispIncr="Bottom"),PPIRR_Increments=1),-1*Price_Increments+Price,"")))))</f>
        <v>0</v>
      </c>
      <c r="G12" s="883">
        <f ca="1">IFERROR(IF(AND(OR(PPIRR_DispIncr="Both",PPIRR_DispIncr="Bottom"),PPIRR_Increments=5),'Pricing Detail'!$N$13/F12,IF(AND(OR(PPIRR_DispIncr="Both",PPIRR_DispIncr="Bottom"),PPIRR_Increments=4),'Pricing Detail'!$N$13/F12,IF(AND(OR(PPIRR_DispIncr="Both",PPIRR_DispIncr="Bottom"),PPIRR_Increments=3),'Pricing Detail'!$N$13/F12,IF(AND(OR(PPIRR_DispIncr="Both",PPIRR_DispIncr="Bottom"),PPIRR_Increments=2),'Pricing Detail'!$N$13/F12,IF(AND(OR(PPIRR_DispIncr="Both",PPIRR_DispIncr="Bottom"),PPIRR_Increments=1),'Pricing Detail'!$N$13/F12,""))))),0)</f>
        <v>0</v>
      </c>
      <c r="H12" s="883">
        <f>IFERROR(IF(AND(OR(PPIRR_DispIncr="Both",PPIRR_DispIncr="Bottom"),PPIRR_Increments=5),Input!R32,IF(AND(OR(PPIRR_DispIncr="Both",PPIRR_DispIncr="Bottom"),PPIRR_Increments=4),Input!R32,IF(AND(OR(PPIRR_DispIncr="Both",PPIRR_DispIncr="Bottom"),PPIRR_Increments=3),Input!R32,IF(AND(OR(PPIRR_DispIncr="Both",PPIRR_DispIncr="Bottom"),PPIRR_Increments=2),Input!R32,IF(AND(OR(PPIRR_DispIncr="Both",PPIRR_DispIncr="Bottom"),PPIRR_Increments=1),Input!R32,""))))),0)</f>
        <v>0</v>
      </c>
      <c r="I12" s="883">
        <f>IFERROR(IF(AND(OR(PPIRR_DispIncr="Both",PPIRR_DispIncr="Bottom"),PPIRR_Increments=5),Input!S32,IF(AND(OR(PPIRR_DispIncr="Both",PPIRR_DispIncr="Bottom"),PPIRR_Increments=4),Input!S32,IF(AND(OR(PPIRR_DispIncr="Both",PPIRR_DispIncr="Bottom"),PPIRR_Increments=3),Input!S32,IF(AND(OR(PPIRR_DispIncr="Both",PPIRR_DispIncr="Bottom"),PPIRR_Increments=2),Input!S32,IF(AND(OR(PPIRR_DispIncr="Both",PPIRR_DispIncr="Bottom"),PPIRR_Increments=1),Input!S32,""))))),0)</f>
        <v>0</v>
      </c>
      <c r="J12" s="883">
        <f>IFERROR(IF(AND(OR(PPIRR_DispIncr="Both",PPIRR_DispIncr="Bottom"),PPIRR_Increments=5),Input!T32,IF(AND(OR(PPIRR_DispIncr="Both",PPIRR_DispIncr="Bottom"),PPIRR_Increments=4),Input!T32,IF(AND(OR(PPIRR_DispIncr="Both",PPIRR_DispIncr="Bottom"),PPIRR_Increments=3),Input!T32,IF(AND(OR(PPIRR_DispIncr="Both",PPIRR_DispIncr="Bottom"),PPIRR_Increments=2),Input!T32,IF(AND(OR(PPIRR_DispIncr="Both",PPIRR_DispIncr="Bottom"),PPIRR_Increments=1),Input!T32,""))))),0)</f>
        <v>0</v>
      </c>
      <c r="K12" s="883">
        <f>IFERROR(IF(AND(OR(PPIRR_DispIncr="Both",PPIRR_DispIncr="Bottom"),PPIRR_Increments=5),Input!U32,IF(AND(OR(PPIRR_DispIncr="Both",PPIRR_DispIncr="Bottom"),PPIRR_Increments=4),Input!U32,IF(AND(OR(PPIRR_DispIncr="Both",PPIRR_DispIncr="Bottom"),PPIRR_Increments=3),Input!U32,IF(AND(OR(PPIRR_DispIncr="Both",PPIRR_DispIncr="Bottom"),PPIRR_Increments=2),Input!U32,IF(AND(OR(PPIRR_DispIncr="Both",PPIRR_DispIncr="Bottom"),PPIRR_Increments=1),Input!U32,""))))),0)</f>
        <v>0</v>
      </c>
      <c r="L12" s="884">
        <f>IFERROR(IF(AND(OR(PPIRR_DispIncr="Both",PPIRR_DispIncr="Bottom"),PPIRR_Increments=5),Input!V32,IF(AND(OR(PPIRR_DispIncr="Both",PPIRR_DispIncr="Bottom"),PPIRR_Increments=4),Input!V32,IF(AND(OR(PPIRR_DispIncr="Both",PPIRR_DispIncr="Bottom"),PPIRR_Increments=3),Input!V32,IF(AND(OR(PPIRR_DispIncr="Both",PPIRR_DispIncr="Bottom"),PPIRR_Increments=2),Input!V32,IF(AND(OR(PPIRR_DispIncr="Both",PPIRR_DispIncr="Bottom"),PPIRR_Increments=1),Input!V32,""))))),0)</f>
        <v>0</v>
      </c>
      <c r="M12" s="882">
        <f>IFERROR(IF(AND(OR(PPIRR_DispIncr="Both",PPIRR_DispIncr="Bottom"),PPIRR_Increments=5),Input!W32,IF(AND(OR(PPIRR_DispIncr="Both",PPIRR_DispIncr="Bottom"),PPIRR_Increments=4),Input!W32,IF(AND(OR(PPIRR_DispIncr="Both",PPIRR_DispIncr="Bottom"),PPIRR_Increments=3),Input!W32,IF(AND(OR(PPIRR_DispIncr="Both",PPIRR_DispIncr="Bottom"),PPIRR_Increments=2),Input!W32,IF(AND(OR(PPIRR_DispIncr="Both",PPIRR_DispIncr="Bottom"),PPIRR_Increments=1),Input!W32,""))))),0)</f>
        <v>0</v>
      </c>
      <c r="N12" s="885">
        <f>IFERROR(IF(AND(OR(PPIRR_DispIncr="Both",PPIRR_DispIncr="Bottom"),PPIRR_Increments=5),Input!X32,IF(AND(OR(PPIRR_DispIncr="Both",PPIRR_DispIncr="Bottom"),PPIRR_Increments=4),Input!X32,IF(AND(OR(PPIRR_DispIncr="Both",PPIRR_DispIncr="Bottom"),PPIRR_Increments=3),Input!X32,IF(AND(OR(PPIRR_DispIncr="Both",PPIRR_DispIncr="Bottom"),PPIRR_Increments=2),Input!X32,IF(AND(OR(PPIRR_DispIncr="Both",PPIRR_DispIncr="Bottom"),PPIRR_Increments=1),Input!X32,""))))),0)</f>
        <v>0</v>
      </c>
      <c r="O12" s="706"/>
      <c r="P12" s="706"/>
      <c r="Q12" s="707"/>
      <c r="R12" s="712"/>
      <c r="S12" s="85"/>
      <c r="T12" s="85"/>
      <c r="U12" s="85"/>
      <c r="V12" s="89"/>
    </row>
    <row r="13" spans="1:24" x14ac:dyDescent="0.25">
      <c r="A13" s="706"/>
      <c r="B13" s="707"/>
      <c r="C13" s="767"/>
      <c r="D13" s="1128"/>
      <c r="E13" s="768"/>
      <c r="F13" s="763" cm="1">
        <f t="array" ref="F13">IF(AND(OR(PPIRR_DispIncr="Both",PPIRR_DispIncr="Bottom"),PPIRR_Increments=5),-2*Price_Increments+Price,IF(AND(OR(PPIRR_DispIncr="Both",PPIRR_DispIncr="Bottom"),PPIRR_Increments=4),-2*Price_Increments+Price,IF(AND(OR(PPIRR_DispIncr="Both",PPIRR_DispIncr="Bottom"),PPIRR_Increments=3),-2*Price_Increments+Price,IF(AND(OR(PPIRR_DispIncr="Both",PPIRR_DispIncr="Bottom"),PPIRR_Increments=2),-2*Price_Increments+Price,""))))</f>
        <v>0</v>
      </c>
      <c r="G13" s="764">
        <f ca="1">IFERROR(IF(AND(OR(PPIRR_DispIncr="Both",PPIRR_DispIncr="Bottom"),PPIRR_Increments=5),'Pricing Detail'!$N$13/F13,IF(AND(OR(PPIRR_DispIncr="Both",PPIRR_DispIncr="Bottom"),PPIRR_Increments=4),'Pricing Detail'!$N$13/F13,IF(AND(OR(PPIRR_DispIncr="Both",PPIRR_DispIncr="Bottom"),PPIRR_Increments=3),'Pricing Detail'!$N$13/F13,IF(AND(OR(PPIRR_DispIncr="Both",PPIRR_DispIncr="Bottom"),PPIRR_Increments=2),'Pricing Detail'!$N$13/F13,"")))),0)</f>
        <v>0</v>
      </c>
      <c r="H13" s="764">
        <f>IFERROR(IF(AND(OR(PPIRR_DispIncr="Both",PPIRR_DispIncr="Bottom"),PPIRR_Increments=5),Input!R33,IF(AND(OR(PPIRR_DispIncr="Both",PPIRR_DispIncr="Bottom"),PPIRR_Increments=4),Input!R33,IF(AND(OR(PPIRR_DispIncr="Both",PPIRR_DispIncr="Bottom"),PPIRR_Increments=3),Input!R33,IF(AND(OR(PPIRR_DispIncr="Both",PPIRR_DispIncr="Bottom"),PPIRR_Increments=2),Input!R33,"")))),0)</f>
        <v>0</v>
      </c>
      <c r="I13" s="764">
        <f>IFERROR(IF(AND(OR(PPIRR_DispIncr="Both",PPIRR_DispIncr="Bottom"),PPIRR_Increments=5),Input!S33,IF(AND(OR(PPIRR_DispIncr="Both",PPIRR_DispIncr="Bottom"),PPIRR_Increments=4),Input!S33,IF(AND(OR(PPIRR_DispIncr="Both",PPIRR_DispIncr="Bottom"),PPIRR_Increments=3),Input!S33,IF(AND(OR(PPIRR_DispIncr="Both",PPIRR_DispIncr="Bottom"),PPIRR_Increments=2),Input!S33,"")))),0)</f>
        <v>0</v>
      </c>
      <c r="J13" s="764">
        <f>IFERROR(IF(AND(OR(PPIRR_DispIncr="Both",PPIRR_DispIncr="Bottom"),PPIRR_Increments=5),Input!T33,IF(AND(OR(PPIRR_DispIncr="Both",PPIRR_DispIncr="Bottom"),PPIRR_Increments=4),Input!T33,IF(AND(OR(PPIRR_DispIncr="Both",PPIRR_DispIncr="Bottom"),PPIRR_Increments=3),Input!T33,IF(AND(OR(PPIRR_DispIncr="Both",PPIRR_DispIncr="Bottom"),PPIRR_Increments=2),Input!T33,"")))),0)</f>
        <v>0</v>
      </c>
      <c r="K13" s="764">
        <f>IFERROR(IF(AND(OR(PPIRR_DispIncr="Both",PPIRR_DispIncr="Bottom"),PPIRR_Increments=5),Input!U33,IF(AND(OR(PPIRR_DispIncr="Both",PPIRR_DispIncr="Bottom"),PPIRR_Increments=4),Input!U33,IF(AND(OR(PPIRR_DispIncr="Both",PPIRR_DispIncr="Bottom"),PPIRR_Increments=3),Input!U33,IF(AND(OR(PPIRR_DispIncr="Both",PPIRR_DispIncr="Bottom"),PPIRR_Increments=2),Input!U33,"")))),0)</f>
        <v>0</v>
      </c>
      <c r="L13" s="765">
        <f>IFERROR(IF(AND(OR(PPIRR_DispIncr="Both",PPIRR_DispIncr="Bottom"),PPIRR_Increments=5),Input!V33,IF(AND(OR(PPIRR_DispIncr="Both",PPIRR_DispIncr="Bottom"),PPIRR_Increments=4),Input!V33,IF(AND(OR(PPIRR_DispIncr="Both",PPIRR_DispIncr="Bottom"),PPIRR_Increments=3),Input!V33,IF(AND(OR(PPIRR_DispIncr="Both",PPIRR_DispIncr="Bottom"),PPIRR_Increments=2),Input!V33,"")))),0)</f>
        <v>0</v>
      </c>
      <c r="M13" s="763">
        <f>IFERROR(IF(AND(OR(PPIRR_DispIncr="Both",PPIRR_DispIncr="Bottom"),PPIRR_Increments=5),Input!W33,IF(AND(OR(PPIRR_DispIncr="Both",PPIRR_DispIncr="Bottom"),PPIRR_Increments=4),Input!W33,IF(AND(OR(PPIRR_DispIncr="Both",PPIRR_DispIncr="Bottom"),PPIRR_Increments=3),Input!W33,IF(AND(OR(PPIRR_DispIncr="Both",PPIRR_DispIncr="Bottom"),PPIRR_Increments=2),Input!W33,"")))),0)</f>
        <v>0</v>
      </c>
      <c r="N13" s="766">
        <f>IFERROR(IF(AND(OR(PPIRR_DispIncr="Both",PPIRR_DispIncr="Bottom"),PPIRR_Increments=5),Input!X33,IF(AND(OR(PPIRR_DispIncr="Both",PPIRR_DispIncr="Bottom"),PPIRR_Increments=4),Input!X33,IF(AND(OR(PPIRR_DispIncr="Both",PPIRR_DispIncr="Bottom"),PPIRR_Increments=3),Input!X33,IF(AND(OR(PPIRR_DispIncr="Both",PPIRR_DispIncr="Bottom"),PPIRR_Increments=2),Input!X33,"")))),0)</f>
        <v>0</v>
      </c>
      <c r="O13" s="706"/>
      <c r="P13" s="706"/>
      <c r="Q13" s="707"/>
      <c r="R13" s="712"/>
      <c r="S13" s="85"/>
      <c r="T13" s="85"/>
      <c r="U13" s="85"/>
      <c r="V13" s="89"/>
    </row>
    <row r="14" spans="1:24" x14ac:dyDescent="0.25">
      <c r="A14" s="706"/>
      <c r="B14" s="707"/>
      <c r="C14" s="767"/>
      <c r="D14" s="1128"/>
      <c r="E14" s="768"/>
      <c r="F14" s="763" cm="1">
        <f t="array" ref="F14">IF(AND(OR(PPIRR_DispIncr="Both",PPIRR_DispIncr="Bottom"),PPIRR_Increments=5),-3*Price_Increments+Price,IF(AND(OR(PPIRR_DispIncr="Both",PPIRR_DispIncr="Bottom"),PPIRR_Increments=4),-3*Price_Increments+Price,IF(AND(OR(PPIRR_DispIncr="Both",PPIRR_DispIncr="Bottom"),PPIRR_Increments=3),-3*Price_Increments+Price,"")))</f>
        <v>0</v>
      </c>
      <c r="G14" s="764">
        <f ca="1">IFERROR(IF(AND(OR(PPIRR_DispIncr="Both",PPIRR_DispIncr="Bottom"),PPIRR_Increments=5),'Pricing Detail'!$N$13/F14,IF(AND(OR(PPIRR_DispIncr="Both",PPIRR_DispIncr="Bottom"),PPIRR_Increments=4),'Pricing Detail'!$N$13/F14,IF(AND(OR(PPIRR_DispIncr="Both",PPIRR_DispIncr="Bottom"),PPIRR_Increments=3),'Pricing Detail'!$N$13/F14,""))),0)</f>
        <v>0</v>
      </c>
      <c r="H14" s="764">
        <f>IFERROR(IF(AND(OR(PPIRR_DispIncr="Both",PPIRR_DispIncr="Bottom"),PPIRR_Increments=5),Input!R34,IF(AND(OR(PPIRR_DispIncr="Both",PPIRR_DispIncr="Bottom"),PPIRR_Increments=4),Input!R34,IF(AND(OR(PPIRR_DispIncr="Both",PPIRR_DispIncr="Bottom"),PPIRR_Increments=3),Input!R34,""))),0)</f>
        <v>0</v>
      </c>
      <c r="I14" s="764">
        <f>IFERROR(IF(AND(OR(PPIRR_DispIncr="Both",PPIRR_DispIncr="Bottom"),PPIRR_Increments=5),Input!S34,IF(AND(OR(PPIRR_DispIncr="Both",PPIRR_DispIncr="Bottom"),PPIRR_Increments=4),Input!S34,IF(AND(OR(PPIRR_DispIncr="Both",PPIRR_DispIncr="Bottom"),PPIRR_Increments=3),Input!S34,""))),0)</f>
        <v>0</v>
      </c>
      <c r="J14" s="764">
        <f>IFERROR(IF(AND(OR(PPIRR_DispIncr="Both",PPIRR_DispIncr="Bottom"),PPIRR_Increments=5),Input!T34,IF(AND(OR(PPIRR_DispIncr="Both",PPIRR_DispIncr="Bottom"),PPIRR_Increments=4),Input!T34,IF(AND(OR(PPIRR_DispIncr="Both",PPIRR_DispIncr="Bottom"),PPIRR_Increments=3),Input!T34,""))),0)</f>
        <v>0</v>
      </c>
      <c r="K14" s="764">
        <f>IFERROR(IF(AND(OR(PPIRR_DispIncr="Both",PPIRR_DispIncr="Bottom"),PPIRR_Increments=5),Input!U34,IF(AND(OR(PPIRR_DispIncr="Both",PPIRR_DispIncr="Bottom"),PPIRR_Increments=4),Input!U34,IF(AND(OR(PPIRR_DispIncr="Both",PPIRR_DispIncr="Bottom"),PPIRR_Increments=3),Input!U34,""))),0)</f>
        <v>0</v>
      </c>
      <c r="L14" s="765">
        <f>IFERROR(IF(AND(OR(PPIRR_DispIncr="Both",PPIRR_DispIncr="Bottom"),PPIRR_Increments=5),Input!V34,IF(AND(OR(PPIRR_DispIncr="Both",PPIRR_DispIncr="Bottom"),PPIRR_Increments=4),Input!V34,IF(AND(OR(PPIRR_DispIncr="Both",PPIRR_DispIncr="Bottom"),PPIRR_Increments=3),Input!V34,""))),0)</f>
        <v>0</v>
      </c>
      <c r="M14" s="763">
        <f>IFERROR(IF(AND(OR(PPIRR_DispIncr="Both",PPIRR_DispIncr="Bottom"),PPIRR_Increments=5),Input!W34,IF(AND(OR(PPIRR_DispIncr="Both",PPIRR_DispIncr="Bottom"),PPIRR_Increments=4),Input!W34,IF(AND(OR(PPIRR_DispIncr="Both",PPIRR_DispIncr="Bottom"),PPIRR_Increments=3),Input!W34,""))),0)</f>
        <v>0</v>
      </c>
      <c r="N14" s="766">
        <f>IFERROR(IF(AND(OR(PPIRR_DispIncr="Both",PPIRR_DispIncr="Bottom"),PPIRR_Increments=5),Input!X34,IF(AND(OR(PPIRR_DispIncr="Both",PPIRR_DispIncr="Bottom"),PPIRR_Increments=4),Input!X34,IF(AND(OR(PPIRR_DispIncr="Both",PPIRR_DispIncr="Bottom"),PPIRR_Increments=3),Input!X34,""))),0)</f>
        <v>0</v>
      </c>
      <c r="O14" s="706"/>
      <c r="P14" s="706"/>
      <c r="Q14" s="707"/>
      <c r="R14" s="712"/>
      <c r="S14" s="85"/>
      <c r="T14" s="85"/>
      <c r="U14" s="85"/>
      <c r="V14" s="89"/>
    </row>
    <row r="15" spans="1:24" x14ac:dyDescent="0.25">
      <c r="A15" s="706"/>
      <c r="B15" s="707"/>
      <c r="C15" s="767"/>
      <c r="D15" s="772"/>
      <c r="E15" s="768"/>
      <c r="F15" s="763" cm="1">
        <f t="array" ref="F15">IF(AND(OR(PPIRR_DispIncr="Both",PPIRR_DispIncr="Bottom"),PPIRR_Increments=5),-4*Price_Increments+Price,IF(AND(OR(PPIRR_DispIncr="Both",PPIRR_DispIncr="Bottom"),PPIRR_Increments=4),-4*Price_Increments+Price,""))</f>
        <v>0</v>
      </c>
      <c r="G15" s="764">
        <f ca="1">IFERROR(IF(AND(OR(PPIRR_DispIncr="Both",PPIRR_DispIncr="Bottom"),PPIRR_Increments=5),'Pricing Detail'!$N$13/F15,IF(AND(OR(PPIRR_DispIncr="Both",PPIRR_DispIncr="Bottom"),PPIRR_Increments=4),'Pricing Detail'!$N$13/F15,"")),0)</f>
        <v>0</v>
      </c>
      <c r="H15" s="764">
        <f>IFERROR(IF(AND(OR(PPIRR_DispIncr="Both",PPIRR_DispIncr="Bottom"),PPIRR_Increments=5),Input!R35,IF(AND(OR(PPIRR_DispIncr="Both",PPIRR_DispIncr="Bottom"),PPIRR_Increments=4),Input!R35,"")),0)</f>
        <v>0</v>
      </c>
      <c r="I15" s="764">
        <f>IFERROR(IF(AND(OR(PPIRR_DispIncr="Both",PPIRR_DispIncr="Bottom"),PPIRR_Increments=5),Input!S35,IF(AND(OR(PPIRR_DispIncr="Both",PPIRR_DispIncr="Bottom"),PPIRR_Increments=4),Input!S35,"")),0)</f>
        <v>0</v>
      </c>
      <c r="J15" s="764">
        <f>IFERROR(IF(AND(OR(PPIRR_DispIncr="Both",PPIRR_DispIncr="Bottom"),PPIRR_Increments=5),Input!T35,IF(AND(OR(PPIRR_DispIncr="Both",PPIRR_DispIncr="Bottom"),PPIRR_Increments=4),Input!T35,"")),0)</f>
        <v>0</v>
      </c>
      <c r="K15" s="764">
        <f>IFERROR(IF(AND(OR(PPIRR_DispIncr="Both",PPIRR_DispIncr="Bottom"),PPIRR_Increments=5),Input!U35,IF(AND(OR(PPIRR_DispIncr="Both",PPIRR_DispIncr="Bottom"),PPIRR_Increments=4),Input!U35,"")),0)</f>
        <v>0</v>
      </c>
      <c r="L15" s="765">
        <f>IFERROR(IF(AND(OR(PPIRR_DispIncr="Both",PPIRR_DispIncr="Bottom"),PPIRR_Increments=5),Input!V35,IF(AND(OR(PPIRR_DispIncr="Both",PPIRR_DispIncr="Bottom"),PPIRR_Increments=4),Input!V35,"")),0)</f>
        <v>0</v>
      </c>
      <c r="M15" s="763">
        <f>IFERROR(IF(AND(OR(PPIRR_DispIncr="Both",PPIRR_DispIncr="Bottom"),PPIRR_Increments=5),Input!W35,IF(AND(OR(PPIRR_DispIncr="Both",PPIRR_DispIncr="Bottom"),PPIRR_Increments=4),Input!W35,"")),0)</f>
        <v>0</v>
      </c>
      <c r="N15" s="766">
        <f>IFERROR(IF(AND(OR(PPIRR_DispIncr="Both",PPIRR_DispIncr="Bottom"),PPIRR_Increments=5),Input!X35,IF(AND(OR(PPIRR_DispIncr="Both",PPIRR_DispIncr="Bottom"),PPIRR_Increments=4),Input!X35,"")),0)</f>
        <v>0</v>
      </c>
      <c r="O15" s="706"/>
      <c r="P15" s="706"/>
      <c r="Q15" s="707"/>
      <c r="R15" s="712"/>
      <c r="S15" s="85"/>
      <c r="T15" s="85"/>
      <c r="U15" s="85"/>
      <c r="V15" s="89"/>
    </row>
    <row r="16" spans="1:24" x14ac:dyDescent="0.25">
      <c r="A16" s="706"/>
      <c r="B16" s="707"/>
      <c r="C16" s="767"/>
      <c r="D16" s="772"/>
      <c r="E16" s="769"/>
      <c r="F16" s="763" cm="1">
        <f t="array" ref="F16">IF(AND(OR(PPIRR_DispIncr="Both",PPIRR_DispIncr="Bottom"),PPIRR_Increments=5),-5*Price_Increments+Price,"")</f>
        <v>0</v>
      </c>
      <c r="G16" s="764">
        <f ca="1">IFERROR(IF(AND(OR(PPIRR_DispIncr="Both",PPIRR_DispIncr="Bottom"),PPIRR_Increments=5),'Pricing Detail'!$N$13/F16,""),0)</f>
        <v>0</v>
      </c>
      <c r="H16" s="764">
        <f>IFERROR(IF(AND(OR(PPIRR_DispIncr="Both",PPIRR_DispIncr="Bottom"),PPIRR_Increments=5),Input!R36,""),0)</f>
        <v>0</v>
      </c>
      <c r="I16" s="764">
        <f>IFERROR(IF(AND(OR(PPIRR_DispIncr="Both",PPIRR_DispIncr="Bottom"),PPIRR_Increments=5),Input!S36,""),0)</f>
        <v>0</v>
      </c>
      <c r="J16" s="764">
        <f>IFERROR(IF(AND(OR(PPIRR_DispIncr="Both",PPIRR_DispIncr="Bottom"),PPIRR_Increments=5),Input!T36,""),0)</f>
        <v>0</v>
      </c>
      <c r="K16" s="764">
        <f>IFERROR(IF(AND(OR(PPIRR_DispIncr="Both",PPIRR_DispIncr="Bottom"),PPIRR_Increments=5),Input!U36,""),0)</f>
        <v>0</v>
      </c>
      <c r="L16" s="765">
        <f>IFERROR(IF(AND(OR(PPIRR_DispIncr="Both",PPIRR_DispIncr="Bottom"),PPIRR_Increments=5),Input!V36,""),0)</f>
        <v>0</v>
      </c>
      <c r="M16" s="763">
        <f>IFERROR(IF(AND(OR(PPIRR_DispIncr="Both",PPIRR_DispIncr="Bottom"),PPIRR_Increments=5),Input!W36,""),0)</f>
        <v>0</v>
      </c>
      <c r="N16" s="766">
        <f>IFERROR(IF(AND(OR(PPIRR_DispIncr="Both",PPIRR_DispIncr="Bottom"),PPIRR_Increments=5),Input!X36,""),0)</f>
        <v>0</v>
      </c>
      <c r="O16" s="706"/>
      <c r="P16" s="706"/>
      <c r="Q16" s="707"/>
      <c r="R16" s="712"/>
      <c r="S16" s="85"/>
      <c r="T16" s="85"/>
      <c r="U16" s="85"/>
      <c r="V16" s="89"/>
    </row>
    <row r="17" spans="1:22" x14ac:dyDescent="0.25">
      <c r="A17" s="706"/>
      <c r="B17" s="707"/>
      <c r="C17" s="707"/>
      <c r="D17" s="770"/>
      <c r="E17" s="713"/>
      <c r="F17" s="747"/>
      <c r="G17" s="747"/>
      <c r="H17" s="748"/>
      <c r="I17" s="748"/>
      <c r="J17" s="748"/>
      <c r="K17" s="748"/>
      <c r="L17" s="749"/>
      <c r="M17" s="747"/>
      <c r="N17" s="750"/>
      <c r="O17" s="707"/>
      <c r="P17" s="707"/>
      <c r="Q17" s="707"/>
      <c r="R17" s="712"/>
      <c r="S17" s="85"/>
      <c r="T17" s="85"/>
      <c r="U17" s="85"/>
      <c r="V17" s="89"/>
    </row>
    <row r="18" spans="1:22" x14ac:dyDescent="0.25">
      <c r="A18" s="706"/>
      <c r="B18" s="707"/>
      <c r="C18" s="707"/>
      <c r="D18" s="464"/>
      <c r="E18" s="713"/>
      <c r="F18" s="714"/>
      <c r="G18" s="714"/>
      <c r="H18" s="715"/>
      <c r="I18" s="715"/>
      <c r="J18" s="715"/>
      <c r="K18" s="715"/>
      <c r="L18" s="716"/>
      <c r="M18" s="714"/>
      <c r="N18" s="707"/>
      <c r="O18" s="707"/>
      <c r="P18" s="707"/>
      <c r="Q18" s="707"/>
      <c r="R18" s="712"/>
      <c r="S18" s="85"/>
      <c r="T18" s="85"/>
      <c r="U18" s="85"/>
      <c r="V18" s="89"/>
    </row>
    <row r="19" spans="1:22" x14ac:dyDescent="0.25">
      <c r="A19" s="706"/>
      <c r="B19" s="707"/>
      <c r="C19" s="707"/>
      <c r="D19" s="851"/>
      <c r="E19" s="852"/>
      <c r="F19" s="853"/>
      <c r="G19" s="853"/>
      <c r="H19" s="854"/>
      <c r="I19" s="854"/>
      <c r="J19" s="715"/>
      <c r="K19" s="854"/>
      <c r="L19" s="858"/>
      <c r="M19" s="859"/>
      <c r="N19" s="860"/>
      <c r="O19" s="707"/>
      <c r="P19" s="707"/>
      <c r="Q19" s="707"/>
      <c r="R19" s="712"/>
      <c r="S19" s="85"/>
      <c r="T19" s="85"/>
      <c r="U19" s="85"/>
      <c r="V19" s="89"/>
    </row>
    <row r="20" spans="1:22" x14ac:dyDescent="0.25">
      <c r="A20" s="706"/>
      <c r="B20" s="707"/>
      <c r="C20" s="767"/>
      <c r="D20" s="1121" t="s">
        <v>521</v>
      </c>
      <c r="E20" s="1122"/>
      <c r="F20" s="1122"/>
      <c r="G20" s="1122"/>
      <c r="H20" s="1122"/>
      <c r="I20" s="1123"/>
      <c r="J20" s="768"/>
      <c r="K20" s="521" t="s">
        <v>522</v>
      </c>
      <c r="L20" s="521"/>
      <c r="M20" s="522" t="s">
        <v>464</v>
      </c>
      <c r="N20" s="522" t="s">
        <v>523</v>
      </c>
      <c r="O20" s="718"/>
      <c r="P20" s="718"/>
      <c r="Q20" s="707"/>
      <c r="R20" s="707"/>
      <c r="S20" s="85"/>
      <c r="T20" s="85"/>
      <c r="U20" s="85"/>
      <c r="V20" s="89"/>
    </row>
    <row r="21" spans="1:22" x14ac:dyDescent="0.25">
      <c r="A21" s="718"/>
      <c r="B21" s="717"/>
      <c r="C21" s="717"/>
      <c r="D21" s="855" t="s">
        <v>524</v>
      </c>
      <c r="E21" s="855"/>
      <c r="F21" s="856"/>
      <c r="G21" s="856"/>
      <c r="H21" s="856"/>
      <c r="I21" s="857">
        <f>'Cash Flow'!P4</f>
        <v>3623</v>
      </c>
      <c r="J21" s="721"/>
      <c r="K21" s="855" t="s">
        <v>213</v>
      </c>
      <c r="L21" s="855"/>
      <c r="M21" s="683" cm="1">
        <f t="array" ref="M21">_xlfn.SWITCH(Acq_Financing_Type_Switch, "Financed - New Loan", NEW_Interest_Rate, "Financed - Assumed Loan", SED_Interest_Rate,"")</f>
        <v>0</v>
      </c>
      <c r="N21" s="683">
        <f>Mezz_Interest_Rate</f>
        <v>0</v>
      </c>
      <c r="O21" s="717"/>
      <c r="P21" s="717"/>
      <c r="Q21" s="717"/>
      <c r="R21" s="717"/>
      <c r="S21" s="85"/>
      <c r="T21" s="85"/>
      <c r="U21" s="85"/>
      <c r="V21" s="89"/>
    </row>
    <row r="22" spans="1:22" x14ac:dyDescent="0.25">
      <c r="A22" s="718"/>
      <c r="B22" s="717"/>
      <c r="C22" s="717"/>
      <c r="D22" s="719" t="s">
        <v>525</v>
      </c>
      <c r="E22" s="719"/>
      <c r="F22" s="720"/>
      <c r="G22" s="720"/>
      <c r="H22" s="720"/>
      <c r="I22" s="518">
        <f>Exit_CAP</f>
        <v>0</v>
      </c>
      <c r="J22" s="721"/>
      <c r="K22" s="719" t="s">
        <v>526</v>
      </c>
      <c r="L22" s="719"/>
      <c r="M22" s="757" cm="1">
        <f t="array" ref="M22">_xlfn.SWITCH(Acq_Financing_Type_Switch, "Financed - New Loan", NEW_Amort, "Financed - Assumed Loan", SED_Amort,"")</f>
        <v>0</v>
      </c>
      <c r="N22" s="722">
        <f>Mezz_Amort</f>
        <v>0</v>
      </c>
      <c r="O22" s="717"/>
      <c r="P22" s="717"/>
      <c r="Q22" s="717"/>
      <c r="R22" s="717"/>
      <c r="S22" s="85"/>
      <c r="T22" s="85"/>
      <c r="U22" s="85"/>
      <c r="V22" s="89"/>
    </row>
    <row r="23" spans="1:22" x14ac:dyDescent="0.25">
      <c r="A23" s="718"/>
      <c r="B23" s="717"/>
      <c r="C23" s="717"/>
      <c r="D23" s="783" t="s">
        <v>505</v>
      </c>
      <c r="E23" s="783"/>
      <c r="F23" s="784"/>
      <c r="G23" s="784"/>
      <c r="H23" s="784"/>
      <c r="I23" s="785">
        <f>Cost_of_Sale</f>
        <v>0</v>
      </c>
      <c r="J23" s="721"/>
      <c r="K23" s="719" t="s">
        <v>527</v>
      </c>
      <c r="L23" s="719"/>
      <c r="M23" s="757" cm="1">
        <f t="array" ref="M23">_xlfn.SWITCH(Acq_Financing_Type_Switch, "Financed - New Loan", NEW_Interest_Only, "Financed - Assumed Loan", SED_Interest_Only,"")</f>
        <v>0</v>
      </c>
      <c r="N23" s="723">
        <f>Mezz_Interest_Only</f>
        <v>0</v>
      </c>
      <c r="O23" s="717"/>
      <c r="P23" s="717"/>
      <c r="Q23" s="717"/>
      <c r="R23" s="717"/>
      <c r="S23" s="85"/>
      <c r="T23" s="85"/>
      <c r="U23" s="85"/>
      <c r="V23" s="89"/>
    </row>
    <row r="24" spans="1:22" x14ac:dyDescent="0.25">
      <c r="A24" s="718"/>
      <c r="B24" s="717"/>
      <c r="C24" s="717"/>
      <c r="D24" s="782"/>
      <c r="E24" s="782"/>
      <c r="F24" s="782"/>
      <c r="G24" s="782"/>
      <c r="H24" s="782"/>
      <c r="I24" s="782"/>
      <c r="J24" s="721"/>
      <c r="K24" s="719" t="s">
        <v>528</v>
      </c>
      <c r="L24" s="719"/>
      <c r="M24" s="518" cm="1">
        <f t="array" ref="M24">_xlfn.SWITCH(Acq_Financing_Type_Switch, "Financed - New Loan", NEW_Loan_Constant, "Financed - Assumed Loan", SED_Loan_Constant,"")</f>
        <v>0</v>
      </c>
      <c r="N24" s="724" t="e">
        <f ca="1">Mezz_Loan_Constant</f>
        <v>#N/A</v>
      </c>
      <c r="O24" s="717"/>
      <c r="P24" s="717"/>
      <c r="Q24" s="717"/>
      <c r="R24" s="717"/>
      <c r="S24" s="85"/>
      <c r="T24" s="85"/>
      <c r="U24" s="85"/>
      <c r="V24" s="89"/>
    </row>
    <row r="25" spans="1:22" x14ac:dyDescent="0.25">
      <c r="A25" s="718"/>
      <c r="B25" s="717"/>
      <c r="C25" s="717"/>
      <c r="D25" s="717"/>
      <c r="E25" s="717"/>
      <c r="F25" s="717"/>
      <c r="G25" s="717"/>
      <c r="H25" s="717"/>
      <c r="I25" s="717"/>
      <c r="J25" s="721"/>
      <c r="K25" s="719" t="s">
        <v>529</v>
      </c>
      <c r="L25" s="719"/>
      <c r="M25" s="757" cm="1">
        <f t="array" ref="M25">_xlfn.SWITCH(Acq_Financing_Type_Switch, "Financed - New Loan", NEW_Term, "Financed - Assumed Loan", SED_Term,"")</f>
        <v>0</v>
      </c>
      <c r="N25" s="722" t="e">
        <f>Mezz_Term</f>
        <v>#NUM!</v>
      </c>
      <c r="O25" s="717"/>
      <c r="P25" s="717"/>
      <c r="Q25" s="717"/>
      <c r="R25" s="717"/>
      <c r="S25" s="85"/>
      <c r="T25" s="85"/>
      <c r="U25" s="85"/>
      <c r="V25" s="89"/>
    </row>
    <row r="26" spans="1:22" x14ac:dyDescent="0.25">
      <c r="A26" s="718"/>
      <c r="B26" s="717"/>
      <c r="C26" s="717"/>
      <c r="D26" s="717"/>
      <c r="E26" s="717"/>
      <c r="F26" s="717"/>
      <c r="G26" s="717"/>
      <c r="H26" s="717"/>
      <c r="I26" s="717"/>
      <c r="J26" s="721"/>
      <c r="K26" s="719" t="s">
        <v>530</v>
      </c>
      <c r="L26" s="719"/>
      <c r="M26" s="518" cm="1">
        <f t="array" ref="M26">_xlfn.SWITCH(Acq_Financing_Type_Switch, "Financed - New Loan", NEW_LTV, "Financed - Assumed Loan", SED_LTV,"")</f>
        <v>0</v>
      </c>
      <c r="N26" s="725">
        <f>Mezz_LTV</f>
        <v>0</v>
      </c>
      <c r="O26" s="717"/>
      <c r="P26" s="717"/>
      <c r="Q26" s="717"/>
      <c r="R26" s="717"/>
      <c r="S26" s="85"/>
      <c r="T26" s="85"/>
      <c r="U26" s="85"/>
      <c r="V26" s="89"/>
    </row>
    <row r="27" spans="1:22" x14ac:dyDescent="0.25">
      <c r="A27" s="718"/>
      <c r="B27" s="717"/>
      <c r="C27" s="717"/>
      <c r="D27" s="717"/>
      <c r="E27" s="717"/>
      <c r="F27" s="717"/>
      <c r="G27" s="717"/>
      <c r="H27" s="717"/>
      <c r="I27" s="717"/>
      <c r="J27" s="721"/>
      <c r="K27" s="719" t="s">
        <v>374</v>
      </c>
      <c r="L27" s="719"/>
      <c r="M27" s="726" cm="1">
        <f t="array" ref="M27">_xlfn.SWITCH(Acq_Financing_Type_Switch, "Financed - New Loan", NEW_Orig_Loan_Amount, "Financed - Assumed Loan", SED_Orig_Loan_Amount,"")</f>
        <v>0</v>
      </c>
      <c r="N27" s="726">
        <f>Mezz_Orig_Loan_Amount</f>
        <v>0</v>
      </c>
      <c r="O27" s="717"/>
      <c r="P27" s="717"/>
      <c r="Q27" s="717"/>
      <c r="R27" s="717"/>
      <c r="S27" s="85"/>
      <c r="T27" s="85"/>
      <c r="U27" s="85"/>
      <c r="V27" s="89"/>
    </row>
    <row r="28" spans="1:22" x14ac:dyDescent="0.25">
      <c r="A28" s="718"/>
      <c r="B28" s="717"/>
      <c r="C28" s="717"/>
      <c r="D28" s="717"/>
      <c r="E28" s="717"/>
      <c r="F28" s="717"/>
      <c r="G28" s="717"/>
      <c r="H28" s="717"/>
      <c r="I28" s="717"/>
      <c r="J28" s="721"/>
      <c r="K28" s="783" t="s">
        <v>17</v>
      </c>
      <c r="L28" s="783"/>
      <c r="M28" s="788">
        <f ca="1">-'Cash Flow'!F42+'Cash Flow'!F37</f>
        <v>0</v>
      </c>
      <c r="N28" s="788">
        <v>0</v>
      </c>
      <c r="O28" s="707"/>
      <c r="P28" s="707"/>
      <c r="Q28" s="717"/>
      <c r="R28" s="717"/>
      <c r="S28" s="85"/>
      <c r="T28" s="85"/>
      <c r="U28" s="85"/>
      <c r="V28" s="89"/>
    </row>
    <row r="29" spans="1:22" ht="8.25" customHeight="1" x14ac:dyDescent="0.25">
      <c r="A29" s="718"/>
      <c r="B29" s="717"/>
      <c r="C29" s="717"/>
      <c r="D29" s="727"/>
      <c r="E29" s="721"/>
      <c r="F29" s="721"/>
      <c r="G29" s="721"/>
      <c r="H29" s="721"/>
      <c r="I29" s="728"/>
      <c r="J29" s="721"/>
      <c r="K29" s="786"/>
      <c r="L29" s="786"/>
      <c r="M29" s="786"/>
      <c r="N29" s="786"/>
      <c r="O29" s="707"/>
      <c r="P29" s="707"/>
      <c r="Q29" s="717"/>
      <c r="R29" s="721"/>
      <c r="S29" s="85"/>
      <c r="T29" s="85"/>
      <c r="U29" s="85"/>
      <c r="V29" s="89"/>
    </row>
    <row r="30" spans="1:22" ht="8.25" customHeight="1" x14ac:dyDescent="0.25">
      <c r="A30" s="718"/>
      <c r="B30" s="717"/>
      <c r="C30" s="717"/>
      <c r="D30" s="729"/>
      <c r="E30" s="721"/>
      <c r="F30" s="721"/>
      <c r="G30" s="721"/>
      <c r="H30" s="721"/>
      <c r="I30" s="730"/>
      <c r="J30" s="721"/>
      <c r="K30" s="721"/>
      <c r="L30" s="721"/>
      <c r="M30" s="721"/>
      <c r="N30" s="721"/>
      <c r="O30" s="707"/>
      <c r="P30" s="707"/>
      <c r="Q30" s="717"/>
      <c r="R30" s="721"/>
      <c r="S30" s="85"/>
      <c r="T30" s="85"/>
      <c r="U30" s="85"/>
      <c r="V30" s="89"/>
    </row>
    <row r="31" spans="1:22" ht="8.25" customHeight="1" x14ac:dyDescent="0.25">
      <c r="A31" s="706"/>
      <c r="B31" s="707"/>
      <c r="C31" s="707"/>
      <c r="D31" s="712"/>
      <c r="E31" s="712"/>
      <c r="F31" s="712"/>
      <c r="G31" s="712"/>
      <c r="H31" s="712"/>
      <c r="I31" s="712"/>
      <c r="J31" s="712"/>
      <c r="K31" s="712"/>
      <c r="L31" s="712"/>
      <c r="M31" s="712"/>
      <c r="N31" s="712"/>
      <c r="O31" s="707"/>
      <c r="P31" s="707"/>
      <c r="Q31" s="707"/>
      <c r="R31" s="712"/>
      <c r="S31" s="85"/>
      <c r="T31" s="85"/>
      <c r="U31" s="85"/>
      <c r="V31" s="89"/>
    </row>
    <row r="32" spans="1:22" x14ac:dyDescent="0.25">
      <c r="A32" s="706"/>
      <c r="B32" s="707"/>
      <c r="C32" s="707"/>
      <c r="D32" s="1114" t="s">
        <v>531</v>
      </c>
      <c r="E32" s="1114"/>
      <c r="F32" s="1114"/>
      <c r="G32" s="1114"/>
      <c r="H32" s="1114"/>
      <c r="I32" s="1114"/>
      <c r="J32" s="1114"/>
      <c r="K32" s="1114"/>
      <c r="L32" s="1114"/>
      <c r="M32" s="1114"/>
      <c r="N32" s="1114"/>
      <c r="O32" s="717"/>
      <c r="P32" s="717"/>
      <c r="Q32" s="707"/>
      <c r="R32" s="708"/>
      <c r="S32" s="85"/>
      <c r="T32" s="85"/>
      <c r="U32" s="85"/>
      <c r="V32" s="89"/>
    </row>
    <row r="33" spans="1:22" x14ac:dyDescent="0.25">
      <c r="A33" s="718"/>
      <c r="B33" s="717"/>
      <c r="C33" s="717"/>
      <c r="D33" s="719" t="s">
        <v>532</v>
      </c>
      <c r="E33" s="719"/>
      <c r="F33" s="719"/>
      <c r="G33" s="719"/>
      <c r="H33" s="719"/>
      <c r="I33" s="731">
        <f ca="1">Units</f>
        <v>0</v>
      </c>
      <c r="J33" s="719"/>
      <c r="K33" s="720" t="s">
        <v>137</v>
      </c>
      <c r="L33" s="719"/>
      <c r="M33" s="720"/>
      <c r="N33" s="968">
        <f>Year_Built</f>
        <v>0</v>
      </c>
      <c r="O33" s="717"/>
      <c r="P33" s="717"/>
      <c r="Q33" s="717"/>
      <c r="R33" s="721"/>
      <c r="S33" s="85"/>
      <c r="T33" s="85"/>
      <c r="U33" s="85"/>
      <c r="V33" s="89"/>
    </row>
    <row r="34" spans="1:22" x14ac:dyDescent="0.25">
      <c r="A34" s="718"/>
      <c r="B34" s="717"/>
      <c r="C34" s="717"/>
      <c r="D34" s="719" t="s">
        <v>533</v>
      </c>
      <c r="E34" s="719"/>
      <c r="F34" s="719"/>
      <c r="G34" s="719"/>
      <c r="H34" s="719"/>
      <c r="I34" s="731">
        <f ca="1">Total_Sq_Ft</f>
        <v>0</v>
      </c>
      <c r="J34" s="719"/>
      <c r="K34" s="720" t="s">
        <v>534</v>
      </c>
      <c r="L34" s="719"/>
      <c r="M34" s="720"/>
      <c r="N34" s="732" t="e">
        <f ca="1">Current_GAR/12/Units</f>
        <v>#DIV/0!</v>
      </c>
      <c r="O34" s="717"/>
      <c r="P34" s="717"/>
      <c r="Q34" s="717"/>
      <c r="R34" s="721"/>
      <c r="S34" s="85"/>
      <c r="T34" s="85"/>
      <c r="U34" s="85"/>
      <c r="V34" s="89"/>
    </row>
    <row r="35" spans="1:22" x14ac:dyDescent="0.25">
      <c r="A35" s="718"/>
      <c r="B35" s="717"/>
      <c r="C35" s="717"/>
      <c r="D35" s="783" t="s">
        <v>535</v>
      </c>
      <c r="E35" s="783"/>
      <c r="F35" s="783"/>
      <c r="G35" s="783"/>
      <c r="H35" s="783"/>
      <c r="I35" s="789" t="e">
        <f ca="1">I34/I33</f>
        <v>#DIV/0!</v>
      </c>
      <c r="J35" s="783"/>
      <c r="K35" s="784" t="s">
        <v>536</v>
      </c>
      <c r="L35" s="783"/>
      <c r="M35" s="784"/>
      <c r="N35" s="790" t="s">
        <v>362</v>
      </c>
      <c r="O35" s="717"/>
      <c r="P35" s="717"/>
      <c r="Q35" s="717"/>
      <c r="R35" s="721"/>
      <c r="S35" s="85"/>
      <c r="T35" s="85"/>
      <c r="U35" s="85"/>
      <c r="V35" s="89"/>
    </row>
    <row r="36" spans="1:22" x14ac:dyDescent="0.25">
      <c r="A36" s="718"/>
      <c r="B36" s="717"/>
      <c r="C36" s="717"/>
      <c r="D36" s="786"/>
      <c r="E36" s="786"/>
      <c r="F36" s="786"/>
      <c r="G36" s="786"/>
      <c r="H36" s="786"/>
      <c r="I36" s="786"/>
      <c r="J36" s="786"/>
      <c r="K36" s="787"/>
      <c r="L36" s="786"/>
      <c r="M36" s="782"/>
      <c r="N36" s="782"/>
      <c r="O36" s="721"/>
      <c r="P36" s="721"/>
      <c r="Q36" s="717"/>
      <c r="R36" s="733"/>
      <c r="S36" s="85"/>
      <c r="T36" s="85"/>
      <c r="U36" s="85"/>
      <c r="V36" s="89"/>
    </row>
    <row r="37" spans="1:22" x14ac:dyDescent="0.25">
      <c r="A37" s="718"/>
      <c r="B37" s="717"/>
      <c r="C37" s="717"/>
      <c r="D37" s="721"/>
      <c r="E37" s="721"/>
      <c r="F37" s="721"/>
      <c r="G37" s="721"/>
      <c r="H37" s="721"/>
      <c r="I37" s="721"/>
      <c r="J37" s="721"/>
      <c r="K37" s="721"/>
      <c r="L37" s="721"/>
      <c r="M37" s="721"/>
      <c r="N37" s="721"/>
      <c r="O37" s="717"/>
      <c r="P37" s="717"/>
      <c r="Q37" s="721"/>
      <c r="R37" s="721"/>
      <c r="S37" s="85"/>
      <c r="T37" s="85"/>
      <c r="U37" s="85"/>
      <c r="V37" s="89"/>
    </row>
    <row r="38" spans="1:22" x14ac:dyDescent="0.25">
      <c r="A38" s="88"/>
      <c r="B38" s="85"/>
      <c r="C38" s="85"/>
      <c r="D38" s="85"/>
      <c r="E38" s="85"/>
      <c r="F38" s="85"/>
      <c r="G38" s="85"/>
      <c r="H38" s="85"/>
      <c r="I38" s="85"/>
      <c r="J38" s="85"/>
      <c r="K38" s="85"/>
      <c r="L38" s="85"/>
      <c r="M38" s="85"/>
      <c r="N38" s="85"/>
      <c r="O38" s="85"/>
      <c r="P38" s="85"/>
      <c r="Q38" s="85"/>
      <c r="R38" s="85"/>
      <c r="S38" s="85"/>
      <c r="T38" s="85"/>
      <c r="U38" s="85"/>
      <c r="V38" s="89"/>
    </row>
    <row r="39" spans="1:22" x14ac:dyDescent="0.25">
      <c r="A39" s="88"/>
      <c r="B39" s="85"/>
      <c r="C39" s="85"/>
      <c r="D39" s="85"/>
      <c r="E39" s="85"/>
      <c r="F39" s="85"/>
      <c r="G39" s="85"/>
      <c r="H39" s="85"/>
      <c r="I39" s="85"/>
      <c r="J39" s="85"/>
      <c r="K39" s="85"/>
      <c r="L39" s="85"/>
      <c r="M39" s="85"/>
      <c r="N39" s="85"/>
      <c r="O39" s="85"/>
      <c r="P39" s="85"/>
      <c r="Q39" s="85"/>
      <c r="R39" s="85"/>
      <c r="S39" s="85"/>
      <c r="T39" s="85"/>
      <c r="U39" s="85"/>
      <c r="V39" s="89"/>
    </row>
    <row r="40" spans="1:22" x14ac:dyDescent="0.25">
      <c r="A40" s="88"/>
      <c r="B40" s="85"/>
      <c r="C40" s="85"/>
      <c r="D40" s="85"/>
      <c r="E40" s="85"/>
      <c r="F40" s="85"/>
      <c r="G40" s="85"/>
      <c r="H40" s="85"/>
      <c r="I40" s="85"/>
      <c r="J40" s="85"/>
      <c r="K40" s="85"/>
      <c r="L40" s="85"/>
      <c r="M40" s="85"/>
      <c r="N40" s="85"/>
      <c r="O40" s="85"/>
      <c r="P40" s="85"/>
      <c r="Q40" s="85"/>
      <c r="R40" s="85"/>
      <c r="S40" s="85"/>
      <c r="T40" s="85"/>
      <c r="U40" s="85"/>
      <c r="V40" s="89"/>
    </row>
    <row r="41" spans="1:22" x14ac:dyDescent="0.25">
      <c r="A41" s="88"/>
      <c r="B41" s="85"/>
      <c r="C41" s="85"/>
      <c r="D41" s="85"/>
      <c r="E41" s="85"/>
      <c r="F41" s="85"/>
      <c r="G41" s="85"/>
      <c r="H41" s="85"/>
      <c r="I41" s="85"/>
      <c r="J41" s="85"/>
      <c r="K41" s="85"/>
      <c r="L41" s="85"/>
      <c r="M41" s="85"/>
      <c r="N41" s="85"/>
      <c r="O41" s="85"/>
      <c r="P41" s="85"/>
      <c r="Q41" s="85"/>
      <c r="R41" s="85"/>
      <c r="S41" s="85"/>
      <c r="T41" s="85"/>
      <c r="U41" s="85"/>
      <c r="V41" s="89"/>
    </row>
    <row r="42" spans="1:22" x14ac:dyDescent="0.25">
      <c r="A42" s="88"/>
      <c r="B42" s="85"/>
      <c r="C42" s="85"/>
      <c r="D42" s="85"/>
      <c r="E42" s="85"/>
      <c r="F42" s="85"/>
      <c r="G42" s="85"/>
      <c r="H42" s="85"/>
      <c r="I42" s="85"/>
      <c r="J42" s="85"/>
      <c r="K42" s="85"/>
      <c r="L42" s="85"/>
      <c r="M42" s="85"/>
      <c r="N42" s="85"/>
      <c r="O42" s="85"/>
      <c r="P42" s="85"/>
      <c r="Q42" s="85"/>
      <c r="R42" s="85"/>
      <c r="S42" s="85"/>
      <c r="T42" s="85"/>
      <c r="U42" s="85"/>
      <c r="V42" s="89"/>
    </row>
    <row r="43" spans="1:22" x14ac:dyDescent="0.25">
      <c r="A43" s="90"/>
      <c r="B43" s="91"/>
      <c r="C43" s="91"/>
      <c r="D43" s="91"/>
      <c r="E43" s="91"/>
      <c r="F43" s="91"/>
      <c r="G43" s="91"/>
      <c r="H43" s="91"/>
      <c r="I43" s="91"/>
      <c r="J43" s="91"/>
      <c r="K43" s="91"/>
      <c r="L43" s="91"/>
      <c r="M43" s="91"/>
      <c r="N43" s="91"/>
      <c r="O43" s="91"/>
      <c r="P43" s="91"/>
      <c r="Q43" s="91"/>
      <c r="R43" s="91"/>
      <c r="S43" s="91"/>
      <c r="T43" s="91"/>
      <c r="U43" s="91"/>
      <c r="V43" s="92"/>
    </row>
  </sheetData>
  <mergeCells count="5">
    <mergeCell ref="D3:D7"/>
    <mergeCell ref="D8:D10"/>
    <mergeCell ref="D12:D14"/>
    <mergeCell ref="D20:I20"/>
    <mergeCell ref="D32:N32"/>
  </mergeCells>
  <conditionalFormatting sqref="F12:M12">
    <cfRule type="expression" dxfId="19" priority="21">
      <formula>AND(OR(PPIRR_Increments=3,PPIRR_Increments=2,PPIRR_Increments=1),OR(PPIRR_DispIncr="Bottom",PPIRR_DispIncr="Both"))</formula>
    </cfRule>
  </conditionalFormatting>
  <conditionalFormatting sqref="F12:M13">
    <cfRule type="expression" dxfId="18" priority="22">
      <formula>AND(PPIRR_Increments=4,OR(PPIRR_DispIncr="Bottom",PPIRR_DispIncr="Both"))</formula>
    </cfRule>
  </conditionalFormatting>
  <conditionalFormatting sqref="F12:M14">
    <cfRule type="expression" dxfId="17" priority="23">
      <formula>AND(PPIRR_Increments=5,OR(PPIRR_DispIncr="Bottom",PPIRR_DispIncr="Both"))</formula>
    </cfRule>
  </conditionalFormatting>
  <conditionalFormatting sqref="F3:N5">
    <cfRule type="expression" dxfId="16" priority="5">
      <formula>AND(OR(PPIRR_DispIncr="Top",PPIRR_DispIncr="Both"),PPIRR_Increments=5)</formula>
    </cfRule>
  </conditionalFormatting>
  <conditionalFormatting sqref="F4:N6">
    <cfRule type="expression" dxfId="15" priority="17">
      <formula>AND(OR(PPIRR_DispIncr="Top",PPIRR_DispIncr="Both"),PPIRR_Increments=4)</formula>
    </cfRule>
  </conditionalFormatting>
  <conditionalFormatting sqref="F5:N7">
    <cfRule type="expression" dxfId="14" priority="16">
      <formula>AND(OR(PPIRR_DispIncr="Top",PPIRR_DispIncr="Both"),PPIRR_Increments=3)</formula>
    </cfRule>
  </conditionalFormatting>
  <conditionalFormatting sqref="F6:N8">
    <cfRule type="expression" dxfId="13" priority="15">
      <formula>AND(OR(PPIRR_DispIncr="Top",PPIRR_DispIncr="Both"),PPIRR_Increments=2)</formula>
    </cfRule>
  </conditionalFormatting>
  <conditionalFormatting sqref="F7:N9">
    <cfRule type="expression" dxfId="12" priority="14">
      <formula>AND(OR(PPIRR_DispIncr="Top",PPIRR_DispIncr="Both"),PPIRR_Increments=1)</formula>
    </cfRule>
  </conditionalFormatting>
  <conditionalFormatting sqref="F8:N10">
    <cfRule type="expression" dxfId="11" priority="11">
      <formula>AND(PPIRR_Increments=5,OR(PPIRR_DispIncr="Top",PPIRR_DispIncr="Both"))</formula>
    </cfRule>
    <cfRule type="expression" dxfId="10" priority="12">
      <formula>PPIRR_DispIncr="Bottom"</formula>
    </cfRule>
    <cfRule type="expression" dxfId="9" priority="13">
      <formula>PPIRR_Increments=0</formula>
    </cfRule>
  </conditionalFormatting>
  <conditionalFormatting sqref="F9:N10">
    <cfRule type="expression" dxfId="8" priority="10">
      <formula>AND(PPIRR_Increments=4,OR(PPIRR_DispIncr="Top",PPIRR_DispIncr="Both"))</formula>
    </cfRule>
  </conditionalFormatting>
  <conditionalFormatting sqref="F10:N10">
    <cfRule type="expression" dxfId="7" priority="9">
      <formula>AND(OR(PPIRR_Increments=3,PPIRR_Increments=2,PPIRR_Increments=1),OR(PPIRR_DispIncr="Top",PPIRR_DispIncr="Both"))</formula>
    </cfRule>
  </conditionalFormatting>
  <conditionalFormatting sqref="J3:K3">
    <cfRule type="expression" dxfId="6" priority="18">
      <formula>AND(OR(PPIRR_DispIncr="Top",PPIRR_DispIncr="Both"),PPIRR_Increments=5)</formula>
    </cfRule>
  </conditionalFormatting>
  <conditionalFormatting sqref="N12">
    <cfRule type="expression" dxfId="5" priority="6">
      <formula>AND(OR(PPIRR_Increments=3,PPIRR_Increments=2,PPIRR_Increments=1),OR(PPIRR_DispIncr="Bottom",PPIRR_DispIncr="Both"))</formula>
    </cfRule>
  </conditionalFormatting>
  <conditionalFormatting sqref="N12:N13">
    <cfRule type="expression" dxfId="4" priority="7">
      <formula>AND(PPIRR_Increments=4,OR(PPIRR_DispIncr="Bottom",PPIRR_DispIncr="Both"))</formula>
    </cfRule>
  </conditionalFormatting>
  <conditionalFormatting sqref="N12:N14">
    <cfRule type="expression" dxfId="3" priority="8">
      <formula>AND(PPIRR_Increments=5,OR(PPIRR_DispIncr="Bottom",PPIRR_DispIncr="Both"))</formula>
    </cfRule>
  </conditionalFormatting>
  <conditionalFormatting sqref="N20:N28">
    <cfRule type="expression" dxfId="2" priority="4">
      <formula>Mezz_Switch &lt;&gt; "Yes"</formula>
    </cfRule>
  </conditionalFormatting>
  <dataValidations count="2">
    <dataValidation type="list" allowBlank="1" showInputMessage="1" showErrorMessage="1" sqref="R4" xr:uid="{EE39A1B3-70B0-4E65-BEEC-80DCB13ED5CD}">
      <formula1>"Both, Top, Bottom"</formula1>
    </dataValidation>
    <dataValidation type="list" allowBlank="1" showInputMessage="1" showErrorMessage="1" sqref="R3" xr:uid="{11D7F3CA-026A-44C7-8ACF-D09C3E1BA1F2}">
      <formula1>"0,1,2,3,4,5"</formula1>
    </dataValidation>
  </dataValidations>
  <pageMargins left="0.7" right="0.7" top="0.75" bottom="0.75" header="0.3" footer="0.3"/>
  <pageSetup orientation="portrait" horizontalDpi="1200" verticalDpi="1200" r:id="rId1"/>
  <customProperties>
    <customPr name="GU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7650E-3F47-49B2-B910-E077EB8B4F93}">
  <sheetPr codeName="Sheet22">
    <tabColor theme="4" tint="-0.249977111117893"/>
    <pageSetUpPr fitToPage="1"/>
  </sheetPr>
  <dimension ref="A1:U42"/>
  <sheetViews>
    <sheetView zoomScale="125" zoomScaleNormal="125" workbookViewId="0">
      <selection activeCell="C3" sqref="C3:D3"/>
    </sheetView>
  </sheetViews>
  <sheetFormatPr defaultColWidth="8.85546875" defaultRowHeight="15" x14ac:dyDescent="0.25"/>
  <cols>
    <col min="1" max="1" width="3" customWidth="1"/>
    <col min="2" max="2" width="2.7109375" customWidth="1"/>
    <col min="3" max="3" width="26.28515625" customWidth="1"/>
    <col min="4" max="4" width="19.85546875" customWidth="1"/>
    <col min="5" max="5" width="3.85546875" customWidth="1"/>
    <col min="6" max="6" width="22.42578125" bestFit="1" customWidth="1"/>
    <col min="7" max="7" width="23.85546875" customWidth="1"/>
    <col min="8" max="8" width="3.85546875" customWidth="1"/>
    <col min="9" max="9" width="27" bestFit="1" customWidth="1"/>
    <col min="10" max="10" width="24" customWidth="1"/>
    <col min="11" max="11" width="5.42578125" customWidth="1"/>
  </cols>
  <sheetData>
    <row r="1" spans="1:21" x14ac:dyDescent="0.25">
      <c r="A1" s="386"/>
      <c r="B1" s="93"/>
      <c r="C1" s="93"/>
      <c r="D1" s="93"/>
      <c r="E1" s="93"/>
      <c r="F1" s="93"/>
      <c r="G1" s="93"/>
      <c r="H1" s="93"/>
      <c r="I1" s="93"/>
      <c r="J1" s="93"/>
      <c r="K1" s="93"/>
      <c r="L1" s="93"/>
      <c r="M1" s="93"/>
      <c r="N1" s="93"/>
      <c r="O1" s="93"/>
      <c r="P1" s="93"/>
      <c r="Q1" s="93"/>
      <c r="R1" s="93"/>
      <c r="S1" s="93"/>
      <c r="T1" s="93"/>
      <c r="U1" s="87"/>
    </row>
    <row r="2" spans="1:21" x14ac:dyDescent="0.25">
      <c r="A2" s="88"/>
      <c r="B2" s="85"/>
      <c r="C2" s="85"/>
      <c r="D2" s="85"/>
      <c r="E2" s="85"/>
      <c r="F2" s="85"/>
      <c r="G2" s="85"/>
      <c r="H2" s="85"/>
      <c r="I2" s="85"/>
      <c r="J2" s="85"/>
      <c r="K2" s="85"/>
      <c r="L2" s="85"/>
      <c r="M2" s="85"/>
      <c r="N2" s="85"/>
      <c r="O2" s="85"/>
      <c r="P2" s="85"/>
      <c r="Q2" s="85"/>
      <c r="R2" s="85"/>
      <c r="S2" s="85"/>
      <c r="T2" s="85"/>
      <c r="U2" s="89"/>
    </row>
    <row r="3" spans="1:21" x14ac:dyDescent="0.25">
      <c r="A3" s="88"/>
      <c r="B3" s="85"/>
      <c r="C3" s="1138" t="s">
        <v>359</v>
      </c>
      <c r="D3" s="1139"/>
      <c r="E3" s="85"/>
      <c r="F3" s="1138" t="s">
        <v>357</v>
      </c>
      <c r="G3" s="1139"/>
      <c r="H3" s="85"/>
      <c r="I3" s="1138" t="s">
        <v>358</v>
      </c>
      <c r="J3" s="1139"/>
      <c r="K3" s="85"/>
      <c r="L3" s="85"/>
      <c r="M3" s="85"/>
      <c r="N3" s="85"/>
      <c r="O3" s="85"/>
      <c r="P3" s="85"/>
      <c r="Q3" s="85"/>
      <c r="R3" s="85"/>
      <c r="S3" s="85"/>
      <c r="T3" s="85"/>
      <c r="U3" s="89"/>
    </row>
    <row r="4" spans="1:21" ht="8.25" customHeight="1" x14ac:dyDescent="0.25">
      <c r="A4" s="88"/>
      <c r="B4" s="85"/>
      <c r="C4" s="85"/>
      <c r="D4" s="85"/>
      <c r="E4" s="85"/>
      <c r="F4" s="85"/>
      <c r="G4" s="85"/>
      <c r="H4" s="85"/>
      <c r="I4" s="85"/>
      <c r="J4" s="85"/>
      <c r="K4" s="85"/>
      <c r="L4" s="85"/>
      <c r="M4" s="85"/>
      <c r="N4" s="85"/>
      <c r="O4" s="85"/>
      <c r="P4" s="85"/>
      <c r="Q4" s="85"/>
      <c r="R4" s="85"/>
      <c r="S4" s="85"/>
      <c r="T4" s="85"/>
      <c r="U4" s="89"/>
    </row>
    <row r="5" spans="1:21" ht="7.5" customHeight="1" x14ac:dyDescent="0.25">
      <c r="A5" s="88"/>
      <c r="B5" s="85"/>
      <c r="C5" s="91"/>
      <c r="D5" s="91"/>
      <c r="E5" s="85"/>
      <c r="F5" s="91"/>
      <c r="G5" s="91"/>
      <c r="H5" s="85"/>
      <c r="I5" s="91"/>
      <c r="J5" s="91"/>
      <c r="K5" s="85"/>
      <c r="L5" s="85"/>
      <c r="M5" s="85"/>
      <c r="N5" s="85"/>
      <c r="O5" s="85"/>
      <c r="P5" s="85"/>
      <c r="Q5" s="85"/>
      <c r="R5" s="85"/>
      <c r="S5" s="85"/>
      <c r="T5" s="85"/>
      <c r="U5" s="89"/>
    </row>
    <row r="6" spans="1:21" x14ac:dyDescent="0.25">
      <c r="A6" s="88"/>
      <c r="B6" s="1045"/>
      <c r="C6" s="521" t="str" cm="1">
        <f t="array" aca="1" ref="C6:D21" ca="1">_xlfn.SWITCH(C3, "SELL &amp; EXCHANGE", ER_Exchange, "HOLD", ER_Hold, "REFINANCE", ER_Refinance, "SELL", ER_Sell, "")</f>
        <v>REFINANCE</v>
      </c>
      <c r="D6" s="914">
        <f ca="1"/>
        <v>0</v>
      </c>
      <c r="E6" s="892"/>
      <c r="F6" s="521" t="str" cm="1">
        <f t="array" aca="1" ref="F6:G21" ca="1">_xlfn.SWITCH(F3, "SELL &amp; EXCHANGE", ER_Exchange, "HOLD", ER_Hold, "REFINANCE", ER_Refinance, "SELL", ER_Sell, "")</f>
        <v>SELL &amp; EXCHANGE</v>
      </c>
      <c r="G6" s="914">
        <f ca="1"/>
        <v>0</v>
      </c>
      <c r="H6" s="892"/>
      <c r="I6" s="521" t="str" cm="1">
        <f t="array" aca="1" ref="I6:J21" ca="1">_xlfn.SWITCH(I3, "SELL &amp; EXCHANGE", ER_Exchange, "HOLD", ER_Hold, "REFINANCE", ER_Refinance, "SELL", ER_Sell, "")</f>
        <v>HOLD</v>
      </c>
      <c r="J6" s="914">
        <f ca="1"/>
        <v>0</v>
      </c>
      <c r="K6" s="88"/>
      <c r="L6" s="85"/>
      <c r="M6" s="923"/>
      <c r="N6" s="922"/>
      <c r="O6" s="922"/>
      <c r="P6" s="922"/>
      <c r="Q6" s="922"/>
      <c r="R6" s="922"/>
      <c r="S6" s="922"/>
      <c r="T6" s="922"/>
      <c r="U6" s="89"/>
    </row>
    <row r="7" spans="1:21" x14ac:dyDescent="0.25">
      <c r="A7" s="88"/>
      <c r="B7" s="89"/>
      <c r="C7" s="908" t="str">
        <f ca="1"/>
        <v>Property Type</v>
      </c>
      <c r="D7" s="909" t="str">
        <f ca="1"/>
        <v>Multifamily</v>
      </c>
      <c r="E7" s="892"/>
      <c r="F7" s="908" t="str">
        <f ca="1"/>
        <v>Property Type</v>
      </c>
      <c r="G7" s="910">
        <f ca="1"/>
        <v>0</v>
      </c>
      <c r="H7" s="892"/>
      <c r="I7" s="908" t="str">
        <f ca="1"/>
        <v>Property Type</v>
      </c>
      <c r="J7" s="909" t="str">
        <f ca="1"/>
        <v>Multifamily</v>
      </c>
      <c r="K7" s="88"/>
      <c r="L7" s="85"/>
      <c r="M7" s="923"/>
      <c r="N7" s="922"/>
      <c r="O7" s="922"/>
      <c r="P7" s="922"/>
      <c r="Q7" s="922"/>
      <c r="R7" s="922"/>
      <c r="S7" s="922"/>
      <c r="T7" s="922"/>
      <c r="U7" s="89"/>
    </row>
    <row r="8" spans="1:21" x14ac:dyDescent="0.25">
      <c r="A8" s="88"/>
      <c r="B8" s="85"/>
      <c r="C8" s="895" t="str">
        <f ca="1"/>
        <v>Address</v>
      </c>
      <c r="D8" s="896">
        <f ca="1"/>
        <v>0</v>
      </c>
      <c r="E8" s="85"/>
      <c r="F8" s="895" t="str">
        <f ca="1"/>
        <v>Address</v>
      </c>
      <c r="G8" s="901">
        <f ca="1"/>
        <v>0</v>
      </c>
      <c r="H8" s="85"/>
      <c r="I8" s="895" t="str">
        <f ca="1"/>
        <v>Address</v>
      </c>
      <c r="J8" s="896">
        <f ca="1"/>
        <v>0</v>
      </c>
      <c r="K8" s="85"/>
      <c r="L8" s="85"/>
      <c r="M8" s="962"/>
      <c r="N8" s="963"/>
      <c r="O8" s="963"/>
      <c r="P8" s="963"/>
      <c r="Q8" s="963"/>
      <c r="R8" s="963"/>
      <c r="S8" s="964"/>
      <c r="T8" s="922"/>
      <c r="U8" s="89"/>
    </row>
    <row r="9" spans="1:21" x14ac:dyDescent="0.25">
      <c r="A9" s="88"/>
      <c r="B9" s="85"/>
      <c r="C9" s="874" t="str">
        <f ca="1"/>
        <v>City, State</v>
      </c>
      <c r="D9" s="893">
        <f ca="1"/>
        <v>0</v>
      </c>
      <c r="E9" s="85"/>
      <c r="F9" s="874" t="str">
        <f ca="1"/>
        <v>City, State</v>
      </c>
      <c r="G9" s="894">
        <f ca="1"/>
        <v>0</v>
      </c>
      <c r="H9" s="85"/>
      <c r="I9" s="874" t="str">
        <f ca="1"/>
        <v>City, State</v>
      </c>
      <c r="J9" s="893">
        <f ca="1"/>
        <v>0</v>
      </c>
      <c r="K9" s="85"/>
      <c r="L9" s="85"/>
      <c r="M9" s="965"/>
      <c r="N9" s="809"/>
      <c r="O9" s="809"/>
      <c r="P9" s="809"/>
      <c r="Q9" s="809"/>
      <c r="R9" s="809"/>
      <c r="S9" s="809"/>
      <c r="T9" s="963"/>
      <c r="U9" s="89"/>
    </row>
    <row r="10" spans="1:21" x14ac:dyDescent="0.25">
      <c r="A10" s="88"/>
      <c r="B10" s="89"/>
      <c r="C10" s="902" t="str">
        <f ca="1"/>
        <v>Price (Appraised Value)</v>
      </c>
      <c r="D10" s="903">
        <f ca="1"/>
        <v>0</v>
      </c>
      <c r="E10" s="892"/>
      <c r="F10" s="902" t="str">
        <f ca="1"/>
        <v>Price</v>
      </c>
      <c r="G10" s="903">
        <f ca="1"/>
        <v>0</v>
      </c>
      <c r="H10" s="892"/>
      <c r="I10" s="902" t="str">
        <f ca="1"/>
        <v>Price</v>
      </c>
      <c r="J10" s="903">
        <f ca="1"/>
        <v>0</v>
      </c>
      <c r="K10" s="88"/>
      <c r="L10" s="85"/>
      <c r="M10" s="809"/>
      <c r="N10" s="809"/>
      <c r="O10" s="809"/>
      <c r="P10" s="809"/>
      <c r="Q10" s="809"/>
      <c r="R10" s="809"/>
      <c r="S10" s="809"/>
      <c r="T10" s="809"/>
      <c r="U10" s="89"/>
    </row>
    <row r="11" spans="1:21" x14ac:dyDescent="0.25">
      <c r="A11" s="88"/>
      <c r="B11" s="85"/>
      <c r="C11" s="897" t="str">
        <f ca="1"/>
        <v>LTV</v>
      </c>
      <c r="D11" s="898">
        <f ca="1"/>
        <v>0</v>
      </c>
      <c r="E11" s="85"/>
      <c r="F11" s="897" t="str">
        <f ca="1"/>
        <v>CAP Rate</v>
      </c>
      <c r="G11" s="898">
        <f ca="1"/>
        <v>0</v>
      </c>
      <c r="H11" s="85"/>
      <c r="I11" s="897" t="str">
        <f ca="1"/>
        <v>CAP Rate</v>
      </c>
      <c r="J11" s="898">
        <f ca="1"/>
        <v>0</v>
      </c>
      <c r="K11" s="85"/>
      <c r="L11" s="85"/>
      <c r="M11" s="804"/>
      <c r="N11" s="804"/>
      <c r="O11" s="804"/>
      <c r="P11" s="804"/>
      <c r="Q11" s="804"/>
      <c r="R11" s="804"/>
      <c r="S11" s="804"/>
      <c r="T11" s="804"/>
      <c r="U11" s="89"/>
    </row>
    <row r="12" spans="1:21" x14ac:dyDescent="0.25">
      <c r="A12" s="88"/>
      <c r="B12" s="85"/>
      <c r="C12" s="380" t="str">
        <f ca="1"/>
        <v>Current Loan Balance</v>
      </c>
      <c r="D12" s="831">
        <f ca="1"/>
        <v>0</v>
      </c>
      <c r="E12" s="85"/>
      <c r="F12" s="380" t="str">
        <f ca="1"/>
        <v>LTV</v>
      </c>
      <c r="G12" s="407">
        <f ca="1"/>
        <v>0</v>
      </c>
      <c r="H12" s="85"/>
      <c r="I12" s="380" t="str">
        <f ca="1"/>
        <v>LTV</v>
      </c>
      <c r="J12" s="831">
        <f ca="1"/>
        <v>0</v>
      </c>
      <c r="K12" s="85"/>
      <c r="L12" s="85"/>
      <c r="M12" s="818"/>
      <c r="N12" s="818"/>
      <c r="O12" s="818"/>
      <c r="P12" s="818"/>
      <c r="Q12" s="818"/>
      <c r="R12" s="818"/>
      <c r="S12" s="818"/>
      <c r="T12" s="818"/>
      <c r="U12" s="89"/>
    </row>
    <row r="13" spans="1:21" x14ac:dyDescent="0.25">
      <c r="A13" s="88"/>
      <c r="B13" s="85"/>
      <c r="C13" s="380" t="str">
        <f ca="1"/>
        <v>New Loan Amount</v>
      </c>
      <c r="D13" s="407">
        <f ca="1"/>
        <v>0</v>
      </c>
      <c r="E13" s="85"/>
      <c r="F13" s="380" t="str">
        <f ca="1"/>
        <v>Down Payment*</v>
      </c>
      <c r="G13" s="407">
        <f ca="1"/>
        <v>0</v>
      </c>
      <c r="H13" s="85"/>
      <c r="I13" s="380" t="str">
        <f ca="1"/>
        <v>Current Equity</v>
      </c>
      <c r="J13" s="407">
        <f ca="1"/>
        <v>0</v>
      </c>
      <c r="K13" s="85"/>
      <c r="L13" s="85"/>
      <c r="M13" s="85"/>
      <c r="N13" s="85"/>
      <c r="O13" s="85"/>
      <c r="P13" s="85"/>
      <c r="Q13" s="85"/>
      <c r="R13" s="85"/>
      <c r="S13" s="85"/>
      <c r="T13" s="85"/>
      <c r="U13" s="89"/>
    </row>
    <row r="14" spans="1:21" x14ac:dyDescent="0.25">
      <c r="A14" s="88"/>
      <c r="B14" s="85"/>
      <c r="C14" s="380" t="str">
        <f ca="1"/>
        <v>Net Proceeds From New Loan</v>
      </c>
      <c r="D14" s="407">
        <f ca="1"/>
        <v>0</v>
      </c>
      <c r="E14" s="85"/>
      <c r="F14" s="380" t="str">
        <f ca="1"/>
        <v>Loan Amount</v>
      </c>
      <c r="G14" s="407">
        <f ca="1"/>
        <v>0</v>
      </c>
      <c r="H14" s="85"/>
      <c r="I14" s="380" t="str">
        <f ca="1"/>
        <v>Mortgage Balance</v>
      </c>
      <c r="J14" s="407">
        <f ca="1"/>
        <v>0</v>
      </c>
      <c r="K14" s="85"/>
      <c r="L14" s="85"/>
      <c r="M14" s="85"/>
      <c r="N14" s="85"/>
      <c r="O14" s="85"/>
      <c r="P14" s="85"/>
      <c r="Q14" s="85"/>
      <c r="R14" s="85"/>
      <c r="S14" s="85"/>
      <c r="T14" s="85"/>
      <c r="U14" s="89"/>
    </row>
    <row r="15" spans="1:21" x14ac:dyDescent="0.25">
      <c r="A15" s="88"/>
      <c r="B15" s="85"/>
      <c r="C15" s="380" t="str">
        <f ca="1"/>
        <v>Interest Rate</v>
      </c>
      <c r="D15" s="872">
        <f ca="1"/>
        <v>0</v>
      </c>
      <c r="E15" s="85"/>
      <c r="F15" s="380" t="str">
        <f ca="1"/>
        <v>Interest Rate</v>
      </c>
      <c r="G15" s="872">
        <f ca="1"/>
        <v>0</v>
      </c>
      <c r="H15" s="85"/>
      <c r="I15" s="380" t="str">
        <f ca="1"/>
        <v>Interest Rate</v>
      </c>
      <c r="J15" s="872">
        <f ca="1"/>
        <v>0</v>
      </c>
      <c r="K15" s="85"/>
      <c r="L15" s="85"/>
      <c r="M15" s="85"/>
      <c r="N15" s="85"/>
      <c r="O15" s="85"/>
      <c r="P15" s="85"/>
      <c r="Q15" s="85"/>
      <c r="R15" s="85"/>
      <c r="S15" s="85"/>
      <c r="T15" s="85"/>
      <c r="U15" s="89"/>
    </row>
    <row r="16" spans="1:21" x14ac:dyDescent="0.25">
      <c r="A16" s="88"/>
      <c r="B16" s="85"/>
      <c r="C16" s="380" t="str">
        <f ca="1"/>
        <v>Amortization</v>
      </c>
      <c r="D16" s="871">
        <f ca="1"/>
        <v>0</v>
      </c>
      <c r="E16" s="85"/>
      <c r="F16" s="380" t="str">
        <f ca="1"/>
        <v>Amortization</v>
      </c>
      <c r="G16" s="871">
        <f ca="1"/>
        <v>0</v>
      </c>
      <c r="H16" s="85"/>
      <c r="I16" s="380" t="str">
        <f ca="1"/>
        <v>Amortization</v>
      </c>
      <c r="J16" s="871">
        <f ca="1"/>
        <v>0</v>
      </c>
      <c r="K16" s="85"/>
      <c r="L16" s="85"/>
      <c r="M16" s="85"/>
      <c r="N16" s="85"/>
      <c r="O16" s="85"/>
      <c r="P16" s="85"/>
      <c r="Q16" s="85"/>
      <c r="R16" s="85"/>
      <c r="S16" s="85"/>
      <c r="T16" s="85"/>
      <c r="U16" s="89"/>
    </row>
    <row r="17" spans="1:21" x14ac:dyDescent="0.25">
      <c r="A17" s="88"/>
      <c r="B17" s="85"/>
      <c r="C17" s="440" t="str">
        <f ca="1"/>
        <v>Term</v>
      </c>
      <c r="D17" s="894">
        <f ca="1"/>
        <v>0</v>
      </c>
      <c r="E17" s="85"/>
      <c r="F17" s="440" t="str">
        <f ca="1"/>
        <v>Term</v>
      </c>
      <c r="G17" s="894">
        <f ca="1"/>
        <v>0</v>
      </c>
      <c r="H17" s="85"/>
      <c r="I17" s="440" t="str">
        <f ca="1"/>
        <v>Term</v>
      </c>
      <c r="J17" s="894">
        <f ca="1"/>
        <v>0</v>
      </c>
      <c r="K17" s="85"/>
      <c r="L17" s="85"/>
      <c r="M17" s="85"/>
      <c r="N17" s="85"/>
      <c r="O17" s="85"/>
      <c r="P17" s="85"/>
      <c r="Q17" s="85"/>
      <c r="R17" s="85"/>
      <c r="S17" s="85"/>
      <c r="T17" s="85"/>
      <c r="U17" s="89"/>
    </row>
    <row r="18" spans="1:21" x14ac:dyDescent="0.25">
      <c r="A18" s="88"/>
      <c r="B18" s="89"/>
      <c r="C18" s="904" t="str">
        <f ca="1"/>
        <v>Net Operating Income</v>
      </c>
      <c r="D18" s="905">
        <f ca="1"/>
        <v>0</v>
      </c>
      <c r="E18" s="892"/>
      <c r="F18" s="904" t="str">
        <f ca="1"/>
        <v>Net Operating Income</v>
      </c>
      <c r="G18" s="905">
        <f ca="1"/>
        <v>0</v>
      </c>
      <c r="H18" s="892"/>
      <c r="I18" s="904" t="str">
        <f ca="1"/>
        <v>Net Operating Income</v>
      </c>
      <c r="J18" s="905">
        <f ca="1"/>
        <v>0</v>
      </c>
      <c r="K18" s="88"/>
      <c r="L18" s="85"/>
      <c r="M18" s="85"/>
      <c r="N18" s="85"/>
      <c r="O18" s="85"/>
      <c r="P18" s="85"/>
      <c r="Q18" s="85"/>
      <c r="R18" s="85"/>
      <c r="S18" s="85"/>
      <c r="T18" s="85"/>
      <c r="U18" s="89"/>
    </row>
    <row r="19" spans="1:21" x14ac:dyDescent="0.25">
      <c r="A19" s="88"/>
      <c r="B19" s="85"/>
      <c r="C19" s="899" t="str">
        <f ca="1"/>
        <v>Less: Debt Service</v>
      </c>
      <c r="D19" s="900">
        <f ca="1"/>
        <v>0</v>
      </c>
      <c r="E19" s="85"/>
      <c r="F19" s="899" t="str">
        <f ca="1"/>
        <v>Less: Debt Service</v>
      </c>
      <c r="G19" s="900">
        <f ca="1"/>
        <v>0</v>
      </c>
      <c r="H19" s="85"/>
      <c r="I19" s="899" t="str">
        <f ca="1"/>
        <v>Less: Debt Service</v>
      </c>
      <c r="J19" s="900">
        <f ca="1"/>
        <v>0</v>
      </c>
      <c r="K19" s="85"/>
      <c r="L19" s="85"/>
      <c r="M19" s="85"/>
      <c r="N19" s="85"/>
      <c r="O19" s="85"/>
      <c r="P19" s="85"/>
      <c r="Q19" s="85"/>
      <c r="R19" s="85"/>
      <c r="S19" s="85"/>
      <c r="T19" s="85"/>
      <c r="U19" s="89"/>
    </row>
    <row r="20" spans="1:21" x14ac:dyDescent="0.25">
      <c r="A20" s="88"/>
      <c r="B20" s="89"/>
      <c r="C20" s="906" t="str">
        <f ca="1"/>
        <v>Net Cash Flow After Debt Service</v>
      </c>
      <c r="D20" s="907">
        <f ca="1"/>
        <v>0</v>
      </c>
      <c r="E20" s="892"/>
      <c r="F20" s="906" t="str">
        <f ca="1"/>
        <v>Net Cash Flow After Debt Service</v>
      </c>
      <c r="G20" s="907">
        <f ca="1"/>
        <v>0</v>
      </c>
      <c r="H20" s="892"/>
      <c r="I20" s="906" t="str">
        <f ca="1"/>
        <v>Net Cash Flow After Debt Service</v>
      </c>
      <c r="J20" s="907">
        <f ca="1"/>
        <v>0</v>
      </c>
      <c r="K20" s="88"/>
      <c r="L20" s="85"/>
      <c r="M20" s="85"/>
      <c r="N20" s="85"/>
      <c r="O20" s="85"/>
      <c r="P20" s="85"/>
      <c r="Q20" s="85"/>
      <c r="R20" s="85"/>
      <c r="S20" s="85"/>
      <c r="T20" s="85"/>
      <c r="U20" s="89"/>
    </row>
    <row r="21" spans="1:21" x14ac:dyDescent="0.25">
      <c r="A21" s="88"/>
      <c r="B21" s="89"/>
      <c r="C21" s="912" t="str">
        <f ca="1"/>
        <v>Return on Equity</v>
      </c>
      <c r="D21" s="913">
        <f ca="1"/>
        <v>0</v>
      </c>
      <c r="E21" s="892"/>
      <c r="F21" s="912" t="str">
        <f ca="1"/>
        <v>Return on Equity</v>
      </c>
      <c r="G21" s="913" t="str">
        <f ca="1"/>
        <v/>
      </c>
      <c r="H21" s="892"/>
      <c r="I21" s="912" t="str">
        <f ca="1"/>
        <v>Return on Equity</v>
      </c>
      <c r="J21" s="913" t="str">
        <f ca="1"/>
        <v/>
      </c>
      <c r="K21" s="88"/>
      <c r="L21" s="85"/>
      <c r="M21" s="85"/>
      <c r="N21" s="85"/>
      <c r="O21" s="85"/>
      <c r="P21" s="85"/>
      <c r="Q21" s="85"/>
      <c r="R21" s="85"/>
      <c r="S21" s="85"/>
      <c r="T21" s="85"/>
      <c r="U21" s="89"/>
    </row>
    <row r="22" spans="1:21" x14ac:dyDescent="0.25">
      <c r="A22" s="88"/>
      <c r="B22" s="85"/>
      <c r="C22" s="911"/>
      <c r="D22" s="911"/>
      <c r="E22" s="91"/>
      <c r="F22" s="911"/>
      <c r="G22" s="911"/>
      <c r="H22" s="91"/>
      <c r="I22" s="911"/>
      <c r="J22" s="911"/>
      <c r="K22" s="85"/>
      <c r="L22" s="85"/>
      <c r="M22" s="85"/>
      <c r="N22" s="85"/>
      <c r="O22" s="85"/>
      <c r="P22" s="85"/>
      <c r="Q22" s="85"/>
      <c r="R22" s="85"/>
      <c r="S22" s="85"/>
      <c r="T22" s="85"/>
      <c r="U22" s="89"/>
    </row>
    <row r="23" spans="1:21" x14ac:dyDescent="0.25">
      <c r="A23" s="88"/>
      <c r="B23" s="89"/>
      <c r="C23" s="1129" t="str">
        <f>'Equity Returns Input'!B30</f>
        <v xml:space="preserve">Notes: </v>
      </c>
      <c r="D23" s="1130"/>
      <c r="E23" s="1130"/>
      <c r="F23" s="1130"/>
      <c r="G23" s="1130"/>
      <c r="H23" s="1130"/>
      <c r="I23" s="1130"/>
      <c r="J23" s="1131"/>
      <c r="K23" s="88"/>
      <c r="L23" s="85"/>
      <c r="M23" s="85"/>
      <c r="N23" s="85"/>
      <c r="O23" s="85"/>
      <c r="P23" s="85"/>
      <c r="Q23" s="85"/>
      <c r="R23" s="85"/>
      <c r="S23" s="85"/>
      <c r="T23" s="85"/>
      <c r="U23" s="89"/>
    </row>
    <row r="24" spans="1:21" x14ac:dyDescent="0.25">
      <c r="A24" s="88"/>
      <c r="B24" s="89"/>
      <c r="C24" s="1132"/>
      <c r="D24" s="1133"/>
      <c r="E24" s="1133"/>
      <c r="F24" s="1133"/>
      <c r="G24" s="1133"/>
      <c r="H24" s="1133"/>
      <c r="I24" s="1133"/>
      <c r="J24" s="1134"/>
      <c r="K24" s="88"/>
      <c r="L24" s="85"/>
      <c r="M24" s="85"/>
      <c r="N24" s="85"/>
      <c r="O24" s="85"/>
      <c r="P24" s="85"/>
      <c r="Q24" s="85"/>
      <c r="R24" s="85"/>
      <c r="S24" s="85"/>
      <c r="T24" s="85"/>
      <c r="U24" s="89"/>
    </row>
    <row r="25" spans="1:21" x14ac:dyDescent="0.25">
      <c r="A25" s="88"/>
      <c r="B25" s="89"/>
      <c r="C25" s="1132"/>
      <c r="D25" s="1133"/>
      <c r="E25" s="1133"/>
      <c r="F25" s="1133"/>
      <c r="G25" s="1133"/>
      <c r="H25" s="1133"/>
      <c r="I25" s="1133"/>
      <c r="J25" s="1134"/>
      <c r="K25" s="88"/>
      <c r="L25" s="85"/>
      <c r="M25" s="85"/>
      <c r="N25" s="85"/>
      <c r="O25" s="85"/>
      <c r="P25" s="85"/>
      <c r="Q25" s="85"/>
      <c r="R25" s="85"/>
      <c r="S25" s="85"/>
      <c r="T25" s="85"/>
      <c r="U25" s="89"/>
    </row>
    <row r="26" spans="1:21" x14ac:dyDescent="0.25">
      <c r="A26" s="88"/>
      <c r="B26" s="89"/>
      <c r="C26" s="1135"/>
      <c r="D26" s="1136"/>
      <c r="E26" s="1136"/>
      <c r="F26" s="1136"/>
      <c r="G26" s="1136"/>
      <c r="H26" s="1136"/>
      <c r="I26" s="1136"/>
      <c r="J26" s="1137"/>
      <c r="K26" s="88"/>
      <c r="L26" s="85"/>
      <c r="M26" s="85"/>
      <c r="N26" s="85"/>
      <c r="O26" s="85"/>
      <c r="P26" s="85"/>
      <c r="Q26" s="85"/>
      <c r="R26" s="85"/>
      <c r="S26" s="85"/>
      <c r="T26" s="85"/>
      <c r="U26" s="89"/>
    </row>
    <row r="27" spans="1:21" x14ac:dyDescent="0.25">
      <c r="A27" s="88"/>
      <c r="B27" s="85"/>
      <c r="C27" s="837" t="s">
        <v>537</v>
      </c>
      <c r="D27" s="93"/>
      <c r="E27" s="93"/>
      <c r="F27" s="93"/>
      <c r="G27" s="93"/>
      <c r="H27" s="93"/>
      <c r="I27" s="93"/>
      <c r="J27" s="93"/>
      <c r="K27" s="85"/>
      <c r="L27" s="85"/>
      <c r="M27" s="85"/>
      <c r="N27" s="85"/>
      <c r="O27" s="85"/>
      <c r="P27" s="85"/>
      <c r="Q27" s="85"/>
      <c r="R27" s="85"/>
      <c r="S27" s="85"/>
      <c r="T27" s="85"/>
      <c r="U27" s="89"/>
    </row>
    <row r="28" spans="1:21" x14ac:dyDescent="0.25">
      <c r="A28" s="88"/>
      <c r="B28" s="85"/>
      <c r="C28" s="85"/>
      <c r="D28" s="85"/>
      <c r="E28" s="85"/>
      <c r="F28" s="85"/>
      <c r="G28" s="85"/>
      <c r="H28" s="85"/>
      <c r="I28" s="85"/>
      <c r="J28" s="85"/>
      <c r="K28" s="85"/>
      <c r="L28" s="85"/>
      <c r="M28" s="85"/>
      <c r="N28" s="85"/>
      <c r="O28" s="85"/>
      <c r="P28" s="85"/>
      <c r="Q28" s="85"/>
      <c r="R28" s="85"/>
      <c r="S28" s="85"/>
      <c r="T28" s="85"/>
      <c r="U28" s="89"/>
    </row>
    <row r="29" spans="1:21" x14ac:dyDescent="0.25">
      <c r="A29" s="88"/>
      <c r="B29" s="85"/>
      <c r="C29" s="85"/>
      <c r="D29" s="85"/>
      <c r="E29" s="85"/>
      <c r="F29" s="85"/>
      <c r="G29" s="85"/>
      <c r="H29" s="85"/>
      <c r="I29" s="85"/>
      <c r="J29" s="85"/>
      <c r="K29" s="85"/>
      <c r="L29" s="85"/>
      <c r="M29" s="85"/>
      <c r="N29" s="85"/>
      <c r="O29" s="85"/>
      <c r="P29" s="85"/>
      <c r="Q29" s="85"/>
      <c r="R29" s="85"/>
      <c r="S29" s="85"/>
      <c r="T29" s="85"/>
      <c r="U29" s="89"/>
    </row>
    <row r="30" spans="1:21" x14ac:dyDescent="0.25">
      <c r="A30" s="88"/>
      <c r="B30" s="85"/>
      <c r="C30" s="85"/>
      <c r="D30" s="85"/>
      <c r="E30" s="85"/>
      <c r="F30" s="85"/>
      <c r="G30" s="85"/>
      <c r="H30" s="85"/>
      <c r="I30" s="85"/>
      <c r="J30" s="85"/>
      <c r="K30" s="85"/>
      <c r="L30" s="85"/>
      <c r="M30" s="85"/>
      <c r="N30" s="85"/>
      <c r="O30" s="85"/>
      <c r="P30" s="85"/>
      <c r="Q30" s="85"/>
      <c r="R30" s="85"/>
      <c r="S30" s="85"/>
      <c r="T30" s="85"/>
      <c r="U30" s="89"/>
    </row>
    <row r="31" spans="1:21" x14ac:dyDescent="0.25">
      <c r="A31" s="88"/>
      <c r="B31" s="85"/>
      <c r="C31" s="85"/>
      <c r="D31" s="85"/>
      <c r="E31" s="85"/>
      <c r="F31" s="85"/>
      <c r="G31" s="85"/>
      <c r="H31" s="85"/>
      <c r="I31" s="85"/>
      <c r="J31" s="85"/>
      <c r="K31" s="85"/>
      <c r="L31" s="85"/>
      <c r="M31" s="85"/>
      <c r="N31" s="85"/>
      <c r="O31" s="85"/>
      <c r="P31" s="85"/>
      <c r="Q31" s="85"/>
      <c r="R31" s="85"/>
      <c r="S31" s="85"/>
      <c r="T31" s="85"/>
      <c r="U31" s="89"/>
    </row>
    <row r="32" spans="1:21" x14ac:dyDescent="0.25">
      <c r="A32" s="88"/>
      <c r="B32" s="85"/>
      <c r="C32" s="85"/>
      <c r="D32" s="85"/>
      <c r="E32" s="85"/>
      <c r="F32" s="85"/>
      <c r="G32" s="85"/>
      <c r="H32" s="85"/>
      <c r="I32" s="85"/>
      <c r="J32" s="85"/>
      <c r="K32" s="85"/>
      <c r="L32" s="85"/>
      <c r="M32" s="85"/>
      <c r="N32" s="85"/>
      <c r="O32" s="85"/>
      <c r="P32" s="85"/>
      <c r="Q32" s="85"/>
      <c r="R32" s="85"/>
      <c r="S32" s="85"/>
      <c r="T32" s="85"/>
      <c r="U32" s="89"/>
    </row>
    <row r="33" spans="1:21" x14ac:dyDescent="0.25">
      <c r="A33" s="88"/>
      <c r="B33" s="85"/>
      <c r="C33" s="85"/>
      <c r="D33" s="85"/>
      <c r="E33" s="85"/>
      <c r="F33" s="85"/>
      <c r="G33" s="85"/>
      <c r="H33" s="85"/>
      <c r="I33" s="85"/>
      <c r="J33" s="85"/>
      <c r="K33" s="85"/>
      <c r="L33" s="85"/>
      <c r="M33" s="85"/>
      <c r="N33" s="85"/>
      <c r="O33" s="85"/>
      <c r="P33" s="85"/>
      <c r="Q33" s="85"/>
      <c r="R33" s="85"/>
      <c r="S33" s="85"/>
      <c r="T33" s="85"/>
      <c r="U33" s="89"/>
    </row>
    <row r="34" spans="1:21" x14ac:dyDescent="0.25">
      <c r="A34" s="88"/>
      <c r="B34" s="85"/>
      <c r="C34" s="85"/>
      <c r="D34" s="85"/>
      <c r="E34" s="85"/>
      <c r="F34" s="85"/>
      <c r="G34" s="85"/>
      <c r="H34" s="85"/>
      <c r="I34" s="85"/>
      <c r="J34" s="85"/>
      <c r="K34" s="85"/>
      <c r="L34" s="85"/>
      <c r="M34" s="85"/>
      <c r="N34" s="85"/>
      <c r="O34" s="85"/>
      <c r="P34" s="85"/>
      <c r="Q34" s="85"/>
      <c r="R34" s="85"/>
      <c r="S34" s="85"/>
      <c r="T34" s="85"/>
      <c r="U34" s="89"/>
    </row>
    <row r="35" spans="1:21" x14ac:dyDescent="0.25">
      <c r="A35" s="88"/>
      <c r="B35" s="85"/>
      <c r="C35" s="85"/>
      <c r="D35" s="85"/>
      <c r="E35" s="85"/>
      <c r="F35" s="85"/>
      <c r="G35" s="85"/>
      <c r="H35" s="85"/>
      <c r="I35" s="85"/>
      <c r="J35" s="85"/>
      <c r="K35" s="85"/>
      <c r="L35" s="85"/>
      <c r="M35" s="85"/>
      <c r="N35" s="85"/>
      <c r="O35" s="85"/>
      <c r="P35" s="85"/>
      <c r="Q35" s="85"/>
      <c r="R35" s="85"/>
      <c r="S35" s="85"/>
      <c r="T35" s="85"/>
      <c r="U35" s="89"/>
    </row>
    <row r="36" spans="1:21" x14ac:dyDescent="0.25">
      <c r="A36" s="88"/>
      <c r="B36" s="85"/>
      <c r="C36" s="85"/>
      <c r="D36" s="85"/>
      <c r="E36" s="85"/>
      <c r="F36" s="85"/>
      <c r="G36" s="85"/>
      <c r="H36" s="85"/>
      <c r="I36" s="85"/>
      <c r="J36" s="85"/>
      <c r="K36" s="85"/>
      <c r="L36" s="85"/>
      <c r="M36" s="85"/>
      <c r="N36" s="85"/>
      <c r="O36" s="85"/>
      <c r="P36" s="85"/>
      <c r="Q36" s="85"/>
      <c r="R36" s="85"/>
      <c r="S36" s="85"/>
      <c r="T36" s="85"/>
      <c r="U36" s="89"/>
    </row>
    <row r="37" spans="1:21" x14ac:dyDescent="0.25">
      <c r="A37" s="88"/>
      <c r="B37" s="85"/>
      <c r="C37" s="85"/>
      <c r="D37" s="85"/>
      <c r="E37" s="85"/>
      <c r="F37" s="85"/>
      <c r="G37" s="85"/>
      <c r="H37" s="85"/>
      <c r="I37" s="85"/>
      <c r="J37" s="85"/>
      <c r="K37" s="85"/>
      <c r="L37" s="85"/>
      <c r="M37" s="85"/>
      <c r="N37" s="85"/>
      <c r="O37" s="85"/>
      <c r="P37" s="85"/>
      <c r="Q37" s="85"/>
      <c r="R37" s="85"/>
      <c r="S37" s="85"/>
      <c r="T37" s="85"/>
      <c r="U37" s="89"/>
    </row>
    <row r="38" spans="1:21" x14ac:dyDescent="0.25">
      <c r="A38" s="88"/>
      <c r="B38" s="85"/>
      <c r="C38" s="85"/>
      <c r="D38" s="85"/>
      <c r="E38" s="85"/>
      <c r="F38" s="85"/>
      <c r="G38" s="85"/>
      <c r="H38" s="85"/>
      <c r="I38" s="85"/>
      <c r="J38" s="85"/>
      <c r="K38" s="85"/>
      <c r="L38" s="85"/>
      <c r="M38" s="85"/>
      <c r="N38" s="85"/>
      <c r="O38" s="85"/>
      <c r="P38" s="85"/>
      <c r="Q38" s="85"/>
      <c r="R38" s="85"/>
      <c r="S38" s="85"/>
      <c r="T38" s="85"/>
      <c r="U38" s="89"/>
    </row>
    <row r="39" spans="1:21" x14ac:dyDescent="0.25">
      <c r="A39" s="88"/>
      <c r="B39" s="85"/>
      <c r="C39" s="85"/>
      <c r="D39" s="85"/>
      <c r="E39" s="85"/>
      <c r="F39" s="85"/>
      <c r="G39" s="85"/>
      <c r="H39" s="85"/>
      <c r="I39" s="85"/>
      <c r="J39" s="85"/>
      <c r="K39" s="85"/>
      <c r="L39" s="85"/>
      <c r="M39" s="85"/>
      <c r="N39" s="85"/>
      <c r="O39" s="85"/>
      <c r="P39" s="85"/>
      <c r="Q39" s="85"/>
      <c r="R39" s="85"/>
      <c r="S39" s="85"/>
      <c r="T39" s="85"/>
      <c r="U39" s="89"/>
    </row>
    <row r="40" spans="1:21" x14ac:dyDescent="0.25">
      <c r="A40" s="88"/>
      <c r="B40" s="85"/>
      <c r="C40" s="85"/>
      <c r="D40" s="85"/>
      <c r="E40" s="85"/>
      <c r="F40" s="85"/>
      <c r="G40" s="85"/>
      <c r="H40" s="85"/>
      <c r="I40" s="85"/>
      <c r="J40" s="85"/>
      <c r="K40" s="85"/>
      <c r="L40" s="85"/>
      <c r="M40" s="85"/>
      <c r="N40" s="85"/>
      <c r="O40" s="85"/>
      <c r="P40" s="85"/>
      <c r="Q40" s="85"/>
      <c r="R40" s="85"/>
      <c r="S40" s="85"/>
      <c r="T40" s="85"/>
      <c r="U40" s="89"/>
    </row>
    <row r="41" spans="1:21" x14ac:dyDescent="0.25">
      <c r="A41" s="88"/>
      <c r="B41" s="85"/>
      <c r="C41" s="85"/>
      <c r="D41" s="85"/>
      <c r="E41" s="85"/>
      <c r="F41" s="85"/>
      <c r="G41" s="85"/>
      <c r="H41" s="85"/>
      <c r="I41" s="85"/>
      <c r="J41" s="85"/>
      <c r="K41" s="85"/>
      <c r="L41" s="85"/>
      <c r="M41" s="85"/>
      <c r="N41" s="85"/>
      <c r="O41" s="85"/>
      <c r="P41" s="85"/>
      <c r="Q41" s="85"/>
      <c r="R41" s="85"/>
      <c r="S41" s="85"/>
      <c r="T41" s="85"/>
      <c r="U41" s="89"/>
    </row>
    <row r="42" spans="1:21" x14ac:dyDescent="0.25">
      <c r="A42" s="90"/>
      <c r="B42" s="91"/>
      <c r="C42" s="91"/>
      <c r="D42" s="91"/>
      <c r="E42" s="91"/>
      <c r="F42" s="91"/>
      <c r="G42" s="91"/>
      <c r="H42" s="91"/>
      <c r="I42" s="91"/>
      <c r="J42" s="91"/>
      <c r="K42" s="91"/>
      <c r="L42" s="91"/>
      <c r="M42" s="91"/>
      <c r="N42" s="91"/>
      <c r="O42" s="91"/>
      <c r="P42" s="91"/>
      <c r="Q42" s="91"/>
      <c r="R42" s="91"/>
      <c r="S42" s="91"/>
      <c r="T42" s="91"/>
      <c r="U42" s="92"/>
    </row>
  </sheetData>
  <mergeCells count="4">
    <mergeCell ref="C23:J26"/>
    <mergeCell ref="C3:D3"/>
    <mergeCell ref="F3:G3"/>
    <mergeCell ref="I3:J3"/>
  </mergeCells>
  <conditionalFormatting sqref="D12 G12 J12">
    <cfRule type="expression" dxfId="1" priority="1">
      <formula>C$3="REFINANCE"</formula>
    </cfRule>
    <cfRule type="expression" dxfId="0" priority="2">
      <formula>OR(C$3="SELL &amp; EXCHANGE",C$3="HOLD")</formula>
    </cfRule>
  </conditionalFormatting>
  <dataValidations count="1">
    <dataValidation type="list" allowBlank="1" showInputMessage="1" showErrorMessage="1" sqref="C3 F3 I3" xr:uid="{32B5BA8E-9126-4ADC-B25C-9C9131CFD14C}">
      <formula1>Equity_Returns_List</formula1>
    </dataValidation>
  </dataValidations>
  <pageMargins left="0.5" right="0.5" top="1.75" bottom="0.5" header="0" footer="0"/>
  <pageSetup scale="84" orientation="landscape" horizontalDpi="1200" verticalDpi="1200" r:id="rId1"/>
  <customProperties>
    <customPr name="GUID" r:id="rId2"/>
  </customProperties>
  <ignoredErrors>
    <ignoredError sqref="H7:J18 E7:E18 D7:D18 F7:G18"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C9B8-EBB7-4915-8945-0E8A4B06BF74}">
  <sheetPr codeName="Sheet20">
    <tabColor theme="4" tint="-0.249977111117893"/>
    <pageSetUpPr fitToPage="1"/>
  </sheetPr>
  <dimension ref="A1:AJ56"/>
  <sheetViews>
    <sheetView zoomScale="85" zoomScaleNormal="85" workbookViewId="0">
      <selection activeCell="L8" sqref="L8"/>
    </sheetView>
  </sheetViews>
  <sheetFormatPr defaultColWidth="8.85546875" defaultRowHeight="15" x14ac:dyDescent="0.25"/>
  <cols>
    <col min="1" max="2" width="3.140625" customWidth="1"/>
    <col min="13" max="14" width="9.140625" customWidth="1"/>
    <col min="15" max="15" width="18.140625" customWidth="1"/>
    <col min="16" max="26" width="9.140625" customWidth="1"/>
  </cols>
  <sheetData>
    <row r="1" spans="1:36" ht="16.5" x14ac:dyDescent="0.25">
      <c r="A1" s="924"/>
      <c r="B1" s="695"/>
      <c r="C1" s="925" t="s">
        <v>538</v>
      </c>
      <c r="D1" s="695"/>
      <c r="E1" s="695"/>
      <c r="F1" s="695"/>
      <c r="G1" s="695"/>
      <c r="H1" s="697"/>
      <c r="I1" s="697"/>
      <c r="J1" s="697"/>
      <c r="K1" s="697"/>
      <c r="L1" s="697"/>
      <c r="M1" s="695"/>
      <c r="N1" s="926"/>
      <c r="O1" s="927"/>
      <c r="P1" s="927"/>
      <c r="Q1" s="927"/>
      <c r="R1" s="927"/>
      <c r="S1" s="843"/>
      <c r="T1" s="695"/>
      <c r="U1" s="695"/>
      <c r="V1" s="695"/>
      <c r="W1" s="695"/>
      <c r="X1" s="695"/>
      <c r="Y1" s="695"/>
      <c r="Z1" s="695"/>
      <c r="AA1" s="93"/>
      <c r="AB1" s="93"/>
      <c r="AC1" s="93"/>
      <c r="AD1" s="93"/>
      <c r="AE1" s="93"/>
      <c r="AF1" s="93"/>
      <c r="AG1" s="93"/>
      <c r="AH1" s="93"/>
      <c r="AI1" s="93"/>
      <c r="AJ1" s="87"/>
    </row>
    <row r="2" spans="1:36" x14ac:dyDescent="0.25">
      <c r="A2" s="928"/>
      <c r="B2" s="377"/>
      <c r="C2" s="377"/>
      <c r="D2" s="377"/>
      <c r="E2" s="377"/>
      <c r="F2" s="929"/>
      <c r="G2" s="699"/>
      <c r="H2" s="699"/>
      <c r="I2" s="699"/>
      <c r="J2" s="699"/>
      <c r="K2" s="699"/>
      <c r="L2" s="699"/>
      <c r="M2" s="377"/>
      <c r="N2" s="792"/>
      <c r="O2" s="930"/>
      <c r="P2" s="930"/>
      <c r="Q2" s="930"/>
      <c r="R2" s="930"/>
      <c r="S2" s="792"/>
      <c r="T2" s="792"/>
      <c r="U2" s="792"/>
      <c r="V2" s="792"/>
      <c r="W2" s="792"/>
      <c r="X2" s="792"/>
      <c r="Y2" s="792"/>
      <c r="Z2" s="792"/>
      <c r="AA2" s="85"/>
      <c r="AB2" s="85"/>
      <c r="AC2" s="85"/>
      <c r="AD2" s="85"/>
      <c r="AE2" s="85"/>
      <c r="AF2" s="85"/>
      <c r="AG2" s="85"/>
      <c r="AH2" s="85"/>
      <c r="AI2" s="85"/>
      <c r="AJ2" s="89"/>
    </row>
    <row r="3" spans="1:36" hidden="1" x14ac:dyDescent="0.25">
      <c r="A3" s="931"/>
      <c r="B3" s="699"/>
      <c r="C3" s="699"/>
      <c r="D3" s="699"/>
      <c r="E3" s="699"/>
      <c r="F3" s="699"/>
      <c r="G3" s="792"/>
      <c r="H3" s="792"/>
      <c r="I3" s="792"/>
      <c r="J3" s="792"/>
      <c r="K3" s="792"/>
      <c r="L3" s="792"/>
      <c r="M3" s="792"/>
      <c r="N3" s="792"/>
      <c r="O3" s="930"/>
      <c r="P3" s="930"/>
      <c r="Q3" s="930"/>
      <c r="R3" s="930"/>
      <c r="S3" s="792"/>
      <c r="T3" s="792"/>
      <c r="U3" s="792"/>
      <c r="V3" s="792"/>
      <c r="W3" s="792"/>
      <c r="X3" s="792"/>
      <c r="Y3" s="792"/>
      <c r="Z3" s="792"/>
      <c r="AA3" s="85"/>
      <c r="AB3" s="85"/>
      <c r="AC3" s="85"/>
      <c r="AD3" s="85"/>
      <c r="AE3" s="85"/>
      <c r="AF3" s="85"/>
      <c r="AG3" s="85"/>
      <c r="AH3" s="85"/>
      <c r="AI3" s="85"/>
      <c r="AJ3" s="89"/>
    </row>
    <row r="4" spans="1:36" hidden="1" x14ac:dyDescent="0.25">
      <c r="A4" s="931"/>
      <c r="B4" s="699"/>
      <c r="C4" s="814"/>
      <c r="D4" s="814"/>
      <c r="E4" s="814"/>
      <c r="F4" s="814"/>
      <c r="G4" s="803"/>
      <c r="H4" s="803"/>
      <c r="I4" s="803"/>
      <c r="J4" s="803"/>
      <c r="K4" s="932"/>
      <c r="L4" s="803"/>
      <c r="M4" s="792"/>
      <c r="N4" s="792"/>
      <c r="O4" s="792"/>
      <c r="P4" s="792"/>
      <c r="Q4" s="792"/>
      <c r="R4" s="792"/>
      <c r="S4" s="792"/>
      <c r="T4" s="792"/>
      <c r="U4" s="792"/>
      <c r="V4" s="792"/>
      <c r="W4" s="792"/>
      <c r="X4" s="792"/>
      <c r="Y4" s="792"/>
      <c r="Z4" s="792"/>
      <c r="AA4" s="85"/>
      <c r="AB4" s="85"/>
      <c r="AC4" s="85"/>
      <c r="AD4" s="85"/>
      <c r="AE4" s="85"/>
      <c r="AF4" s="85"/>
      <c r="AG4" s="85"/>
      <c r="AH4" s="85"/>
      <c r="AI4" s="85"/>
      <c r="AJ4" s="89"/>
    </row>
    <row r="5" spans="1:36" x14ac:dyDescent="0.25">
      <c r="A5" s="931"/>
      <c r="B5" s="699"/>
      <c r="C5" s="802"/>
      <c r="D5" s="933"/>
      <c r="E5" s="814"/>
      <c r="F5" s="814"/>
      <c r="G5" s="803"/>
      <c r="H5" s="803"/>
      <c r="I5" s="803"/>
      <c r="J5" s="803"/>
      <c r="K5" s="932"/>
      <c r="L5" s="803"/>
      <c r="M5" s="792"/>
      <c r="N5" s="792"/>
      <c r="O5" s="792"/>
      <c r="P5" s="792"/>
      <c r="Q5" s="792"/>
      <c r="R5" s="792"/>
      <c r="S5" s="792"/>
      <c r="T5" s="792"/>
      <c r="U5" s="792"/>
      <c r="V5" s="792"/>
      <c r="W5" s="792"/>
      <c r="X5" s="792"/>
      <c r="Y5" s="792"/>
      <c r="Z5" s="792"/>
      <c r="AA5" s="85"/>
      <c r="AB5" s="85"/>
      <c r="AC5" s="85"/>
      <c r="AD5" s="85"/>
      <c r="AE5" s="85"/>
      <c r="AF5" s="85"/>
      <c r="AG5" s="85"/>
      <c r="AH5" s="85"/>
      <c r="AI5" s="85"/>
      <c r="AJ5" s="89"/>
    </row>
    <row r="6" spans="1:36" x14ac:dyDescent="0.25">
      <c r="A6" s="934"/>
      <c r="B6" s="1044"/>
      <c r="C6" s="802"/>
      <c r="D6" s="933"/>
      <c r="E6" s="814"/>
      <c r="F6" s="814"/>
      <c r="G6" s="803"/>
      <c r="H6" s="803"/>
      <c r="I6" s="803"/>
      <c r="J6" s="803"/>
      <c r="K6" s="932"/>
      <c r="L6" s="803"/>
      <c r="M6" s="803"/>
      <c r="N6" s="803"/>
      <c r="O6" s="85"/>
      <c r="P6" s="85"/>
      <c r="Q6" s="85"/>
      <c r="R6" s="85"/>
      <c r="S6" s="803"/>
      <c r="T6" s="803"/>
      <c r="U6" s="803"/>
      <c r="V6" s="803"/>
      <c r="W6" s="803"/>
      <c r="X6" s="803"/>
      <c r="Y6" s="803"/>
      <c r="Z6" s="803"/>
      <c r="AA6" s="85"/>
      <c r="AB6" s="85"/>
      <c r="AC6" s="85"/>
      <c r="AD6" s="85"/>
      <c r="AE6" s="85"/>
      <c r="AF6" s="85"/>
      <c r="AG6" s="85"/>
      <c r="AH6" s="85"/>
      <c r="AI6" s="85"/>
      <c r="AJ6" s="89"/>
    </row>
    <row r="7" spans="1:36" x14ac:dyDescent="0.25">
      <c r="A7" s="934"/>
      <c r="B7" s="802"/>
      <c r="C7" s="802"/>
      <c r="D7" s="933"/>
      <c r="E7" s="814"/>
      <c r="F7" s="814"/>
      <c r="G7" s="803"/>
      <c r="H7" s="803"/>
      <c r="I7" s="803"/>
      <c r="J7" s="803"/>
      <c r="K7" s="932"/>
      <c r="L7" s="803"/>
      <c r="M7" s="803"/>
      <c r="N7" s="803"/>
      <c r="O7" s="85"/>
      <c r="P7" s="85"/>
      <c r="Q7" s="85"/>
      <c r="R7" s="85"/>
      <c r="S7" s="803"/>
      <c r="T7" s="803"/>
      <c r="U7" s="803"/>
      <c r="V7" s="803"/>
      <c r="W7" s="803"/>
      <c r="X7" s="803"/>
      <c r="Y7" s="803"/>
      <c r="Z7" s="803"/>
      <c r="AA7" s="85"/>
      <c r="AB7" s="85"/>
      <c r="AC7" s="85"/>
      <c r="AD7" s="85"/>
      <c r="AE7" s="85"/>
      <c r="AF7" s="85"/>
      <c r="AG7" s="85"/>
      <c r="AH7" s="85"/>
      <c r="AI7" s="85"/>
      <c r="AJ7" s="89"/>
    </row>
    <row r="8" spans="1:36" x14ac:dyDescent="0.25">
      <c r="A8" s="934"/>
      <c r="B8" s="802"/>
      <c r="C8" s="802"/>
      <c r="D8" s="933"/>
      <c r="E8" s="814"/>
      <c r="F8" s="814"/>
      <c r="G8" s="803"/>
      <c r="H8" s="803"/>
      <c r="I8" s="803"/>
      <c r="J8" s="803"/>
      <c r="K8" s="932"/>
      <c r="L8" s="803"/>
      <c r="M8" s="803"/>
      <c r="N8" s="803"/>
      <c r="O8" s="85"/>
      <c r="P8" s="85"/>
      <c r="Q8" s="85"/>
      <c r="R8" s="85"/>
      <c r="S8" s="803"/>
      <c r="T8" s="803"/>
      <c r="U8" s="803"/>
      <c r="V8" s="803"/>
      <c r="W8" s="803"/>
      <c r="X8" s="803"/>
      <c r="Y8" s="803"/>
      <c r="Z8" s="803"/>
      <c r="AA8" s="85"/>
      <c r="AB8" s="85"/>
      <c r="AC8" s="85"/>
      <c r="AD8" s="85"/>
      <c r="AE8" s="85"/>
      <c r="AF8" s="85"/>
      <c r="AG8" s="85"/>
      <c r="AH8" s="85"/>
      <c r="AI8" s="85"/>
      <c r="AJ8" s="89"/>
    </row>
    <row r="9" spans="1:36" x14ac:dyDescent="0.25">
      <c r="A9" s="934"/>
      <c r="B9" s="802"/>
      <c r="C9" s="814"/>
      <c r="D9" s="814"/>
      <c r="E9" s="814"/>
      <c r="F9" s="814"/>
      <c r="G9" s="803"/>
      <c r="H9" s="803"/>
      <c r="I9" s="803"/>
      <c r="J9" s="803"/>
      <c r="K9" s="932"/>
      <c r="L9" s="803"/>
      <c r="M9" s="803"/>
      <c r="N9" s="803"/>
      <c r="O9" s="85"/>
      <c r="P9" s="85"/>
      <c r="Q9" s="85"/>
      <c r="R9" s="85"/>
      <c r="S9" s="803"/>
      <c r="T9" s="803"/>
      <c r="U9" s="803"/>
      <c r="V9" s="803"/>
      <c r="W9" s="803"/>
      <c r="X9" s="803"/>
      <c r="Y9" s="803"/>
      <c r="Z9" s="803"/>
      <c r="AA9" s="85"/>
      <c r="AB9" s="85"/>
      <c r="AC9" s="85"/>
      <c r="AD9" s="85"/>
      <c r="AE9" s="85"/>
      <c r="AF9" s="85"/>
      <c r="AG9" s="85"/>
      <c r="AH9" s="85"/>
      <c r="AI9" s="85"/>
      <c r="AJ9" s="89"/>
    </row>
    <row r="10" spans="1:36" x14ac:dyDescent="0.25">
      <c r="A10" s="934"/>
      <c r="B10" s="802"/>
      <c r="C10" s="814"/>
      <c r="D10" s="814"/>
      <c r="E10" s="814"/>
      <c r="F10" s="814"/>
      <c r="G10" s="803"/>
      <c r="H10" s="803"/>
      <c r="I10" s="803"/>
      <c r="J10" s="803"/>
      <c r="K10" s="932"/>
      <c r="L10" s="803"/>
      <c r="M10" s="803"/>
      <c r="N10" s="803"/>
      <c r="O10" s="85"/>
      <c r="P10" s="85"/>
      <c r="Q10" s="85"/>
      <c r="R10" s="85"/>
      <c r="S10" s="803"/>
      <c r="T10" s="803"/>
      <c r="U10" s="803"/>
      <c r="V10" s="803"/>
      <c r="W10" s="803"/>
      <c r="X10" s="803"/>
      <c r="Y10" s="803"/>
      <c r="Z10" s="803"/>
      <c r="AA10" s="85"/>
      <c r="AB10" s="85"/>
      <c r="AC10" s="85"/>
      <c r="AD10" s="85"/>
      <c r="AE10" s="85"/>
      <c r="AF10" s="85"/>
      <c r="AG10" s="85"/>
      <c r="AH10" s="85"/>
      <c r="AI10" s="85"/>
      <c r="AJ10" s="89"/>
    </row>
    <row r="11" spans="1:36" x14ac:dyDescent="0.25">
      <c r="A11" s="934"/>
      <c r="B11" s="802"/>
      <c r="C11" s="935"/>
      <c r="D11" s="935"/>
      <c r="E11" s="935"/>
      <c r="F11" s="935"/>
      <c r="G11" s="936"/>
      <c r="H11" s="936"/>
      <c r="I11" s="936"/>
      <c r="J11" s="936"/>
      <c r="K11" s="936"/>
      <c r="L11" s="936"/>
      <c r="M11" s="803"/>
      <c r="N11" s="803"/>
      <c r="O11" s="85"/>
      <c r="P11" s="85"/>
      <c r="Q11" s="85"/>
      <c r="R11" s="85"/>
      <c r="S11" s="803"/>
      <c r="T11" s="803"/>
      <c r="U11" s="803"/>
      <c r="V11" s="803"/>
      <c r="W11" s="803"/>
      <c r="X11" s="803"/>
      <c r="Y11" s="803"/>
      <c r="Z11" s="803"/>
      <c r="AA11" s="85"/>
      <c r="AB11" s="85"/>
      <c r="AC11" s="85"/>
      <c r="AD11" s="85"/>
      <c r="AE11" s="85"/>
      <c r="AF11" s="85"/>
      <c r="AG11" s="85"/>
      <c r="AH11" s="85"/>
      <c r="AI11" s="85"/>
      <c r="AJ11" s="89"/>
    </row>
    <row r="12" spans="1:36" x14ac:dyDescent="0.25">
      <c r="A12" s="934"/>
      <c r="B12" s="802"/>
      <c r="C12" s="1140"/>
      <c r="D12" s="1140"/>
      <c r="E12" s="937"/>
      <c r="F12" s="937"/>
      <c r="G12" s="938"/>
      <c r="H12" s="938"/>
      <c r="I12" s="939"/>
      <c r="J12" s="939"/>
      <c r="K12" s="1141"/>
      <c r="L12" s="1141"/>
      <c r="M12" s="803"/>
      <c r="N12" s="803"/>
      <c r="O12" s="85"/>
      <c r="P12" s="85"/>
      <c r="Q12" s="85"/>
      <c r="R12" s="85"/>
      <c r="S12" s="803"/>
      <c r="T12" s="803"/>
      <c r="U12" s="803"/>
      <c r="V12" s="803"/>
      <c r="W12" s="803"/>
      <c r="X12" s="803"/>
      <c r="Y12" s="803"/>
      <c r="Z12" s="803"/>
      <c r="AA12" s="85"/>
      <c r="AB12" s="85"/>
      <c r="AC12" s="85"/>
      <c r="AD12" s="85"/>
      <c r="AE12" s="85"/>
      <c r="AF12" s="85"/>
      <c r="AG12" s="85"/>
      <c r="AH12" s="85"/>
      <c r="AI12" s="85"/>
      <c r="AJ12" s="89"/>
    </row>
    <row r="13" spans="1:36" x14ac:dyDescent="0.25">
      <c r="A13" s="931"/>
      <c r="B13" s="699"/>
      <c r="C13" s="802"/>
      <c r="D13" s="940"/>
      <c r="E13" s="937"/>
      <c r="F13" s="937"/>
      <c r="G13" s="803"/>
      <c r="H13" s="941"/>
      <c r="I13" s="939"/>
      <c r="J13" s="939"/>
      <c r="K13" s="803"/>
      <c r="L13" s="941"/>
      <c r="M13" s="792"/>
      <c r="N13" s="792"/>
      <c r="O13" s="792"/>
      <c r="P13" s="942"/>
      <c r="Q13" s="792"/>
      <c r="R13" s="792"/>
      <c r="S13" s="792"/>
      <c r="T13" s="792"/>
      <c r="U13" s="792"/>
      <c r="V13" s="792"/>
      <c r="W13" s="792"/>
      <c r="X13" s="792"/>
      <c r="Y13" s="792"/>
      <c r="Z13" s="792"/>
      <c r="AA13" s="85"/>
      <c r="AB13" s="85"/>
      <c r="AC13" s="85"/>
      <c r="AD13" s="85"/>
      <c r="AE13" s="85"/>
      <c r="AF13" s="85"/>
      <c r="AG13" s="85"/>
      <c r="AH13" s="85"/>
      <c r="AI13" s="85"/>
      <c r="AJ13" s="89"/>
    </row>
    <row r="14" spans="1:36" x14ac:dyDescent="0.25">
      <c r="A14" s="931"/>
      <c r="B14" s="699"/>
      <c r="C14" s="802"/>
      <c r="D14" s="940"/>
      <c r="E14" s="937"/>
      <c r="F14" s="937"/>
      <c r="G14" s="803"/>
      <c r="H14" s="941"/>
      <c r="I14" s="939"/>
      <c r="J14" s="939"/>
      <c r="K14" s="803"/>
      <c r="L14" s="941"/>
      <c r="M14" s="792"/>
      <c r="N14" s="792"/>
      <c r="O14" s="792"/>
      <c r="P14" s="942"/>
      <c r="Q14" s="792"/>
      <c r="R14" s="792"/>
      <c r="S14" s="792"/>
      <c r="T14" s="792"/>
      <c r="U14" s="792"/>
      <c r="V14" s="792"/>
      <c r="W14" s="792"/>
      <c r="X14" s="792"/>
      <c r="Y14" s="792"/>
      <c r="Z14" s="792"/>
      <c r="AA14" s="85"/>
      <c r="AB14" s="85"/>
      <c r="AC14" s="85"/>
      <c r="AD14" s="85"/>
      <c r="AE14" s="85"/>
      <c r="AF14" s="85"/>
      <c r="AG14" s="85"/>
      <c r="AH14" s="85"/>
      <c r="AI14" s="85"/>
      <c r="AJ14" s="89"/>
    </row>
    <row r="15" spans="1:36" x14ac:dyDescent="0.25">
      <c r="A15" s="931"/>
      <c r="B15" s="699"/>
      <c r="C15" s="802"/>
      <c r="D15" s="940"/>
      <c r="E15" s="937"/>
      <c r="F15" s="937"/>
      <c r="G15" s="803"/>
      <c r="H15" s="941"/>
      <c r="I15" s="939"/>
      <c r="J15" s="939"/>
      <c r="K15" s="803"/>
      <c r="L15" s="941"/>
      <c r="M15" s="792"/>
      <c r="N15" s="792"/>
      <c r="O15" s="792"/>
      <c r="P15" s="942"/>
      <c r="Q15" s="792"/>
      <c r="R15" s="792"/>
      <c r="S15" s="792"/>
      <c r="T15" s="792"/>
      <c r="U15" s="792"/>
      <c r="V15" s="792"/>
      <c r="W15" s="792"/>
      <c r="X15" s="792"/>
      <c r="Y15" s="792"/>
      <c r="Z15" s="792"/>
      <c r="AA15" s="85"/>
      <c r="AB15" s="85"/>
      <c r="AC15" s="85"/>
      <c r="AD15" s="85"/>
      <c r="AE15" s="85"/>
      <c r="AF15" s="85"/>
      <c r="AG15" s="85"/>
      <c r="AH15" s="85"/>
      <c r="AI15" s="85"/>
      <c r="AJ15" s="89"/>
    </row>
    <row r="16" spans="1:36" x14ac:dyDescent="0.25">
      <c r="A16" s="931"/>
      <c r="B16" s="699"/>
      <c r="C16" s="802"/>
      <c r="D16" s="940"/>
      <c r="E16" s="937"/>
      <c r="F16" s="937"/>
      <c r="G16" s="803"/>
      <c r="H16" s="941"/>
      <c r="I16" s="939"/>
      <c r="J16" s="939"/>
      <c r="K16" s="803"/>
      <c r="L16" s="941"/>
      <c r="M16" s="792"/>
      <c r="N16" s="792"/>
      <c r="O16" s="792"/>
      <c r="P16" s="942"/>
      <c r="Q16" s="792"/>
      <c r="R16" s="792"/>
      <c r="S16" s="792"/>
      <c r="T16" s="792"/>
      <c r="U16" s="792"/>
      <c r="V16" s="792"/>
      <c r="W16" s="792"/>
      <c r="X16" s="792"/>
      <c r="Y16" s="792"/>
      <c r="Z16" s="792"/>
      <c r="AA16" s="85"/>
      <c r="AB16" s="85"/>
      <c r="AC16" s="85"/>
      <c r="AD16" s="85"/>
      <c r="AE16" s="85"/>
      <c r="AF16" s="85"/>
      <c r="AG16" s="85"/>
      <c r="AH16" s="85"/>
      <c r="AI16" s="85"/>
      <c r="AJ16" s="89"/>
    </row>
    <row r="17" spans="1:36" x14ac:dyDescent="0.25">
      <c r="A17" s="931"/>
      <c r="B17" s="699"/>
      <c r="C17" s="802"/>
      <c r="D17" s="940"/>
      <c r="E17" s="937"/>
      <c r="F17" s="937"/>
      <c r="G17" s="803"/>
      <c r="H17" s="941"/>
      <c r="I17" s="939"/>
      <c r="J17" s="939"/>
      <c r="K17" s="803"/>
      <c r="L17" s="941"/>
      <c r="M17" s="792"/>
      <c r="N17" s="792"/>
      <c r="O17" s="792"/>
      <c r="P17" s="942"/>
      <c r="Q17" s="792"/>
      <c r="R17" s="792"/>
      <c r="S17" s="792"/>
      <c r="T17" s="792"/>
      <c r="U17" s="792"/>
      <c r="V17" s="792"/>
      <c r="W17" s="792"/>
      <c r="X17" s="792"/>
      <c r="Y17" s="792"/>
      <c r="Z17" s="792"/>
      <c r="AA17" s="85"/>
      <c r="AB17" s="85"/>
      <c r="AC17" s="85"/>
      <c r="AD17" s="85"/>
      <c r="AE17" s="85"/>
      <c r="AF17" s="85"/>
      <c r="AG17" s="85"/>
      <c r="AH17" s="85"/>
      <c r="AI17" s="85"/>
      <c r="AJ17" s="89"/>
    </row>
    <row r="18" spans="1:36" x14ac:dyDescent="0.25">
      <c r="A18" s="931"/>
      <c r="B18" s="699"/>
      <c r="C18" s="802"/>
      <c r="D18" s="940"/>
      <c r="E18" s="937"/>
      <c r="F18" s="937"/>
      <c r="G18" s="803"/>
      <c r="H18" s="941"/>
      <c r="I18" s="939"/>
      <c r="J18" s="939"/>
      <c r="K18" s="803"/>
      <c r="L18" s="941"/>
      <c r="M18" s="792"/>
      <c r="N18" s="792"/>
      <c r="O18" s="792"/>
      <c r="P18" s="942"/>
      <c r="Q18" s="792"/>
      <c r="R18" s="792"/>
      <c r="S18" s="792"/>
      <c r="T18" s="792"/>
      <c r="U18" s="792"/>
      <c r="V18" s="792"/>
      <c r="W18" s="792"/>
      <c r="X18" s="792"/>
      <c r="Y18" s="792"/>
      <c r="Z18" s="792"/>
      <c r="AA18" s="85"/>
      <c r="AB18" s="85"/>
      <c r="AC18" s="85"/>
      <c r="AD18" s="85"/>
      <c r="AE18" s="85"/>
      <c r="AF18" s="85"/>
      <c r="AG18" s="85"/>
      <c r="AH18" s="85"/>
      <c r="AI18" s="85"/>
      <c r="AJ18" s="89"/>
    </row>
    <row r="19" spans="1:36" x14ac:dyDescent="0.25">
      <c r="A19" s="931"/>
      <c r="B19" s="699"/>
      <c r="C19" s="802"/>
      <c r="D19" s="940"/>
      <c r="E19" s="937"/>
      <c r="F19" s="937"/>
      <c r="G19" s="803"/>
      <c r="H19" s="941"/>
      <c r="I19" s="939"/>
      <c r="J19" s="939"/>
      <c r="K19" s="803"/>
      <c r="L19" s="941"/>
      <c r="M19" s="792"/>
      <c r="N19" s="792"/>
      <c r="O19" s="792"/>
      <c r="P19" s="942"/>
      <c r="Q19" s="792"/>
      <c r="R19" s="792"/>
      <c r="S19" s="792"/>
      <c r="T19" s="792"/>
      <c r="U19" s="792"/>
      <c r="V19" s="792"/>
      <c r="W19" s="792"/>
      <c r="X19" s="792"/>
      <c r="Y19" s="792"/>
      <c r="Z19" s="792"/>
      <c r="AA19" s="85"/>
      <c r="AB19" s="85"/>
      <c r="AC19" s="85"/>
      <c r="AD19" s="85"/>
      <c r="AE19" s="85"/>
      <c r="AF19" s="85"/>
      <c r="AG19" s="85"/>
      <c r="AH19" s="85"/>
      <c r="AI19" s="85"/>
      <c r="AJ19" s="89"/>
    </row>
    <row r="20" spans="1:36" x14ac:dyDescent="0.25">
      <c r="A20" s="931"/>
      <c r="B20" s="699"/>
      <c r="C20" s="802"/>
      <c r="D20" s="940"/>
      <c r="E20" s="945"/>
      <c r="F20" s="945"/>
      <c r="G20" s="803"/>
      <c r="H20" s="941"/>
      <c r="I20" s="946"/>
      <c r="J20" s="946"/>
      <c r="K20" s="803"/>
      <c r="L20" s="947"/>
      <c r="M20" s="792"/>
      <c r="N20" s="792"/>
      <c r="O20" s="792"/>
      <c r="P20" s="942"/>
      <c r="Q20" s="792"/>
      <c r="R20" s="792"/>
      <c r="S20" s="792"/>
      <c r="T20" s="792"/>
      <c r="U20" s="792"/>
      <c r="V20" s="792"/>
      <c r="W20" s="792"/>
      <c r="X20" s="792"/>
      <c r="Y20" s="792"/>
      <c r="Z20" s="792"/>
      <c r="AA20" s="85"/>
      <c r="AB20" s="85"/>
      <c r="AC20" s="85"/>
      <c r="AD20" s="85"/>
      <c r="AE20" s="85"/>
      <c r="AF20" s="85"/>
      <c r="AG20" s="85"/>
      <c r="AH20" s="85"/>
      <c r="AI20" s="85"/>
      <c r="AJ20" s="92"/>
    </row>
    <row r="21" spans="1:36" x14ac:dyDescent="0.25">
      <c r="A21" s="931"/>
      <c r="B21" s="699"/>
      <c r="C21" s="802"/>
      <c r="D21" s="948"/>
      <c r="E21" s="949"/>
      <c r="F21" s="949"/>
      <c r="G21" s="803"/>
      <c r="H21" s="950"/>
      <c r="I21" s="951"/>
      <c r="J21" s="951"/>
      <c r="K21" s="803"/>
      <c r="L21" s="950"/>
      <c r="M21" s="792"/>
      <c r="N21" s="792"/>
      <c r="O21" s="930"/>
      <c r="P21" s="952"/>
      <c r="Q21" s="930"/>
      <c r="R21" s="930"/>
      <c r="S21" s="930"/>
      <c r="T21" s="792"/>
      <c r="U21" s="792"/>
      <c r="V21" s="792"/>
      <c r="W21" s="792"/>
      <c r="X21" s="792"/>
      <c r="Y21" s="792"/>
      <c r="Z21" s="792"/>
      <c r="AA21" s="85"/>
      <c r="AB21" s="85"/>
      <c r="AC21" s="85"/>
      <c r="AD21" s="85"/>
      <c r="AE21" s="85"/>
      <c r="AF21" s="85"/>
      <c r="AG21" s="85"/>
      <c r="AH21" s="85"/>
      <c r="AI21" s="89"/>
    </row>
    <row r="22" spans="1:36" x14ac:dyDescent="0.25">
      <c r="A22" s="931"/>
      <c r="B22" s="699"/>
      <c r="C22" s="802"/>
      <c r="D22" s="802"/>
      <c r="E22" s="802"/>
      <c r="F22" s="802"/>
      <c r="G22" s="802"/>
      <c r="H22" s="802"/>
      <c r="I22" s="802"/>
      <c r="J22" s="802"/>
      <c r="K22" s="803"/>
      <c r="L22" s="803"/>
      <c r="M22" s="792"/>
      <c r="N22" s="792"/>
      <c r="O22" s="930"/>
      <c r="P22" s="952"/>
      <c r="Q22" s="930"/>
      <c r="R22" s="930"/>
      <c r="S22" s="930"/>
      <c r="T22" s="792"/>
      <c r="U22" s="792"/>
      <c r="V22" s="792"/>
      <c r="W22" s="792"/>
      <c r="X22" s="792"/>
      <c r="Y22" s="792"/>
      <c r="Z22" s="792"/>
      <c r="AA22" s="85"/>
      <c r="AB22" s="85"/>
      <c r="AC22" s="85"/>
      <c r="AD22" s="85"/>
      <c r="AE22" s="85"/>
      <c r="AF22" s="85"/>
      <c r="AG22" s="85"/>
      <c r="AH22" s="85"/>
      <c r="AI22" s="89"/>
    </row>
    <row r="23" spans="1:36" x14ac:dyDescent="0.25">
      <c r="A23" s="931"/>
      <c r="B23" s="699"/>
      <c r="C23" s="802"/>
      <c r="D23" s="802"/>
      <c r="E23" s="802"/>
      <c r="F23" s="802"/>
      <c r="G23" s="802"/>
      <c r="H23" s="802"/>
      <c r="I23" s="802"/>
      <c r="J23" s="802"/>
      <c r="K23" s="803"/>
      <c r="L23" s="803"/>
      <c r="M23" s="792"/>
      <c r="N23" s="792"/>
      <c r="O23" s="930"/>
      <c r="P23" s="952"/>
      <c r="Q23" s="930"/>
      <c r="R23" s="930"/>
      <c r="S23" s="930"/>
      <c r="T23" s="792"/>
      <c r="U23" s="792"/>
      <c r="V23" s="792"/>
      <c r="W23" s="792"/>
      <c r="X23" s="792"/>
      <c r="Y23" s="792"/>
      <c r="Z23" s="792"/>
      <c r="AA23" s="85"/>
      <c r="AB23" s="85"/>
      <c r="AC23" s="85"/>
      <c r="AD23" s="85"/>
      <c r="AE23" s="85"/>
      <c r="AF23" s="85"/>
      <c r="AG23" s="85"/>
      <c r="AH23" s="85"/>
      <c r="AI23" s="89"/>
    </row>
    <row r="24" spans="1:36" x14ac:dyDescent="0.25">
      <c r="A24" s="931"/>
      <c r="B24" s="699"/>
      <c r="C24" s="802"/>
      <c r="D24" s="802"/>
      <c r="E24" s="802"/>
      <c r="F24" s="802"/>
      <c r="G24" s="802"/>
      <c r="H24" s="935"/>
      <c r="I24" s="802"/>
      <c r="J24" s="802"/>
      <c r="K24" s="802"/>
      <c r="L24" s="802"/>
      <c r="M24" s="699"/>
      <c r="N24" s="792"/>
      <c r="O24" s="930"/>
      <c r="P24" s="952"/>
      <c r="Q24" s="930"/>
      <c r="R24" s="930"/>
      <c r="S24" s="930"/>
      <c r="T24" s="792"/>
      <c r="U24" s="792"/>
      <c r="V24" s="792"/>
      <c r="W24" s="792"/>
      <c r="X24" s="792"/>
      <c r="Y24" s="792"/>
      <c r="Z24" s="792"/>
      <c r="AA24" s="85"/>
      <c r="AB24" s="85"/>
      <c r="AC24" s="85"/>
      <c r="AD24" s="85"/>
      <c r="AE24" s="85"/>
      <c r="AF24" s="85"/>
      <c r="AG24" s="85"/>
      <c r="AH24" s="85"/>
      <c r="AI24" s="89"/>
    </row>
    <row r="25" spans="1:36" x14ac:dyDescent="0.25">
      <c r="A25" s="931"/>
      <c r="B25" s="699"/>
      <c r="C25" s="802"/>
      <c r="D25" s="802"/>
      <c r="E25" s="802"/>
      <c r="F25" s="802"/>
      <c r="G25" s="802"/>
      <c r="H25" s="802"/>
      <c r="I25" s="802"/>
      <c r="J25" s="802"/>
      <c r="K25" s="802"/>
      <c r="L25" s="802"/>
      <c r="M25" s="699"/>
      <c r="N25" s="792"/>
      <c r="O25" s="930"/>
      <c r="P25" s="952"/>
      <c r="Q25" s="930"/>
      <c r="R25" s="930"/>
      <c r="S25" s="930"/>
      <c r="T25" s="792"/>
      <c r="U25" s="792"/>
      <c r="V25" s="792"/>
      <c r="W25" s="792"/>
      <c r="X25" s="792"/>
      <c r="Y25" s="792"/>
      <c r="Z25" s="792"/>
      <c r="AA25" s="85"/>
      <c r="AB25" s="85"/>
      <c r="AC25" s="85"/>
      <c r="AD25" s="85"/>
      <c r="AE25" s="85"/>
      <c r="AF25" s="85"/>
      <c r="AG25" s="85"/>
      <c r="AH25" s="85"/>
      <c r="AI25" s="89"/>
    </row>
    <row r="26" spans="1:36" x14ac:dyDescent="0.25">
      <c r="A26" s="931"/>
      <c r="B26" s="699"/>
      <c r="C26" s="1140"/>
      <c r="D26" s="1140"/>
      <c r="E26" s="953"/>
      <c r="F26" s="953"/>
      <c r="G26" s="954"/>
      <c r="H26" s="954"/>
      <c r="I26" s="953"/>
      <c r="J26" s="953"/>
      <c r="K26" s="1140"/>
      <c r="L26" s="1140"/>
      <c r="M26" s="699"/>
      <c r="N26" s="792"/>
      <c r="O26" s="930"/>
      <c r="P26" s="952"/>
      <c r="Q26" s="930"/>
      <c r="R26" s="930"/>
      <c r="S26" s="930"/>
      <c r="T26" s="792"/>
      <c r="U26" s="792"/>
      <c r="V26" s="792"/>
      <c r="W26" s="792"/>
      <c r="X26" s="792"/>
      <c r="Y26" s="792"/>
      <c r="Z26" s="792"/>
      <c r="AA26" s="85"/>
      <c r="AB26" s="85"/>
      <c r="AC26" s="85"/>
      <c r="AD26" s="85"/>
      <c r="AE26" s="85"/>
      <c r="AF26" s="85"/>
      <c r="AG26" s="85"/>
      <c r="AH26" s="85"/>
      <c r="AI26" s="89"/>
    </row>
    <row r="27" spans="1:36" x14ac:dyDescent="0.25">
      <c r="A27" s="931"/>
      <c r="B27" s="699"/>
      <c r="C27" s="802"/>
      <c r="D27" s="955"/>
      <c r="E27" s="802"/>
      <c r="F27" s="802"/>
      <c r="G27" s="802"/>
      <c r="H27" s="955"/>
      <c r="I27" s="802"/>
      <c r="J27" s="802"/>
      <c r="K27" s="802"/>
      <c r="L27" s="956"/>
      <c r="M27" s="699"/>
      <c r="N27" s="792"/>
      <c r="O27" s="930"/>
      <c r="P27" s="952"/>
      <c r="Q27" s="930"/>
      <c r="R27" s="930"/>
      <c r="S27" s="930"/>
      <c r="T27" s="792"/>
      <c r="U27" s="792"/>
      <c r="V27" s="792"/>
      <c r="W27" s="792"/>
      <c r="X27" s="792"/>
      <c r="Y27" s="792"/>
      <c r="Z27" s="792"/>
      <c r="AA27" s="85"/>
      <c r="AB27" s="85"/>
      <c r="AC27" s="85"/>
      <c r="AD27" s="85"/>
      <c r="AE27" s="85"/>
      <c r="AF27" s="85"/>
      <c r="AG27" s="85"/>
      <c r="AH27" s="85"/>
      <c r="AI27" s="89"/>
    </row>
    <row r="28" spans="1:36" x14ac:dyDescent="0.25">
      <c r="A28" s="931"/>
      <c r="B28" s="699"/>
      <c r="C28" s="802"/>
      <c r="D28" s="957"/>
      <c r="E28" s="802"/>
      <c r="F28" s="802"/>
      <c r="G28" s="802"/>
      <c r="H28" s="956"/>
      <c r="I28" s="802"/>
      <c r="J28" s="802"/>
      <c r="K28" s="802"/>
      <c r="L28" s="956"/>
      <c r="M28" s="699"/>
      <c r="N28" s="792"/>
      <c r="O28" s="930"/>
      <c r="P28" s="952"/>
      <c r="Q28" s="930"/>
      <c r="R28" s="930"/>
      <c r="S28" s="930"/>
      <c r="T28" s="792"/>
      <c r="U28" s="792"/>
      <c r="V28" s="792"/>
      <c r="W28" s="792"/>
      <c r="X28" s="792"/>
      <c r="Y28" s="792"/>
      <c r="Z28" s="792"/>
      <c r="AA28" s="85"/>
      <c r="AB28" s="85"/>
      <c r="AC28" s="85"/>
      <c r="AD28" s="85"/>
      <c r="AE28" s="85"/>
      <c r="AF28" s="85"/>
      <c r="AG28" s="85"/>
      <c r="AH28" s="85"/>
      <c r="AI28" s="89"/>
    </row>
    <row r="29" spans="1:36" x14ac:dyDescent="0.25">
      <c r="A29" s="931"/>
      <c r="B29" s="699"/>
      <c r="C29" s="802"/>
      <c r="D29" s="958"/>
      <c r="E29" s="802"/>
      <c r="F29" s="802"/>
      <c r="G29" s="802"/>
      <c r="H29" s="958"/>
      <c r="I29" s="802"/>
      <c r="J29" s="802"/>
      <c r="K29" s="802"/>
      <c r="L29" s="958"/>
      <c r="M29" s="699"/>
      <c r="N29" s="792"/>
      <c r="O29" s="930"/>
      <c r="P29" s="952"/>
      <c r="Q29" s="930"/>
      <c r="R29" s="930"/>
      <c r="S29" s="930"/>
      <c r="T29" s="792"/>
      <c r="U29" s="792"/>
      <c r="V29" s="792"/>
      <c r="W29" s="792"/>
      <c r="X29" s="792"/>
      <c r="Y29" s="792"/>
      <c r="Z29" s="792"/>
      <c r="AA29" s="85"/>
      <c r="AB29" s="85"/>
      <c r="AC29" s="85"/>
      <c r="AD29" s="85"/>
      <c r="AE29" s="85"/>
      <c r="AF29" s="85"/>
      <c r="AG29" s="85"/>
      <c r="AH29" s="85"/>
      <c r="AI29" s="89"/>
    </row>
    <row r="30" spans="1:36" x14ac:dyDescent="0.25">
      <c r="A30" s="931"/>
      <c r="B30" s="699"/>
      <c r="C30" s="802"/>
      <c r="D30" s="959"/>
      <c r="E30" s="802"/>
      <c r="F30" s="802"/>
      <c r="G30" s="802"/>
      <c r="H30" s="959"/>
      <c r="I30" s="802"/>
      <c r="J30" s="802"/>
      <c r="K30" s="802"/>
      <c r="L30" s="959"/>
      <c r="M30" s="699"/>
      <c r="N30" s="792"/>
      <c r="O30" s="930"/>
      <c r="P30" s="952"/>
      <c r="Q30" s="930"/>
      <c r="R30" s="930"/>
      <c r="S30" s="930"/>
      <c r="T30" s="792"/>
      <c r="U30" s="792"/>
      <c r="V30" s="792"/>
      <c r="W30" s="792"/>
      <c r="X30" s="792"/>
      <c r="Y30" s="792"/>
      <c r="Z30" s="792"/>
      <c r="AA30" s="85"/>
      <c r="AB30" s="85"/>
      <c r="AC30" s="85"/>
      <c r="AD30" s="85"/>
      <c r="AE30" s="85"/>
      <c r="AF30" s="85"/>
      <c r="AG30" s="85"/>
      <c r="AH30" s="85"/>
      <c r="AI30" s="89"/>
    </row>
    <row r="31" spans="1:36" x14ac:dyDescent="0.25">
      <c r="A31" s="931"/>
      <c r="B31" s="699"/>
      <c r="C31" s="802"/>
      <c r="D31" s="958"/>
      <c r="E31" s="802"/>
      <c r="F31" s="802"/>
      <c r="G31" s="802"/>
      <c r="H31" s="958"/>
      <c r="I31" s="802"/>
      <c r="J31" s="802"/>
      <c r="K31" s="802"/>
      <c r="L31" s="958"/>
      <c r="M31" s="699"/>
      <c r="N31" s="792"/>
      <c r="O31" s="930"/>
      <c r="P31" s="952"/>
      <c r="Q31" s="930"/>
      <c r="R31" s="930"/>
      <c r="S31" s="930"/>
      <c r="T31" s="792"/>
      <c r="U31" s="792"/>
      <c r="V31" s="792"/>
      <c r="W31" s="792"/>
      <c r="X31" s="792"/>
      <c r="Y31" s="792"/>
      <c r="Z31" s="792"/>
      <c r="AA31" s="85"/>
      <c r="AB31" s="85"/>
      <c r="AC31" s="85"/>
      <c r="AD31" s="85"/>
      <c r="AE31" s="85"/>
      <c r="AF31" s="85"/>
      <c r="AG31" s="85"/>
      <c r="AH31" s="85"/>
      <c r="AI31" s="89"/>
    </row>
    <row r="32" spans="1:36" x14ac:dyDescent="0.25">
      <c r="A32" s="931"/>
      <c r="B32" s="699"/>
      <c r="C32" s="802"/>
      <c r="D32" s="958"/>
      <c r="E32" s="802"/>
      <c r="F32" s="802"/>
      <c r="G32" s="802"/>
      <c r="H32" s="958"/>
      <c r="I32" s="802"/>
      <c r="J32" s="802"/>
      <c r="K32" s="802"/>
      <c r="L32" s="958"/>
      <c r="M32" s="699"/>
      <c r="N32" s="792"/>
      <c r="O32" s="930"/>
      <c r="P32" s="952"/>
      <c r="Q32" s="930"/>
      <c r="R32" s="930"/>
      <c r="S32" s="930"/>
      <c r="T32" s="792"/>
      <c r="U32" s="792"/>
      <c r="V32" s="792"/>
      <c r="W32" s="792"/>
      <c r="X32" s="792"/>
      <c r="Y32" s="792"/>
      <c r="Z32" s="792"/>
      <c r="AA32" s="85"/>
      <c r="AB32" s="85"/>
      <c r="AC32" s="85"/>
      <c r="AD32" s="85"/>
      <c r="AE32" s="85"/>
      <c r="AF32" s="85"/>
      <c r="AG32" s="85"/>
      <c r="AH32" s="85"/>
      <c r="AI32" s="89"/>
    </row>
    <row r="33" spans="1:35" x14ac:dyDescent="0.25">
      <c r="A33" s="931"/>
      <c r="B33" s="699"/>
      <c r="C33" s="802"/>
      <c r="D33" s="959"/>
      <c r="E33" s="802"/>
      <c r="F33" s="802"/>
      <c r="G33" s="802"/>
      <c r="H33" s="959"/>
      <c r="I33" s="802"/>
      <c r="J33" s="802"/>
      <c r="K33" s="802"/>
      <c r="L33" s="959"/>
      <c r="M33" s="699"/>
      <c r="N33" s="792"/>
      <c r="O33" s="930"/>
      <c r="P33" s="952"/>
      <c r="Q33" s="930"/>
      <c r="R33" s="930"/>
      <c r="S33" s="930"/>
      <c r="T33" s="792"/>
      <c r="U33" s="792"/>
      <c r="V33" s="792"/>
      <c r="W33" s="792"/>
      <c r="X33" s="792"/>
      <c r="Y33" s="792"/>
      <c r="Z33" s="792"/>
      <c r="AA33" s="85"/>
      <c r="AB33" s="85"/>
      <c r="AC33" s="85"/>
      <c r="AD33" s="85"/>
      <c r="AE33" s="85"/>
      <c r="AF33" s="85"/>
      <c r="AG33" s="85"/>
      <c r="AH33" s="85"/>
      <c r="AI33" s="89"/>
    </row>
    <row r="34" spans="1:35" x14ac:dyDescent="0.25">
      <c r="A34" s="931"/>
      <c r="B34" s="699"/>
      <c r="C34" s="802"/>
      <c r="D34" s="956"/>
      <c r="E34" s="802"/>
      <c r="F34" s="802"/>
      <c r="G34" s="802"/>
      <c r="H34" s="956"/>
      <c r="I34" s="802"/>
      <c r="J34" s="802"/>
      <c r="K34" s="802"/>
      <c r="L34" s="956"/>
      <c r="M34" s="699"/>
      <c r="N34" s="792"/>
      <c r="O34" s="930"/>
      <c r="P34" s="930" t="b">
        <f>IFERROR(IF(COUNTA(C13:C31)&gt;0,COUNTA(C13:C31,1)),"")</f>
        <v>0</v>
      </c>
      <c r="Q34" s="930"/>
      <c r="R34" s="930"/>
      <c r="S34" s="930"/>
      <c r="T34" s="792"/>
      <c r="U34" s="792"/>
      <c r="V34" s="792"/>
      <c r="W34" s="792"/>
      <c r="X34" s="792"/>
      <c r="Y34" s="792"/>
      <c r="Z34" s="792"/>
      <c r="AA34" s="85"/>
      <c r="AB34" s="85"/>
      <c r="AC34" s="85"/>
      <c r="AD34" s="85"/>
      <c r="AE34" s="85"/>
      <c r="AF34" s="85"/>
      <c r="AG34" s="85"/>
      <c r="AH34" s="85"/>
      <c r="AI34" s="89"/>
    </row>
    <row r="35" spans="1:35" x14ac:dyDescent="0.25">
      <c r="A35" s="931"/>
      <c r="B35" s="699"/>
      <c r="C35" s="802"/>
      <c r="D35" s="956"/>
      <c r="E35" s="802"/>
      <c r="F35" s="802"/>
      <c r="G35" s="802"/>
      <c r="H35" s="956"/>
      <c r="I35" s="802"/>
      <c r="J35" s="802"/>
      <c r="K35" s="802"/>
      <c r="L35" s="956"/>
      <c r="M35" s="699"/>
      <c r="N35" s="792"/>
      <c r="O35" s="930"/>
      <c r="P35" s="930"/>
      <c r="Q35" s="930"/>
      <c r="R35" s="930"/>
      <c r="S35" s="930"/>
      <c r="T35" s="792"/>
      <c r="U35" s="792"/>
      <c r="V35" s="792"/>
      <c r="W35" s="792"/>
      <c r="X35" s="792"/>
      <c r="Y35" s="792"/>
      <c r="Z35" s="792"/>
      <c r="AA35" s="85"/>
      <c r="AB35" s="85"/>
      <c r="AC35" s="85"/>
      <c r="AD35" s="85"/>
      <c r="AE35" s="85"/>
      <c r="AF35" s="85"/>
      <c r="AG35" s="85"/>
      <c r="AH35" s="85"/>
      <c r="AI35" s="89"/>
    </row>
    <row r="36" spans="1:35" x14ac:dyDescent="0.25">
      <c r="A36" s="931"/>
      <c r="B36" s="699"/>
      <c r="C36" s="802"/>
      <c r="D36" s="958"/>
      <c r="E36" s="802"/>
      <c r="F36" s="802"/>
      <c r="G36" s="802"/>
      <c r="H36" s="958"/>
      <c r="I36" s="802"/>
      <c r="J36" s="802"/>
      <c r="K36" s="802"/>
      <c r="L36" s="958"/>
      <c r="M36" s="699"/>
      <c r="N36" s="792"/>
      <c r="O36" s="930"/>
      <c r="P36" s="930"/>
      <c r="Q36" s="930"/>
      <c r="R36" s="930"/>
      <c r="S36" s="792"/>
      <c r="T36" s="792"/>
      <c r="U36" s="792"/>
      <c r="V36" s="792"/>
      <c r="W36" s="792"/>
      <c r="X36" s="792"/>
      <c r="Y36" s="792"/>
      <c r="Z36" s="792"/>
      <c r="AA36" s="85"/>
      <c r="AB36" s="85"/>
      <c r="AC36" s="85"/>
      <c r="AD36" s="85"/>
      <c r="AE36" s="85"/>
      <c r="AF36" s="85"/>
      <c r="AG36" s="85"/>
      <c r="AH36" s="85"/>
      <c r="AI36" s="89"/>
    </row>
    <row r="37" spans="1:35" x14ac:dyDescent="0.25">
      <c r="A37" s="931"/>
      <c r="B37" s="699"/>
      <c r="C37" s="802"/>
      <c r="D37" s="958"/>
      <c r="E37" s="802"/>
      <c r="F37" s="802"/>
      <c r="G37" s="802"/>
      <c r="H37" s="958"/>
      <c r="I37" s="802"/>
      <c r="J37" s="802"/>
      <c r="K37" s="802"/>
      <c r="L37" s="958"/>
      <c r="M37" s="699"/>
      <c r="N37" s="792"/>
      <c r="O37" s="930"/>
      <c r="P37" s="930"/>
      <c r="Q37" s="930"/>
      <c r="R37" s="930"/>
      <c r="S37" s="792"/>
      <c r="T37" s="792"/>
      <c r="U37" s="792"/>
      <c r="V37" s="792"/>
      <c r="W37" s="792"/>
      <c r="X37" s="792"/>
      <c r="Y37" s="792"/>
      <c r="Z37" s="792"/>
      <c r="AA37" s="85"/>
      <c r="AB37" s="85"/>
      <c r="AC37" s="85"/>
      <c r="AD37" s="85"/>
      <c r="AE37" s="85"/>
      <c r="AF37" s="85"/>
      <c r="AG37" s="85"/>
      <c r="AH37" s="85"/>
      <c r="AI37" s="89"/>
    </row>
    <row r="38" spans="1:35" x14ac:dyDescent="0.25">
      <c r="A38" s="931"/>
      <c r="B38" s="699"/>
      <c r="C38" s="802"/>
      <c r="D38" s="958"/>
      <c r="E38" s="802"/>
      <c r="F38" s="802"/>
      <c r="G38" s="802"/>
      <c r="H38" s="958"/>
      <c r="I38" s="802"/>
      <c r="J38" s="802"/>
      <c r="K38" s="802"/>
      <c r="L38" s="958"/>
      <c r="M38" s="699"/>
      <c r="N38" s="792"/>
      <c r="O38" s="930"/>
      <c r="P38" s="930"/>
      <c r="Q38" s="930"/>
      <c r="R38" s="930"/>
      <c r="S38" s="699"/>
      <c r="T38" s="699"/>
      <c r="U38" s="699"/>
      <c r="V38" s="699"/>
      <c r="W38" s="699"/>
      <c r="X38" s="699"/>
      <c r="Y38" s="699"/>
      <c r="Z38" s="699"/>
      <c r="AA38" s="85"/>
      <c r="AB38" s="85"/>
      <c r="AC38" s="85"/>
      <c r="AD38" s="85"/>
      <c r="AE38" s="85"/>
      <c r="AF38" s="85"/>
      <c r="AG38" s="85"/>
      <c r="AH38" s="85"/>
      <c r="AI38" s="89"/>
    </row>
    <row r="39" spans="1:35" x14ac:dyDescent="0.25">
      <c r="A39" s="931"/>
      <c r="B39" s="699"/>
      <c r="C39" s="802"/>
      <c r="D39" s="956"/>
      <c r="E39" s="802"/>
      <c r="F39" s="802"/>
      <c r="G39" s="802"/>
      <c r="H39" s="956"/>
      <c r="I39" s="802"/>
      <c r="J39" s="802"/>
      <c r="K39" s="802"/>
      <c r="L39" s="956"/>
      <c r="M39" s="699"/>
      <c r="N39" s="792"/>
      <c r="O39" s="930"/>
      <c r="P39" s="930"/>
      <c r="Q39" s="930"/>
      <c r="R39" s="930"/>
      <c r="S39" s="699"/>
      <c r="T39" s="699"/>
      <c r="U39" s="699"/>
      <c r="V39" s="699"/>
      <c r="W39" s="699"/>
      <c r="X39" s="699"/>
      <c r="Y39" s="699"/>
      <c r="Z39" s="699"/>
      <c r="AA39" s="85"/>
      <c r="AB39" s="85"/>
      <c r="AC39" s="85"/>
      <c r="AD39" s="85"/>
      <c r="AE39" s="85"/>
      <c r="AF39" s="85"/>
      <c r="AG39" s="85"/>
      <c r="AH39" s="85"/>
      <c r="AI39" s="89"/>
    </row>
    <row r="40" spans="1:35" x14ac:dyDescent="0.25">
      <c r="A40" s="931"/>
      <c r="B40" s="699"/>
      <c r="C40" s="935"/>
      <c r="D40" s="960"/>
      <c r="E40" s="802"/>
      <c r="F40" s="802"/>
      <c r="G40" s="935"/>
      <c r="H40" s="960"/>
      <c r="I40" s="802"/>
      <c r="J40" s="802"/>
      <c r="K40" s="935"/>
      <c r="L40" s="960"/>
      <c r="M40" s="699"/>
      <c r="N40" s="792"/>
      <c r="O40" s="930"/>
      <c r="P40" s="930"/>
      <c r="Q40" s="930"/>
      <c r="R40" s="930"/>
      <c r="S40" s="699"/>
      <c r="T40" s="699"/>
      <c r="U40" s="699"/>
      <c r="V40" s="699"/>
      <c r="W40" s="699"/>
      <c r="X40" s="699"/>
      <c r="Y40" s="699"/>
      <c r="Z40" s="699"/>
      <c r="AA40" s="85"/>
      <c r="AB40" s="85"/>
      <c r="AC40" s="85"/>
      <c r="AD40" s="85"/>
      <c r="AE40" s="85"/>
      <c r="AF40" s="85"/>
      <c r="AG40" s="85"/>
      <c r="AH40" s="85"/>
      <c r="AI40" s="89"/>
    </row>
    <row r="41" spans="1:35" x14ac:dyDescent="0.25">
      <c r="A41" s="931"/>
      <c r="B41" s="699"/>
      <c r="C41" s="802"/>
      <c r="D41" s="802"/>
      <c r="E41" s="802"/>
      <c r="F41" s="802"/>
      <c r="G41" s="802"/>
      <c r="H41" s="802"/>
      <c r="I41" s="802"/>
      <c r="J41" s="802"/>
      <c r="K41" s="802"/>
      <c r="L41" s="802"/>
      <c r="M41" s="699"/>
      <c r="N41" s="792"/>
      <c r="O41" s="930"/>
      <c r="P41" s="930"/>
      <c r="Q41" s="930"/>
      <c r="R41" s="930"/>
      <c r="S41" s="699"/>
      <c r="T41" s="699"/>
      <c r="U41" s="699"/>
      <c r="V41" s="699"/>
      <c r="W41" s="699"/>
      <c r="X41" s="699"/>
      <c r="Y41" s="699"/>
      <c r="Z41" s="699"/>
      <c r="AA41" s="85"/>
      <c r="AB41" s="85"/>
      <c r="AC41" s="85"/>
      <c r="AD41" s="85"/>
      <c r="AE41" s="85"/>
      <c r="AF41" s="85"/>
      <c r="AG41" s="85"/>
      <c r="AH41" s="85"/>
      <c r="AI41" s="89"/>
    </row>
    <row r="42" spans="1:35" x14ac:dyDescent="0.25">
      <c r="A42" s="931"/>
      <c r="B42" s="699"/>
      <c r="C42" s="802"/>
      <c r="D42" s="802"/>
      <c r="E42" s="802"/>
      <c r="F42" s="802"/>
      <c r="G42" s="802"/>
      <c r="H42" s="802"/>
      <c r="I42" s="802"/>
      <c r="J42" s="802"/>
      <c r="K42" s="802"/>
      <c r="L42" s="802"/>
      <c r="M42" s="699"/>
      <c r="N42" s="792"/>
      <c r="O42" s="930"/>
      <c r="P42" s="930"/>
      <c r="Q42" s="930"/>
      <c r="R42" s="930"/>
      <c r="S42" s="699"/>
      <c r="T42" s="699"/>
      <c r="U42" s="699"/>
      <c r="V42" s="699"/>
      <c r="W42" s="699"/>
      <c r="X42" s="699"/>
      <c r="Y42" s="699"/>
      <c r="Z42" s="699"/>
      <c r="AA42" s="85"/>
      <c r="AB42" s="85"/>
      <c r="AC42" s="85"/>
      <c r="AD42" s="85"/>
      <c r="AE42" s="85"/>
      <c r="AF42" s="85"/>
      <c r="AG42" s="85"/>
      <c r="AH42" s="85"/>
      <c r="AI42" s="89"/>
    </row>
    <row r="43" spans="1:35" x14ac:dyDescent="0.25">
      <c r="A43" s="931"/>
      <c r="B43" s="699"/>
      <c r="C43" s="802"/>
      <c r="D43" s="802"/>
      <c r="E43" s="802"/>
      <c r="F43" s="802"/>
      <c r="G43" s="802"/>
      <c r="H43" s="802"/>
      <c r="I43" s="802"/>
      <c r="J43" s="802"/>
      <c r="K43" s="802"/>
      <c r="L43" s="802"/>
      <c r="M43" s="699"/>
      <c r="N43" s="792"/>
      <c r="O43" s="930"/>
      <c r="P43" s="930"/>
      <c r="Q43" s="930"/>
      <c r="R43" s="930"/>
      <c r="S43" s="699"/>
      <c r="T43" s="699"/>
      <c r="U43" s="699"/>
      <c r="V43" s="699"/>
      <c r="W43" s="699"/>
      <c r="X43" s="699"/>
      <c r="Y43" s="699"/>
      <c r="Z43" s="699"/>
      <c r="AA43" s="85"/>
      <c r="AB43" s="85"/>
      <c r="AC43" s="85"/>
      <c r="AD43" s="85"/>
      <c r="AE43" s="85"/>
      <c r="AF43" s="85"/>
      <c r="AG43" s="85"/>
      <c r="AH43" s="85"/>
      <c r="AI43" s="89"/>
    </row>
    <row r="44" spans="1:35" x14ac:dyDescent="0.25">
      <c r="A44" s="931"/>
      <c r="B44" s="699"/>
      <c r="C44" s="802"/>
      <c r="D44" s="802"/>
      <c r="E44" s="802"/>
      <c r="F44" s="802"/>
      <c r="G44" s="802"/>
      <c r="H44" s="802"/>
      <c r="I44" s="802"/>
      <c r="J44" s="802"/>
      <c r="K44" s="802"/>
      <c r="L44" s="802"/>
      <c r="M44" s="699"/>
      <c r="N44" s="792"/>
      <c r="O44" s="930"/>
      <c r="P44" s="930"/>
      <c r="Q44" s="930"/>
      <c r="R44" s="930"/>
      <c r="S44" s="699"/>
      <c r="T44" s="699"/>
      <c r="U44" s="699"/>
      <c r="V44" s="699"/>
      <c r="W44" s="699"/>
      <c r="X44" s="699"/>
      <c r="Y44" s="699"/>
      <c r="Z44" s="699"/>
      <c r="AA44" s="85"/>
      <c r="AB44" s="85"/>
      <c r="AC44" s="85"/>
      <c r="AD44" s="85"/>
      <c r="AE44" s="85"/>
      <c r="AF44" s="85"/>
      <c r="AG44" s="85"/>
      <c r="AH44" s="85"/>
      <c r="AI44" s="89"/>
    </row>
    <row r="45" spans="1:35" x14ac:dyDescent="0.25">
      <c r="A45" s="931"/>
      <c r="B45" s="699"/>
      <c r="C45" s="802"/>
      <c r="D45" s="802"/>
      <c r="E45" s="802"/>
      <c r="F45" s="802"/>
      <c r="G45" s="802"/>
      <c r="H45" s="802"/>
      <c r="I45" s="802"/>
      <c r="J45" s="802"/>
      <c r="K45" s="802"/>
      <c r="L45" s="802"/>
      <c r="M45" s="699"/>
      <c r="N45" s="792"/>
      <c r="O45" s="930"/>
      <c r="P45" s="930"/>
      <c r="Q45" s="930"/>
      <c r="R45" s="930"/>
      <c r="S45" s="699"/>
      <c r="T45" s="699"/>
      <c r="U45" s="699"/>
      <c r="V45" s="699"/>
      <c r="W45" s="699"/>
      <c r="X45" s="699"/>
      <c r="Y45" s="699"/>
      <c r="Z45" s="699"/>
      <c r="AA45" s="85"/>
      <c r="AB45" s="85"/>
      <c r="AC45" s="85"/>
      <c r="AD45" s="85"/>
      <c r="AE45" s="85"/>
      <c r="AF45" s="85"/>
      <c r="AG45" s="85"/>
      <c r="AH45" s="85"/>
      <c r="AI45" s="89"/>
    </row>
    <row r="46" spans="1:35" x14ac:dyDescent="0.25">
      <c r="A46" s="931"/>
      <c r="B46" s="699"/>
      <c r="C46" s="802"/>
      <c r="D46" s="802"/>
      <c r="E46" s="802"/>
      <c r="F46" s="802"/>
      <c r="G46" s="802"/>
      <c r="H46" s="802"/>
      <c r="I46" s="802"/>
      <c r="J46" s="802"/>
      <c r="K46" s="802"/>
      <c r="L46" s="802"/>
      <c r="M46" s="699"/>
      <c r="N46" s="792"/>
      <c r="O46" s="930"/>
      <c r="P46" s="930"/>
      <c r="Q46" s="930"/>
      <c r="R46" s="930"/>
      <c r="S46" s="699"/>
      <c r="T46" s="699"/>
      <c r="U46" s="699"/>
      <c r="V46" s="699"/>
      <c r="W46" s="699"/>
      <c r="X46" s="699"/>
      <c r="Y46" s="699"/>
      <c r="Z46" s="699"/>
      <c r="AA46" s="85"/>
      <c r="AB46" s="85"/>
      <c r="AC46" s="85"/>
      <c r="AD46" s="85"/>
      <c r="AE46" s="85"/>
      <c r="AF46" s="85"/>
      <c r="AG46" s="85"/>
      <c r="AH46" s="85"/>
      <c r="AI46" s="89"/>
    </row>
    <row r="47" spans="1:35" x14ac:dyDescent="0.25">
      <c r="A47" s="931"/>
      <c r="B47" s="699"/>
      <c r="C47" s="802"/>
      <c r="D47" s="802"/>
      <c r="E47" s="802"/>
      <c r="F47" s="802"/>
      <c r="G47" s="802"/>
      <c r="H47" s="802"/>
      <c r="I47" s="802"/>
      <c r="J47" s="802"/>
      <c r="K47" s="802"/>
      <c r="L47" s="802"/>
      <c r="M47" s="699"/>
      <c r="N47" s="792"/>
      <c r="O47" s="930"/>
      <c r="P47" s="930"/>
      <c r="Q47" s="930"/>
      <c r="R47" s="930"/>
      <c r="S47" s="699"/>
      <c r="T47" s="699"/>
      <c r="U47" s="699"/>
      <c r="V47" s="699"/>
      <c r="W47" s="699"/>
      <c r="X47" s="699"/>
      <c r="Y47" s="699"/>
      <c r="Z47" s="699"/>
      <c r="AA47" s="85"/>
      <c r="AB47" s="85"/>
      <c r="AC47" s="85"/>
      <c r="AD47" s="85"/>
      <c r="AE47" s="85"/>
      <c r="AF47" s="85"/>
      <c r="AG47" s="85"/>
      <c r="AH47" s="85"/>
      <c r="AI47" s="89"/>
    </row>
    <row r="48" spans="1:35" x14ac:dyDescent="0.25">
      <c r="A48" s="931"/>
      <c r="B48" s="699"/>
      <c r="C48" s="802"/>
      <c r="D48" s="802"/>
      <c r="E48" s="802"/>
      <c r="F48" s="802"/>
      <c r="G48" s="802"/>
      <c r="H48" s="802"/>
      <c r="I48" s="802"/>
      <c r="J48" s="802"/>
      <c r="K48" s="802"/>
      <c r="L48" s="802"/>
      <c r="M48" s="699"/>
      <c r="N48" s="792"/>
      <c r="O48" s="930"/>
      <c r="P48" s="930"/>
      <c r="Q48" s="930"/>
      <c r="R48" s="930"/>
      <c r="S48" s="699"/>
      <c r="T48" s="699"/>
      <c r="U48" s="699"/>
      <c r="V48" s="699"/>
      <c r="W48" s="699"/>
      <c r="X48" s="699"/>
      <c r="Y48" s="699"/>
      <c r="Z48" s="699"/>
      <c r="AA48" s="85"/>
      <c r="AB48" s="85"/>
      <c r="AC48" s="85"/>
      <c r="AD48" s="85"/>
      <c r="AE48" s="85"/>
      <c r="AF48" s="85"/>
      <c r="AG48" s="85"/>
      <c r="AH48" s="85"/>
      <c r="AI48" s="89"/>
    </row>
    <row r="49" spans="1:35" x14ac:dyDescent="0.25">
      <c r="A49" s="931"/>
      <c r="B49" s="699"/>
      <c r="C49" s="802"/>
      <c r="D49" s="802"/>
      <c r="E49" s="802"/>
      <c r="F49" s="802"/>
      <c r="G49" s="802"/>
      <c r="H49" s="802"/>
      <c r="I49" s="802"/>
      <c r="J49" s="802"/>
      <c r="K49" s="802"/>
      <c r="L49" s="802"/>
      <c r="M49" s="699"/>
      <c r="N49" s="792"/>
      <c r="O49" s="930"/>
      <c r="P49" s="930"/>
      <c r="Q49" s="930"/>
      <c r="R49" s="930"/>
      <c r="S49" s="699"/>
      <c r="T49" s="699"/>
      <c r="U49" s="699"/>
      <c r="V49" s="699"/>
      <c r="W49" s="699"/>
      <c r="X49" s="699"/>
      <c r="Y49" s="699"/>
      <c r="Z49" s="699"/>
      <c r="AA49" s="85"/>
      <c r="AB49" s="85"/>
      <c r="AC49" s="85"/>
      <c r="AD49" s="85"/>
      <c r="AE49" s="85"/>
      <c r="AF49" s="85"/>
      <c r="AG49" s="85"/>
      <c r="AH49" s="85"/>
      <c r="AI49" s="89"/>
    </row>
    <row r="50" spans="1:35" x14ac:dyDescent="0.25">
      <c r="A50" s="931"/>
      <c r="B50" s="699"/>
      <c r="C50" s="802"/>
      <c r="D50" s="802"/>
      <c r="E50" s="802"/>
      <c r="F50" s="802"/>
      <c r="G50" s="802"/>
      <c r="H50" s="802"/>
      <c r="I50" s="802"/>
      <c r="J50" s="802"/>
      <c r="K50" s="802"/>
      <c r="L50" s="802"/>
      <c r="M50" s="699"/>
      <c r="N50" s="792"/>
      <c r="O50" s="930"/>
      <c r="P50" s="930"/>
      <c r="Q50" s="930"/>
      <c r="R50" s="930"/>
      <c r="S50" s="699"/>
      <c r="T50" s="699"/>
      <c r="U50" s="699"/>
      <c r="V50" s="699"/>
      <c r="W50" s="699"/>
      <c r="X50" s="699"/>
      <c r="Y50" s="699"/>
      <c r="Z50" s="699"/>
      <c r="AA50" s="85"/>
      <c r="AB50" s="85"/>
      <c r="AC50" s="85"/>
      <c r="AD50" s="85"/>
      <c r="AE50" s="85"/>
      <c r="AF50" s="85"/>
      <c r="AG50" s="85"/>
      <c r="AH50" s="85"/>
      <c r="AI50" s="89"/>
    </row>
    <row r="51" spans="1:35" x14ac:dyDescent="0.25">
      <c r="A51" s="931"/>
      <c r="B51" s="699"/>
      <c r="C51" s="802"/>
      <c r="D51" s="802"/>
      <c r="E51" s="802"/>
      <c r="F51" s="802"/>
      <c r="G51" s="802"/>
      <c r="H51" s="802"/>
      <c r="I51" s="802"/>
      <c r="J51" s="802"/>
      <c r="K51" s="802"/>
      <c r="L51" s="802"/>
      <c r="M51" s="699"/>
      <c r="N51" s="792"/>
      <c r="O51" s="930"/>
      <c r="P51" s="930"/>
      <c r="Q51" s="930"/>
      <c r="R51" s="930"/>
      <c r="S51" s="699"/>
      <c r="T51" s="699"/>
      <c r="U51" s="699"/>
      <c r="V51" s="699"/>
      <c r="W51" s="699"/>
      <c r="X51" s="699"/>
      <c r="Y51" s="699"/>
      <c r="Z51" s="699"/>
      <c r="AA51" s="85"/>
      <c r="AB51" s="85"/>
      <c r="AC51" s="85"/>
      <c r="AD51" s="85"/>
      <c r="AE51" s="85"/>
      <c r="AF51" s="85"/>
      <c r="AG51" s="85"/>
      <c r="AH51" s="85"/>
      <c r="AI51" s="89"/>
    </row>
    <row r="52" spans="1:35" x14ac:dyDescent="0.25">
      <c r="A52" s="931"/>
      <c r="B52" s="699"/>
      <c r="C52" s="802"/>
      <c r="D52" s="802"/>
      <c r="E52" s="802"/>
      <c r="F52" s="802"/>
      <c r="G52" s="802"/>
      <c r="H52" s="802"/>
      <c r="I52" s="802"/>
      <c r="J52" s="802"/>
      <c r="K52" s="802"/>
      <c r="L52" s="802"/>
      <c r="M52" s="699"/>
      <c r="N52" s="792"/>
      <c r="O52" s="930"/>
      <c r="P52" s="930"/>
      <c r="Q52" s="930"/>
      <c r="R52" s="930"/>
      <c r="S52" s="699"/>
      <c r="T52" s="699"/>
      <c r="U52" s="699"/>
      <c r="V52" s="699"/>
      <c r="W52" s="699"/>
      <c r="X52" s="699"/>
      <c r="Y52" s="699"/>
      <c r="Z52" s="699"/>
      <c r="AA52" s="85"/>
      <c r="AB52" s="85"/>
      <c r="AC52" s="85"/>
      <c r="AD52" s="85"/>
      <c r="AE52" s="85"/>
      <c r="AF52" s="85"/>
      <c r="AG52" s="85"/>
      <c r="AH52" s="85"/>
      <c r="AI52" s="89"/>
    </row>
    <row r="53" spans="1:35" x14ac:dyDescent="0.25">
      <c r="A53" s="931"/>
      <c r="B53" s="699"/>
      <c r="C53" s="802"/>
      <c r="D53" s="802"/>
      <c r="E53" s="802"/>
      <c r="F53" s="802"/>
      <c r="G53" s="802"/>
      <c r="H53" s="802"/>
      <c r="I53" s="802"/>
      <c r="J53" s="802"/>
      <c r="K53" s="802"/>
      <c r="L53" s="802"/>
      <c r="M53" s="699"/>
      <c r="N53" s="792"/>
      <c r="O53" s="930"/>
      <c r="P53" s="930"/>
      <c r="Q53" s="930"/>
      <c r="R53" s="930"/>
      <c r="S53" s="699"/>
      <c r="T53" s="699"/>
      <c r="U53" s="699"/>
      <c r="V53" s="699"/>
      <c r="W53" s="699"/>
      <c r="X53" s="699"/>
      <c r="Y53" s="699"/>
      <c r="Z53" s="699"/>
      <c r="AA53" s="85"/>
      <c r="AB53" s="85"/>
      <c r="AC53" s="85"/>
      <c r="AD53" s="85"/>
      <c r="AE53" s="85"/>
      <c r="AF53" s="85"/>
      <c r="AG53" s="85"/>
      <c r="AH53" s="85"/>
      <c r="AI53" s="89"/>
    </row>
    <row r="54" spans="1:35" x14ac:dyDescent="0.25">
      <c r="A54" s="931"/>
      <c r="B54" s="699"/>
      <c r="C54" s="802"/>
      <c r="D54" s="802"/>
      <c r="E54" s="802"/>
      <c r="F54" s="802"/>
      <c r="G54" s="802"/>
      <c r="H54" s="802"/>
      <c r="I54" s="802"/>
      <c r="J54" s="802"/>
      <c r="K54" s="802"/>
      <c r="L54" s="802"/>
      <c r="M54" s="699"/>
      <c r="N54" s="792"/>
      <c r="O54" s="930"/>
      <c r="P54" s="930"/>
      <c r="Q54" s="930"/>
      <c r="R54" s="930"/>
      <c r="S54" s="699"/>
      <c r="T54" s="699"/>
      <c r="U54" s="699"/>
      <c r="V54" s="699"/>
      <c r="W54" s="699"/>
      <c r="X54" s="699"/>
      <c r="Y54" s="699"/>
      <c r="Z54" s="699"/>
      <c r="AA54" s="85"/>
      <c r="AB54" s="85"/>
      <c r="AC54" s="85"/>
      <c r="AD54" s="85"/>
      <c r="AE54" s="85"/>
      <c r="AF54" s="85"/>
      <c r="AG54" s="85"/>
      <c r="AH54" s="85"/>
      <c r="AI54" s="89"/>
    </row>
    <row r="55" spans="1:35" x14ac:dyDescent="0.25">
      <c r="A55" s="931"/>
      <c r="B55" s="699"/>
      <c r="C55" s="802"/>
      <c r="D55" s="802"/>
      <c r="E55" s="802"/>
      <c r="F55" s="802"/>
      <c r="G55" s="802"/>
      <c r="H55" s="802"/>
      <c r="I55" s="802"/>
      <c r="J55" s="802"/>
      <c r="K55" s="802"/>
      <c r="L55" s="802"/>
      <c r="M55" s="699"/>
      <c r="N55" s="792"/>
      <c r="O55" s="930"/>
      <c r="P55" s="930"/>
      <c r="Q55" s="930"/>
      <c r="R55" s="930"/>
      <c r="S55" s="699"/>
      <c r="T55" s="699"/>
      <c r="U55" s="699"/>
      <c r="V55" s="699"/>
      <c r="W55" s="699"/>
      <c r="X55" s="699"/>
      <c r="Y55" s="699"/>
      <c r="Z55" s="699"/>
      <c r="AA55" s="85"/>
      <c r="AB55" s="85"/>
      <c r="AC55" s="85"/>
      <c r="AD55" s="85"/>
      <c r="AE55" s="85"/>
      <c r="AF55" s="85"/>
      <c r="AG55" s="85"/>
      <c r="AH55" s="85"/>
      <c r="AI55" s="89"/>
    </row>
    <row r="56" spans="1:35" x14ac:dyDescent="0.25">
      <c r="A56" s="943"/>
      <c r="B56" s="743"/>
      <c r="C56" s="743"/>
      <c r="D56" s="743"/>
      <c r="E56" s="743"/>
      <c r="F56" s="743"/>
      <c r="G56" s="743"/>
      <c r="H56" s="743"/>
      <c r="I56" s="743"/>
      <c r="J56" s="743"/>
      <c r="K56" s="743"/>
      <c r="L56" s="743"/>
      <c r="M56" s="743"/>
      <c r="N56" s="944"/>
      <c r="O56" s="961"/>
      <c r="P56" s="961"/>
      <c r="Q56" s="961"/>
      <c r="R56" s="961"/>
      <c r="S56" s="743"/>
      <c r="T56" s="743"/>
      <c r="U56" s="743"/>
      <c r="V56" s="743"/>
      <c r="W56" s="743"/>
      <c r="X56" s="743"/>
      <c r="Y56" s="743"/>
      <c r="Z56" s="743"/>
      <c r="AA56" s="91"/>
      <c r="AB56" s="91"/>
      <c r="AC56" s="91"/>
      <c r="AD56" s="91"/>
      <c r="AE56" s="91"/>
      <c r="AF56" s="91"/>
      <c r="AG56" s="91"/>
      <c r="AH56" s="91"/>
      <c r="AI56" s="92"/>
    </row>
  </sheetData>
  <mergeCells count="4">
    <mergeCell ref="C12:D12"/>
    <mergeCell ref="K12:L12"/>
    <mergeCell ref="C26:D26"/>
    <mergeCell ref="K26:L26"/>
  </mergeCells>
  <pageMargins left="0.5" right="0.5" top="1.75" bottom="0.5" header="0" footer="0"/>
  <pageSetup scale="40" fitToHeight="0" orientation="portrait" horizontalDpi="1200" verticalDpi="1200" r:id="rId1"/>
  <customProperties>
    <customPr name="GUID" r:id="rId2"/>
  </customPropertie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9801-6A6D-443F-A9C7-8B25E48DF031}">
  <sheetPr codeName="Sheet32">
    <tabColor rgb="FFFF7F32"/>
    <pageSetUpPr fitToPage="1"/>
  </sheetPr>
  <dimension ref="B3:AH48"/>
  <sheetViews>
    <sheetView zoomScale="110" zoomScaleNormal="110" workbookViewId="0">
      <selection activeCell="E5" sqref="E5"/>
    </sheetView>
  </sheetViews>
  <sheetFormatPr defaultColWidth="8.85546875" defaultRowHeight="15" x14ac:dyDescent="0.25"/>
  <cols>
    <col min="1" max="3" width="8.85546875" style="1018"/>
    <col min="4" max="5" width="11.7109375" style="1018" customWidth="1"/>
    <col min="6" max="21" width="8.85546875" style="1018"/>
    <col min="22" max="26" width="13.7109375" style="1018" customWidth="1"/>
    <col min="27" max="29" width="8.85546875" style="1018"/>
    <col min="30" max="34" width="14" style="1018" customWidth="1"/>
    <col min="35" max="16384" width="8.85546875" style="1018"/>
  </cols>
  <sheetData>
    <row r="3" spans="2:34" ht="15.75" thickBot="1" x14ac:dyDescent="0.3">
      <c r="C3" s="1015"/>
      <c r="D3" s="1016"/>
      <c r="E3" s="1016"/>
      <c r="F3" s="1016"/>
      <c r="G3" s="1017"/>
      <c r="H3" s="1017"/>
      <c r="I3" s="1017"/>
      <c r="J3" s="1017"/>
      <c r="K3" s="1017"/>
      <c r="L3" s="1017"/>
      <c r="M3" s="1017"/>
      <c r="N3" s="1017"/>
      <c r="O3" s="1017"/>
      <c r="P3" s="1017"/>
      <c r="Q3" s="1017"/>
      <c r="R3" s="1017"/>
      <c r="S3" s="1017"/>
      <c r="T3" s="1017"/>
    </row>
    <row r="4" spans="2:34" ht="15.75" thickBot="1" x14ac:dyDescent="0.3">
      <c r="C4" s="1015"/>
      <c r="D4" s="1019" t="s">
        <v>539</v>
      </c>
      <c r="E4" s="1020" t="s">
        <v>540</v>
      </c>
      <c r="F4" s="1016"/>
      <c r="G4" s="1017"/>
      <c r="H4" s="1017"/>
      <c r="I4" s="1017"/>
      <c r="J4" s="1017"/>
      <c r="K4" s="1017"/>
      <c r="L4" s="1017"/>
      <c r="M4" s="1017"/>
      <c r="N4" s="1017"/>
      <c r="O4" s="1017"/>
      <c r="P4" s="1017"/>
      <c r="Q4" s="1017"/>
      <c r="R4" s="1017"/>
      <c r="S4" s="1017"/>
      <c r="T4" s="1017"/>
      <c r="AC4" s="1015"/>
      <c r="AD4" s="1019" t="s">
        <v>539</v>
      </c>
      <c r="AE4" s="1021" t="s">
        <v>541</v>
      </c>
      <c r="AF4" s="1021" t="s">
        <v>542</v>
      </c>
      <c r="AG4" s="1021" t="s">
        <v>543</v>
      </c>
      <c r="AH4" s="1020" t="s">
        <v>544</v>
      </c>
    </row>
    <row r="5" spans="2:34" x14ac:dyDescent="0.25">
      <c r="C5" s="1022"/>
      <c r="D5" s="1023" t="s">
        <v>545</v>
      </c>
      <c r="E5" s="1024">
        <v>5.15</v>
      </c>
      <c r="F5" s="1025">
        <f>AVERAGE($E$5:$E$15)</f>
        <v>4.8899999999999997</v>
      </c>
      <c r="G5" s="1017"/>
      <c r="H5" s="1017"/>
      <c r="I5" s="1017"/>
      <c r="J5" s="1017"/>
      <c r="K5" s="1017"/>
      <c r="L5" s="1017"/>
      <c r="M5" s="1017"/>
      <c r="N5" s="1017"/>
      <c r="O5" s="1017"/>
      <c r="P5" s="1017"/>
      <c r="Q5" s="1017"/>
      <c r="R5" s="1017"/>
      <c r="S5" s="1017"/>
      <c r="T5" s="1017"/>
      <c r="AC5" s="1022"/>
      <c r="AD5" s="1023" t="s">
        <v>545</v>
      </c>
      <c r="AE5" s="1026">
        <v>800</v>
      </c>
      <c r="AF5" s="1026">
        <v>875</v>
      </c>
      <c r="AG5" s="1026"/>
      <c r="AH5" s="1026">
        <v>690</v>
      </c>
    </row>
    <row r="6" spans="2:34" x14ac:dyDescent="0.25">
      <c r="B6" s="1043"/>
      <c r="C6" s="1022">
        <v>1</v>
      </c>
      <c r="D6" s="1027" t="s">
        <v>546</v>
      </c>
      <c r="E6" s="1028">
        <v>4.5</v>
      </c>
      <c r="F6" s="1025">
        <f t="shared" ref="F6:F15" si="0">AVERAGE($E$5:$E$15)</f>
        <v>4.8899999999999997</v>
      </c>
      <c r="G6" s="1017"/>
      <c r="H6" s="1017"/>
      <c r="I6" s="1017"/>
      <c r="J6" s="1017"/>
      <c r="K6" s="1017"/>
      <c r="L6" s="1017"/>
      <c r="M6" s="1017"/>
      <c r="N6" s="1017"/>
      <c r="O6" s="1017"/>
      <c r="P6" s="1017"/>
      <c r="Q6" s="1017"/>
      <c r="R6" s="1017"/>
      <c r="S6" s="1017"/>
      <c r="T6" s="1017"/>
      <c r="AC6" s="1022">
        <v>1</v>
      </c>
      <c r="AD6" s="1027" t="s">
        <v>546</v>
      </c>
      <c r="AE6" s="1029">
        <v>810</v>
      </c>
      <c r="AF6" s="1029">
        <v>900</v>
      </c>
      <c r="AG6" s="1029">
        <v>950</v>
      </c>
      <c r="AH6" s="1029">
        <v>700</v>
      </c>
    </row>
    <row r="7" spans="2:34" x14ac:dyDescent="0.25">
      <c r="C7" s="1022">
        <v>2</v>
      </c>
      <c r="D7" s="1027" t="s">
        <v>547</v>
      </c>
      <c r="E7" s="1028">
        <v>4.75</v>
      </c>
      <c r="F7" s="1025">
        <f t="shared" si="0"/>
        <v>4.8899999999999997</v>
      </c>
      <c r="G7" s="1017"/>
      <c r="H7" s="1017"/>
      <c r="I7" s="1017"/>
      <c r="J7" s="1017"/>
      <c r="K7" s="1017"/>
      <c r="L7" s="1017"/>
      <c r="M7" s="1017"/>
      <c r="N7" s="1017"/>
      <c r="O7" s="1017"/>
      <c r="P7" s="1017"/>
      <c r="Q7" s="1017"/>
      <c r="R7" s="1017"/>
      <c r="S7" s="1017"/>
      <c r="T7" s="1017"/>
      <c r="AC7" s="1022">
        <v>2</v>
      </c>
      <c r="AD7" s="1027" t="s">
        <v>547</v>
      </c>
      <c r="AE7" s="1029">
        <v>900</v>
      </c>
      <c r="AF7" s="1029">
        <v>975</v>
      </c>
      <c r="AG7" s="1029">
        <v>1000</v>
      </c>
      <c r="AH7" s="1029"/>
    </row>
    <row r="8" spans="2:34" x14ac:dyDescent="0.25">
      <c r="C8" s="1022">
        <v>3</v>
      </c>
      <c r="D8" s="1027" t="s">
        <v>548</v>
      </c>
      <c r="E8" s="1028">
        <v>5.25</v>
      </c>
      <c r="F8" s="1025">
        <f t="shared" si="0"/>
        <v>4.8899999999999997</v>
      </c>
      <c r="G8" s="1017"/>
      <c r="H8" s="1017"/>
      <c r="I8" s="1017"/>
      <c r="J8" s="1017"/>
      <c r="K8" s="1017"/>
      <c r="L8" s="1017"/>
      <c r="M8" s="1017"/>
      <c r="N8" s="1017"/>
      <c r="O8" s="1017"/>
      <c r="P8" s="1017"/>
      <c r="Q8" s="1017"/>
      <c r="R8" s="1017"/>
      <c r="S8" s="1017"/>
      <c r="T8" s="1017"/>
      <c r="AC8" s="1022">
        <v>3</v>
      </c>
      <c r="AD8" s="1027" t="s">
        <v>548</v>
      </c>
      <c r="AE8" s="1029">
        <v>750</v>
      </c>
      <c r="AF8" s="1029">
        <v>825</v>
      </c>
      <c r="AG8" s="1029"/>
      <c r="AH8" s="1029">
        <v>700</v>
      </c>
    </row>
    <row r="9" spans="2:34" x14ac:dyDescent="0.25">
      <c r="C9" s="1022">
        <v>4</v>
      </c>
      <c r="D9" s="1027" t="s">
        <v>549</v>
      </c>
      <c r="E9" s="1028">
        <v>4.8</v>
      </c>
      <c r="F9" s="1025">
        <f t="shared" si="0"/>
        <v>4.8899999999999997</v>
      </c>
      <c r="G9" s="1017"/>
      <c r="H9" s="1017"/>
      <c r="I9" s="1017"/>
      <c r="J9" s="1017"/>
      <c r="K9" s="1017"/>
      <c r="L9" s="1017"/>
      <c r="M9" s="1017"/>
      <c r="N9" s="1017"/>
      <c r="O9" s="1017"/>
      <c r="P9" s="1017"/>
      <c r="Q9" s="1017"/>
      <c r="R9" s="1017"/>
      <c r="S9" s="1017"/>
      <c r="T9" s="1017"/>
      <c r="AC9" s="1022">
        <v>4</v>
      </c>
      <c r="AD9" s="1027" t="s">
        <v>549</v>
      </c>
      <c r="AE9" s="1029">
        <v>825</v>
      </c>
      <c r="AF9" s="1029"/>
      <c r="AG9" s="1029">
        <v>910</v>
      </c>
      <c r="AH9" s="1029">
        <v>715</v>
      </c>
    </row>
    <row r="10" spans="2:34" x14ac:dyDescent="0.25">
      <c r="C10" s="1022">
        <v>5</v>
      </c>
      <c r="D10" s="1027"/>
      <c r="E10" s="1028"/>
      <c r="F10" s="1025">
        <f t="shared" si="0"/>
        <v>4.8899999999999997</v>
      </c>
      <c r="G10" s="1017"/>
      <c r="H10" s="1017"/>
      <c r="I10" s="1017"/>
      <c r="J10" s="1017"/>
      <c r="K10" s="1017"/>
      <c r="L10" s="1017"/>
      <c r="M10" s="1017"/>
      <c r="N10" s="1017"/>
      <c r="O10" s="1017"/>
      <c r="P10" s="1017"/>
      <c r="Q10" s="1017"/>
      <c r="R10" s="1017"/>
      <c r="S10" s="1017"/>
      <c r="T10" s="1017"/>
      <c r="AC10" s="1022">
        <v>5</v>
      </c>
      <c r="AD10" s="1027"/>
      <c r="AE10" s="1029"/>
      <c r="AF10" s="1029"/>
      <c r="AG10" s="1029"/>
      <c r="AH10" s="1029"/>
    </row>
    <row r="11" spans="2:34" x14ac:dyDescent="0.25">
      <c r="C11" s="1022">
        <v>6</v>
      </c>
      <c r="D11" s="1027"/>
      <c r="E11" s="1028"/>
      <c r="F11" s="1025">
        <f t="shared" si="0"/>
        <v>4.8899999999999997</v>
      </c>
      <c r="G11" s="1017"/>
      <c r="H11" s="1017"/>
      <c r="I11" s="1017"/>
      <c r="J11" s="1017"/>
      <c r="K11" s="1017"/>
      <c r="L11" s="1017"/>
      <c r="M11" s="1017"/>
      <c r="N11" s="1017"/>
      <c r="O11" s="1017"/>
      <c r="P11" s="1017"/>
      <c r="Q11" s="1017"/>
      <c r="R11" s="1017"/>
      <c r="S11" s="1017"/>
      <c r="T11" s="1017"/>
      <c r="AC11" s="1022">
        <v>6</v>
      </c>
      <c r="AD11" s="1027"/>
      <c r="AE11" s="1029"/>
      <c r="AF11" s="1029"/>
      <c r="AG11" s="1029"/>
      <c r="AH11" s="1029"/>
    </row>
    <row r="12" spans="2:34" x14ac:dyDescent="0.25">
      <c r="C12" s="1022">
        <v>7</v>
      </c>
      <c r="D12" s="1027"/>
      <c r="E12" s="1028"/>
      <c r="F12" s="1025">
        <f t="shared" si="0"/>
        <v>4.8899999999999997</v>
      </c>
      <c r="G12" s="1017"/>
      <c r="H12" s="1017"/>
      <c r="I12" s="1017"/>
      <c r="J12" s="1017"/>
      <c r="K12" s="1017"/>
      <c r="L12" s="1017"/>
      <c r="M12" s="1017"/>
      <c r="N12" s="1017"/>
      <c r="O12" s="1017"/>
      <c r="P12" s="1017"/>
      <c r="Q12" s="1017"/>
      <c r="R12" s="1017"/>
      <c r="S12" s="1017"/>
      <c r="T12" s="1017"/>
      <c r="AC12" s="1022">
        <v>7</v>
      </c>
      <c r="AD12" s="1027"/>
      <c r="AE12" s="1029"/>
      <c r="AF12" s="1029"/>
      <c r="AG12" s="1029"/>
      <c r="AH12" s="1029"/>
    </row>
    <row r="13" spans="2:34" x14ac:dyDescent="0.25">
      <c r="C13" s="1022">
        <v>8</v>
      </c>
      <c r="D13" s="1027"/>
      <c r="E13" s="1028"/>
      <c r="F13" s="1025">
        <f t="shared" si="0"/>
        <v>4.8899999999999997</v>
      </c>
      <c r="G13" s="1017"/>
      <c r="H13" s="1017"/>
      <c r="I13" s="1017"/>
      <c r="J13" s="1017"/>
      <c r="K13" s="1017"/>
      <c r="L13" s="1017"/>
      <c r="M13" s="1017"/>
      <c r="N13" s="1017"/>
      <c r="O13" s="1017"/>
      <c r="P13" s="1017"/>
      <c r="Q13" s="1017"/>
      <c r="R13" s="1017"/>
      <c r="S13" s="1017"/>
      <c r="T13" s="1017"/>
      <c r="AC13" s="1022">
        <v>8</v>
      </c>
      <c r="AD13" s="1027"/>
      <c r="AE13" s="1029"/>
      <c r="AF13" s="1029"/>
      <c r="AG13" s="1029"/>
      <c r="AH13" s="1029"/>
    </row>
    <row r="14" spans="2:34" x14ac:dyDescent="0.25">
      <c r="C14" s="1022">
        <v>9</v>
      </c>
      <c r="D14" s="1027"/>
      <c r="E14" s="1028"/>
      <c r="F14" s="1025">
        <f t="shared" si="0"/>
        <v>4.8899999999999997</v>
      </c>
      <c r="G14" s="1017"/>
      <c r="H14" s="1017"/>
      <c r="I14" s="1017"/>
      <c r="J14" s="1017"/>
      <c r="K14" s="1017"/>
      <c r="L14" s="1017"/>
      <c r="M14" s="1017"/>
      <c r="N14" s="1017"/>
      <c r="O14" s="1017"/>
      <c r="P14" s="1017"/>
      <c r="Q14" s="1017"/>
      <c r="R14" s="1017"/>
      <c r="S14" s="1017"/>
      <c r="T14" s="1017"/>
      <c r="AC14" s="1022">
        <v>9</v>
      </c>
      <c r="AD14" s="1027"/>
      <c r="AE14" s="1029"/>
      <c r="AF14" s="1029"/>
      <c r="AG14" s="1029"/>
      <c r="AH14" s="1029"/>
    </row>
    <row r="15" spans="2:34" x14ac:dyDescent="0.25">
      <c r="C15" s="1022">
        <v>10</v>
      </c>
      <c r="D15" s="1027"/>
      <c r="E15" s="1028"/>
      <c r="F15" s="1025">
        <f t="shared" si="0"/>
        <v>4.8899999999999997</v>
      </c>
      <c r="G15" s="1017"/>
      <c r="H15" s="1017"/>
      <c r="I15" s="1017"/>
      <c r="J15" s="1017"/>
      <c r="K15" s="1017"/>
      <c r="L15" s="1017"/>
      <c r="M15" s="1017"/>
      <c r="N15" s="1017"/>
      <c r="O15" s="1017"/>
      <c r="P15" s="1017"/>
      <c r="Q15" s="1017"/>
      <c r="R15" s="1017"/>
      <c r="S15" s="1017"/>
      <c r="T15" s="1017"/>
      <c r="AC15" s="1022">
        <v>10</v>
      </c>
      <c r="AD15" s="1027"/>
      <c r="AE15" s="1029"/>
      <c r="AF15" s="1029"/>
      <c r="AG15" s="1029"/>
      <c r="AH15" s="1029"/>
    </row>
    <row r="16" spans="2:34" x14ac:dyDescent="0.25">
      <c r="C16" s="1015"/>
      <c r="D16" s="1015"/>
      <c r="E16" s="1030"/>
      <c r="F16" s="1016"/>
      <c r="G16" s="1017"/>
      <c r="H16" s="1017"/>
      <c r="I16" s="1017"/>
      <c r="J16" s="1017"/>
      <c r="K16" s="1017"/>
      <c r="L16" s="1017"/>
      <c r="M16" s="1017"/>
      <c r="N16" s="1017"/>
      <c r="O16" s="1017"/>
      <c r="P16" s="1017"/>
      <c r="Q16" s="1017"/>
      <c r="R16" s="1017"/>
      <c r="S16" s="1017"/>
      <c r="T16" s="1017"/>
    </row>
    <row r="17" spans="3:32" x14ac:dyDescent="0.25">
      <c r="C17" s="1015"/>
      <c r="D17" s="1015"/>
      <c r="E17" s="1015"/>
      <c r="F17" s="1016"/>
      <c r="G17" s="1017"/>
      <c r="H17" s="1017"/>
      <c r="I17" s="1017"/>
      <c r="J17" s="1017"/>
      <c r="K17" s="1017"/>
      <c r="L17" s="1017"/>
      <c r="M17" s="1017"/>
      <c r="N17" s="1017"/>
      <c r="O17" s="1017"/>
      <c r="P17" s="1017"/>
      <c r="Q17" s="1017"/>
      <c r="R17" s="1017"/>
      <c r="S17" s="1017"/>
      <c r="T17" s="1017"/>
    </row>
    <row r="18" spans="3:32" x14ac:dyDescent="0.25">
      <c r="C18" s="1015"/>
      <c r="D18" s="1015"/>
      <c r="E18" s="1015"/>
      <c r="F18" s="1016"/>
      <c r="G18" s="1017"/>
      <c r="H18" s="1017"/>
      <c r="I18" s="1017"/>
      <c r="J18" s="1017"/>
      <c r="K18" s="1017"/>
      <c r="L18" s="1017"/>
      <c r="M18" s="1017"/>
      <c r="N18" s="1017"/>
      <c r="O18" s="1017"/>
      <c r="P18" s="1017"/>
      <c r="Q18" s="1017"/>
      <c r="R18" s="1017"/>
      <c r="S18" s="1017"/>
      <c r="T18" s="1017"/>
    </row>
    <row r="19" spans="3:32" x14ac:dyDescent="0.25">
      <c r="C19" s="1015"/>
      <c r="D19" s="1015"/>
      <c r="E19" s="1015"/>
      <c r="F19" s="1016"/>
      <c r="G19" s="1017"/>
      <c r="H19" s="1017"/>
      <c r="I19" s="1017"/>
      <c r="J19" s="1017"/>
      <c r="K19" s="1017"/>
      <c r="L19" s="1017"/>
      <c r="M19" s="1017"/>
      <c r="N19" s="1017"/>
      <c r="O19" s="1017"/>
      <c r="P19" s="1017"/>
      <c r="Q19" s="1017"/>
      <c r="R19" s="1017"/>
      <c r="S19" s="1017"/>
      <c r="T19" s="1017"/>
    </row>
    <row r="20" spans="3:32" x14ac:dyDescent="0.25">
      <c r="C20" s="1015"/>
      <c r="D20" s="1015"/>
      <c r="E20" s="1015"/>
      <c r="F20" s="1016"/>
      <c r="G20" s="1017"/>
      <c r="H20" s="1017"/>
      <c r="I20" s="1017"/>
      <c r="J20" s="1017"/>
      <c r="K20" s="1017"/>
      <c r="L20" s="1017"/>
      <c r="M20" s="1017"/>
      <c r="N20" s="1017"/>
      <c r="O20" s="1017"/>
      <c r="P20" s="1017"/>
      <c r="Q20" s="1017"/>
      <c r="R20" s="1017"/>
      <c r="S20" s="1017"/>
      <c r="T20" s="1017"/>
    </row>
    <row r="21" spans="3:32" x14ac:dyDescent="0.25">
      <c r="F21" s="1016"/>
      <c r="G21" s="1017"/>
      <c r="H21" s="1017"/>
      <c r="I21" s="1017"/>
      <c r="J21" s="1017"/>
      <c r="K21" s="1017"/>
      <c r="L21" s="1017"/>
      <c r="M21" s="1017"/>
      <c r="N21" s="1017"/>
      <c r="O21" s="1017"/>
      <c r="P21" s="1017"/>
      <c r="Q21" s="1017"/>
      <c r="R21" s="1017"/>
      <c r="S21" s="1017"/>
      <c r="T21" s="1017"/>
    </row>
    <row r="22" spans="3:32" ht="15.75" thickBot="1" x14ac:dyDescent="0.3">
      <c r="F22" s="1016"/>
      <c r="G22" s="1017"/>
      <c r="H22" s="1017"/>
      <c r="I22" s="1017"/>
      <c r="J22" s="1017"/>
      <c r="K22" s="1017"/>
      <c r="L22" s="1017"/>
      <c r="M22" s="1017"/>
      <c r="N22" s="1017"/>
      <c r="O22" s="1017"/>
      <c r="P22" s="1017"/>
      <c r="Q22" s="1017"/>
      <c r="R22" s="1017"/>
      <c r="S22" s="1017"/>
      <c r="T22" s="1017"/>
    </row>
    <row r="23" spans="3:32" ht="15.75" thickBot="1" x14ac:dyDescent="0.3">
      <c r="C23" s="1015"/>
      <c r="D23" s="1019" t="s">
        <v>539</v>
      </c>
      <c r="E23" s="1020" t="s">
        <v>550</v>
      </c>
      <c r="F23" s="1016"/>
      <c r="G23" s="1017"/>
      <c r="H23" s="1017"/>
      <c r="I23" s="1017"/>
      <c r="J23" s="1017"/>
      <c r="K23" s="1017"/>
      <c r="L23" s="1017"/>
      <c r="M23" s="1017"/>
      <c r="N23" s="1017"/>
      <c r="O23" s="1017"/>
      <c r="P23" s="1017"/>
      <c r="Q23" s="1017"/>
      <c r="R23" s="1017"/>
      <c r="S23" s="1017"/>
      <c r="T23" s="1017"/>
      <c r="AC23" s="1015"/>
      <c r="AD23" s="1019" t="s">
        <v>539</v>
      </c>
      <c r="AE23" s="1021" t="s">
        <v>5</v>
      </c>
      <c r="AF23" s="1020" t="s">
        <v>157</v>
      </c>
    </row>
    <row r="24" spans="3:32" x14ac:dyDescent="0.25">
      <c r="C24" s="1022"/>
      <c r="D24" s="1023" t="s">
        <v>545</v>
      </c>
      <c r="E24" s="1031">
        <v>250000</v>
      </c>
      <c r="F24" s="1032">
        <f>AVERAGE($E$24:$E$34)</f>
        <v>273000</v>
      </c>
      <c r="G24" s="1017"/>
      <c r="H24" s="1017"/>
      <c r="I24" s="1017"/>
      <c r="J24" s="1017"/>
      <c r="K24" s="1017"/>
      <c r="L24" s="1017"/>
      <c r="M24" s="1017"/>
      <c r="N24" s="1017"/>
      <c r="O24" s="1017"/>
      <c r="P24" s="1017"/>
      <c r="Q24" s="1017"/>
      <c r="R24" s="1017"/>
      <c r="S24" s="1017"/>
      <c r="T24" s="1017"/>
      <c r="AC24" s="1022"/>
      <c r="AD24" s="1023" t="s">
        <v>545</v>
      </c>
      <c r="AE24" s="1033">
        <v>5.5</v>
      </c>
      <c r="AF24" s="1033">
        <v>15.5</v>
      </c>
    </row>
    <row r="25" spans="3:32" x14ac:dyDescent="0.25">
      <c r="C25" s="1022">
        <v>1</v>
      </c>
      <c r="D25" s="1027" t="s">
        <v>546</v>
      </c>
      <c r="E25" s="1034">
        <v>275000</v>
      </c>
      <c r="F25" s="1032">
        <f t="shared" ref="F25:F34" si="1">AVERAGE($E$24:$E$34)</f>
        <v>273000</v>
      </c>
      <c r="G25" s="1017"/>
      <c r="H25" s="1017"/>
      <c r="I25" s="1017"/>
      <c r="J25" s="1017"/>
      <c r="K25" s="1017"/>
      <c r="L25" s="1017"/>
      <c r="M25" s="1017"/>
      <c r="N25" s="1017"/>
      <c r="O25" s="1017"/>
      <c r="P25" s="1017"/>
      <c r="Q25" s="1017"/>
      <c r="R25" s="1017"/>
      <c r="S25" s="1017"/>
      <c r="T25" s="1017"/>
      <c r="AC25" s="1022">
        <v>1</v>
      </c>
      <c r="AD25" s="1027" t="s">
        <v>546</v>
      </c>
      <c r="AE25" s="1035">
        <v>6.23</v>
      </c>
      <c r="AF25" s="1035">
        <v>14.25</v>
      </c>
    </row>
    <row r="26" spans="3:32" x14ac:dyDescent="0.25">
      <c r="C26" s="1022">
        <v>2</v>
      </c>
      <c r="D26" s="1027" t="s">
        <v>547</v>
      </c>
      <c r="E26" s="1034">
        <v>300000</v>
      </c>
      <c r="F26" s="1032">
        <f t="shared" si="1"/>
        <v>273000</v>
      </c>
      <c r="G26" s="1017"/>
      <c r="H26" s="1017"/>
      <c r="I26" s="1017"/>
      <c r="J26" s="1017"/>
      <c r="K26" s="1017"/>
      <c r="L26" s="1017"/>
      <c r="M26" s="1017"/>
      <c r="N26" s="1017"/>
      <c r="O26" s="1017"/>
      <c r="P26" s="1017"/>
      <c r="Q26" s="1017"/>
      <c r="R26" s="1017"/>
      <c r="S26" s="1017"/>
      <c r="T26" s="1017"/>
      <c r="AC26" s="1022">
        <v>2</v>
      </c>
      <c r="AD26" s="1027" t="s">
        <v>547</v>
      </c>
      <c r="AE26" s="1035">
        <v>4.9800000000000004</v>
      </c>
      <c r="AF26" s="1035">
        <v>13.84</v>
      </c>
    </row>
    <row r="27" spans="3:32" x14ac:dyDescent="0.25">
      <c r="C27" s="1022">
        <v>3</v>
      </c>
      <c r="D27" s="1027" t="s">
        <v>548</v>
      </c>
      <c r="E27" s="1034">
        <v>260000</v>
      </c>
      <c r="F27" s="1032">
        <f t="shared" si="1"/>
        <v>273000</v>
      </c>
      <c r="G27" s="1017"/>
      <c r="H27" s="1017"/>
      <c r="I27" s="1017"/>
      <c r="J27" s="1017"/>
      <c r="K27" s="1017"/>
      <c r="L27" s="1017"/>
      <c r="M27" s="1017"/>
      <c r="N27" s="1017"/>
      <c r="O27" s="1017"/>
      <c r="P27" s="1017"/>
      <c r="Q27" s="1017"/>
      <c r="R27" s="1017"/>
      <c r="S27" s="1017"/>
      <c r="T27" s="1017"/>
      <c r="AC27" s="1022">
        <v>3</v>
      </c>
      <c r="AD27" s="1027" t="s">
        <v>548</v>
      </c>
      <c r="AE27" s="1035">
        <v>6.98</v>
      </c>
      <c r="AF27" s="1035">
        <v>14.35</v>
      </c>
    </row>
    <row r="28" spans="3:32" x14ac:dyDescent="0.25">
      <c r="C28" s="1022">
        <v>4</v>
      </c>
      <c r="D28" s="1027" t="s">
        <v>549</v>
      </c>
      <c r="E28" s="1034">
        <v>280000</v>
      </c>
      <c r="F28" s="1032">
        <f t="shared" si="1"/>
        <v>273000</v>
      </c>
      <c r="G28" s="1017"/>
      <c r="H28" s="1017"/>
      <c r="I28" s="1017"/>
      <c r="J28" s="1017"/>
      <c r="K28" s="1017"/>
      <c r="L28" s="1017"/>
      <c r="M28" s="1017"/>
      <c r="N28" s="1017"/>
      <c r="O28" s="1017"/>
      <c r="P28" s="1017"/>
      <c r="Q28" s="1017"/>
      <c r="R28" s="1017"/>
      <c r="S28" s="1017"/>
      <c r="T28" s="1017"/>
      <c r="AC28" s="1022">
        <v>4</v>
      </c>
      <c r="AD28" s="1027" t="s">
        <v>549</v>
      </c>
      <c r="AE28" s="1035">
        <v>5.85</v>
      </c>
      <c r="AF28" s="1035">
        <v>15.84</v>
      </c>
    </row>
    <row r="29" spans="3:32" x14ac:dyDescent="0.25">
      <c r="C29" s="1022">
        <v>5</v>
      </c>
      <c r="D29" s="1027"/>
      <c r="E29" s="1034"/>
      <c r="F29" s="1032">
        <f t="shared" si="1"/>
        <v>273000</v>
      </c>
      <c r="G29" s="1017"/>
      <c r="H29" s="1017"/>
      <c r="I29" s="1017"/>
      <c r="J29" s="1017"/>
      <c r="K29" s="1017"/>
      <c r="L29" s="1017"/>
      <c r="M29" s="1017"/>
      <c r="N29" s="1017"/>
      <c r="O29" s="1017"/>
      <c r="P29" s="1017"/>
      <c r="Q29" s="1017"/>
      <c r="R29" s="1017"/>
      <c r="S29" s="1017"/>
      <c r="T29" s="1017"/>
      <c r="AC29" s="1022">
        <v>5</v>
      </c>
      <c r="AD29" s="1027"/>
      <c r="AE29" s="1035"/>
      <c r="AF29" s="1035"/>
    </row>
    <row r="30" spans="3:32" x14ac:dyDescent="0.25">
      <c r="C30" s="1022">
        <v>6</v>
      </c>
      <c r="D30" s="1027"/>
      <c r="E30" s="1034"/>
      <c r="F30" s="1032">
        <f t="shared" si="1"/>
        <v>273000</v>
      </c>
      <c r="G30" s="1017"/>
      <c r="H30" s="1017"/>
      <c r="I30" s="1017"/>
      <c r="J30" s="1017"/>
      <c r="K30" s="1017"/>
      <c r="L30" s="1017"/>
      <c r="M30" s="1017"/>
      <c r="N30" s="1017"/>
      <c r="O30" s="1017"/>
      <c r="P30" s="1017"/>
      <c r="Q30" s="1017"/>
      <c r="R30" s="1017"/>
      <c r="S30" s="1017"/>
      <c r="T30" s="1017"/>
      <c r="AC30" s="1022">
        <v>6</v>
      </c>
      <c r="AD30" s="1027"/>
      <c r="AE30" s="1035"/>
      <c r="AF30" s="1035"/>
    </row>
    <row r="31" spans="3:32" x14ac:dyDescent="0.25">
      <c r="C31" s="1022">
        <v>7</v>
      </c>
      <c r="D31" s="1027"/>
      <c r="E31" s="1034"/>
      <c r="F31" s="1032">
        <f t="shared" si="1"/>
        <v>273000</v>
      </c>
      <c r="G31" s="1017"/>
      <c r="H31" s="1017"/>
      <c r="I31" s="1017"/>
      <c r="J31" s="1017"/>
      <c r="K31" s="1017"/>
      <c r="L31" s="1017"/>
      <c r="M31" s="1017"/>
      <c r="N31" s="1017"/>
      <c r="O31" s="1017"/>
      <c r="P31" s="1017"/>
      <c r="Q31" s="1017"/>
      <c r="R31" s="1017"/>
      <c r="S31" s="1017"/>
      <c r="T31" s="1017"/>
      <c r="AC31" s="1022">
        <v>7</v>
      </c>
      <c r="AD31" s="1027"/>
      <c r="AE31" s="1035"/>
      <c r="AF31" s="1035"/>
    </row>
    <row r="32" spans="3:32" x14ac:dyDescent="0.25">
      <c r="C32" s="1022">
        <v>8</v>
      </c>
      <c r="D32" s="1027"/>
      <c r="E32" s="1034"/>
      <c r="F32" s="1032">
        <f t="shared" si="1"/>
        <v>273000</v>
      </c>
      <c r="G32" s="1017"/>
      <c r="H32" s="1017"/>
      <c r="I32" s="1017"/>
      <c r="J32" s="1017"/>
      <c r="K32" s="1017"/>
      <c r="L32" s="1017"/>
      <c r="M32" s="1017"/>
      <c r="N32" s="1017"/>
      <c r="O32" s="1017"/>
      <c r="P32" s="1017"/>
      <c r="Q32" s="1017"/>
      <c r="R32" s="1017"/>
      <c r="S32" s="1017"/>
      <c r="T32" s="1017"/>
      <c r="AC32" s="1022">
        <v>8</v>
      </c>
      <c r="AD32" s="1027"/>
      <c r="AE32" s="1035"/>
      <c r="AF32" s="1035"/>
    </row>
    <row r="33" spans="3:32" x14ac:dyDescent="0.25">
      <c r="C33" s="1022">
        <v>9</v>
      </c>
      <c r="D33" s="1027"/>
      <c r="E33" s="1034"/>
      <c r="F33" s="1032">
        <f t="shared" si="1"/>
        <v>273000</v>
      </c>
      <c r="G33" s="1017"/>
      <c r="H33" s="1017"/>
      <c r="I33" s="1017"/>
      <c r="J33" s="1017"/>
      <c r="K33" s="1017"/>
      <c r="L33" s="1017"/>
      <c r="M33" s="1017"/>
      <c r="N33" s="1017"/>
      <c r="O33" s="1017"/>
      <c r="P33" s="1017"/>
      <c r="Q33" s="1017"/>
      <c r="R33" s="1017"/>
      <c r="S33" s="1017"/>
      <c r="T33" s="1017"/>
      <c r="AC33" s="1022">
        <v>9</v>
      </c>
      <c r="AD33" s="1027"/>
      <c r="AE33" s="1035"/>
      <c r="AF33" s="1035"/>
    </row>
    <row r="34" spans="3:32" x14ac:dyDescent="0.25">
      <c r="C34" s="1022">
        <v>10</v>
      </c>
      <c r="D34" s="1027"/>
      <c r="E34" s="1034"/>
      <c r="F34" s="1032">
        <f t="shared" si="1"/>
        <v>273000</v>
      </c>
      <c r="G34" s="1017"/>
      <c r="H34" s="1017"/>
      <c r="I34" s="1017"/>
      <c r="J34" s="1017"/>
      <c r="K34" s="1017"/>
      <c r="L34" s="1017"/>
      <c r="M34" s="1017"/>
      <c r="N34" s="1017"/>
      <c r="O34" s="1017"/>
      <c r="P34" s="1017"/>
      <c r="Q34" s="1017"/>
      <c r="R34" s="1017"/>
      <c r="S34" s="1017"/>
      <c r="T34" s="1017"/>
      <c r="AC34" s="1022">
        <v>10</v>
      </c>
      <c r="AD34" s="1027"/>
      <c r="AE34" s="1035"/>
      <c r="AF34" s="1035"/>
    </row>
    <row r="35" spans="3:32" x14ac:dyDescent="0.25">
      <c r="C35" s="1015"/>
      <c r="D35" s="1016"/>
      <c r="E35" s="1016"/>
      <c r="F35" s="1017"/>
      <c r="G35" s="1017"/>
      <c r="H35" s="1017"/>
      <c r="I35" s="1017"/>
      <c r="J35" s="1017"/>
      <c r="K35" s="1017"/>
      <c r="L35" s="1017"/>
      <c r="M35" s="1017"/>
      <c r="N35" s="1017"/>
      <c r="O35" s="1017"/>
      <c r="P35" s="1017"/>
      <c r="Q35" s="1017"/>
      <c r="R35" s="1017"/>
      <c r="S35" s="1017"/>
      <c r="T35" s="1017"/>
    </row>
    <row r="36" spans="3:32" x14ac:dyDescent="0.25">
      <c r="C36" s="1017"/>
      <c r="D36" s="1017"/>
      <c r="E36" s="1017"/>
      <c r="F36" s="1017"/>
      <c r="G36" s="1017"/>
      <c r="H36" s="1017"/>
      <c r="I36" s="1017"/>
      <c r="J36" s="1017"/>
      <c r="K36" s="1017"/>
      <c r="L36" s="1017"/>
      <c r="M36" s="1017"/>
      <c r="N36" s="1017"/>
      <c r="O36" s="1017"/>
      <c r="P36" s="1017"/>
      <c r="Q36" s="1017"/>
      <c r="R36" s="1017"/>
      <c r="S36" s="1017"/>
      <c r="T36" s="1017"/>
    </row>
    <row r="37" spans="3:32" x14ac:dyDescent="0.25">
      <c r="C37" s="1017"/>
      <c r="D37" s="1017"/>
      <c r="E37" s="1017"/>
      <c r="F37" s="1017"/>
      <c r="G37" s="1017"/>
      <c r="H37" s="1017"/>
      <c r="I37" s="1017"/>
      <c r="J37" s="1017"/>
      <c r="K37" s="1017"/>
      <c r="L37" s="1017"/>
      <c r="M37" s="1017"/>
      <c r="N37" s="1017"/>
      <c r="O37" s="1017"/>
      <c r="P37" s="1017"/>
      <c r="Q37" s="1017"/>
      <c r="R37" s="1017"/>
      <c r="S37" s="1017"/>
      <c r="T37" s="1017"/>
    </row>
    <row r="38" spans="3:32" x14ac:dyDescent="0.25">
      <c r="C38" s="1017"/>
      <c r="D38" s="1017"/>
      <c r="E38" s="1017"/>
      <c r="F38" s="1017"/>
      <c r="G38" s="1017"/>
      <c r="H38" s="1017"/>
      <c r="I38" s="1017"/>
      <c r="J38" s="1017"/>
      <c r="K38" s="1017"/>
      <c r="L38" s="1017"/>
      <c r="M38" s="1017"/>
      <c r="N38" s="1017"/>
      <c r="O38" s="1017"/>
      <c r="P38" s="1017"/>
      <c r="Q38" s="1017"/>
      <c r="R38" s="1017"/>
      <c r="S38" s="1017"/>
      <c r="T38" s="1017"/>
    </row>
    <row r="39" spans="3:32" x14ac:dyDescent="0.25">
      <c r="C39" s="1017"/>
      <c r="D39" s="1017"/>
      <c r="E39" s="1017"/>
      <c r="F39" s="1017"/>
      <c r="G39" s="1017"/>
      <c r="H39" s="1017"/>
      <c r="I39" s="1017"/>
      <c r="J39" s="1017"/>
      <c r="K39" s="1017"/>
      <c r="L39" s="1017"/>
      <c r="M39" s="1017"/>
      <c r="N39" s="1017"/>
      <c r="O39" s="1017"/>
      <c r="P39" s="1017"/>
      <c r="Q39" s="1017"/>
      <c r="R39" s="1017"/>
      <c r="S39" s="1017"/>
      <c r="T39" s="1017"/>
    </row>
    <row r="40" spans="3:32" x14ac:dyDescent="0.25">
      <c r="C40" s="1017"/>
      <c r="D40" s="1017"/>
      <c r="E40" s="1017"/>
      <c r="F40" s="1017"/>
      <c r="G40" s="1017"/>
      <c r="H40" s="1017"/>
      <c r="I40" s="1017"/>
      <c r="J40" s="1017"/>
      <c r="K40" s="1017"/>
      <c r="L40" s="1017"/>
      <c r="M40" s="1017"/>
      <c r="N40" s="1017"/>
      <c r="O40" s="1017"/>
      <c r="P40" s="1017"/>
      <c r="Q40" s="1017"/>
      <c r="R40" s="1017"/>
      <c r="S40" s="1017"/>
      <c r="T40" s="1017"/>
    </row>
    <row r="41" spans="3:32" x14ac:dyDescent="0.25">
      <c r="C41" s="1017"/>
      <c r="D41" s="1017"/>
      <c r="E41" s="1017"/>
      <c r="F41" s="1017"/>
      <c r="G41" s="1017"/>
      <c r="H41" s="1017"/>
      <c r="I41" s="1017"/>
      <c r="J41" s="1017"/>
      <c r="K41" s="1017"/>
      <c r="L41" s="1017"/>
      <c r="M41" s="1017"/>
      <c r="N41" s="1017"/>
      <c r="O41" s="1017"/>
      <c r="P41" s="1017"/>
      <c r="Q41" s="1017"/>
      <c r="R41" s="1017"/>
      <c r="S41" s="1017"/>
      <c r="T41" s="1017"/>
    </row>
    <row r="42" spans="3:32" x14ac:dyDescent="0.25">
      <c r="C42" s="1017"/>
      <c r="D42" s="1017"/>
      <c r="E42" s="1017"/>
      <c r="F42" s="1017"/>
      <c r="G42" s="1017"/>
      <c r="H42" s="1017"/>
      <c r="I42" s="1017"/>
      <c r="J42" s="1017"/>
      <c r="K42" s="1017"/>
      <c r="L42" s="1017"/>
      <c r="M42" s="1017"/>
      <c r="N42" s="1017"/>
      <c r="O42" s="1017"/>
      <c r="P42" s="1017"/>
      <c r="Q42" s="1017"/>
      <c r="R42" s="1017"/>
      <c r="S42" s="1017"/>
      <c r="T42" s="1017"/>
    </row>
    <row r="43" spans="3:32" x14ac:dyDescent="0.25">
      <c r="C43" s="1017"/>
      <c r="D43" s="1017"/>
      <c r="E43" s="1017"/>
      <c r="F43" s="1017"/>
      <c r="G43" s="1017"/>
      <c r="H43" s="1017"/>
      <c r="I43" s="1017"/>
      <c r="J43" s="1017"/>
      <c r="K43" s="1017"/>
      <c r="L43" s="1017"/>
      <c r="M43" s="1017"/>
      <c r="N43" s="1017"/>
      <c r="O43" s="1017"/>
      <c r="P43" s="1017"/>
      <c r="Q43" s="1017"/>
      <c r="R43" s="1017"/>
      <c r="S43" s="1017"/>
      <c r="T43" s="1017"/>
    </row>
    <row r="44" spans="3:32" x14ac:dyDescent="0.25">
      <c r="C44" s="1017"/>
      <c r="D44" s="1017"/>
      <c r="E44" s="1017"/>
      <c r="F44" s="1017"/>
      <c r="G44" s="1017"/>
      <c r="H44" s="1017"/>
      <c r="I44" s="1017"/>
      <c r="J44" s="1017"/>
      <c r="K44" s="1017"/>
      <c r="L44" s="1017"/>
      <c r="M44" s="1017"/>
      <c r="N44" s="1017"/>
      <c r="O44" s="1017"/>
      <c r="P44" s="1017"/>
      <c r="Q44" s="1017"/>
      <c r="R44" s="1017"/>
      <c r="S44" s="1017"/>
      <c r="T44" s="1017"/>
    </row>
    <row r="45" spans="3:32" x14ac:dyDescent="0.25">
      <c r="C45" s="1017"/>
      <c r="D45" s="1017"/>
      <c r="E45" s="1017"/>
      <c r="F45" s="1017"/>
      <c r="G45" s="1017"/>
      <c r="H45" s="1017"/>
      <c r="I45" s="1017"/>
      <c r="J45" s="1017"/>
      <c r="K45" s="1017"/>
      <c r="L45" s="1017"/>
      <c r="M45" s="1017"/>
      <c r="N45" s="1017"/>
      <c r="O45" s="1017"/>
      <c r="P45" s="1017"/>
      <c r="Q45" s="1017"/>
      <c r="R45" s="1017"/>
      <c r="S45" s="1017"/>
      <c r="T45" s="1017"/>
    </row>
    <row r="46" spans="3:32" x14ac:dyDescent="0.25">
      <c r="C46" s="1017"/>
      <c r="D46" s="1017"/>
      <c r="E46" s="1017"/>
      <c r="F46" s="1017"/>
      <c r="G46" s="1017"/>
      <c r="H46" s="1017"/>
      <c r="I46" s="1017"/>
      <c r="J46" s="1017"/>
      <c r="K46" s="1017"/>
      <c r="L46" s="1017"/>
      <c r="M46" s="1017"/>
      <c r="N46" s="1017"/>
      <c r="O46" s="1017"/>
      <c r="P46" s="1017"/>
      <c r="Q46" s="1017"/>
      <c r="R46" s="1017"/>
      <c r="S46" s="1017"/>
      <c r="T46" s="1017"/>
    </row>
    <row r="47" spans="3:32" x14ac:dyDescent="0.25">
      <c r="C47" s="1017"/>
      <c r="D47" s="1017"/>
      <c r="E47" s="1017"/>
      <c r="F47" s="1017"/>
      <c r="G47" s="1017"/>
      <c r="H47" s="1017"/>
      <c r="I47" s="1017"/>
      <c r="J47" s="1017"/>
      <c r="K47" s="1017"/>
      <c r="L47" s="1017"/>
      <c r="M47" s="1017"/>
      <c r="N47" s="1017"/>
      <c r="O47" s="1017"/>
      <c r="P47" s="1017"/>
      <c r="Q47" s="1017"/>
      <c r="R47" s="1017"/>
      <c r="S47" s="1017"/>
      <c r="T47" s="1017"/>
    </row>
    <row r="48" spans="3:32" x14ac:dyDescent="0.25">
      <c r="C48" s="1017"/>
      <c r="D48" s="1017"/>
      <c r="E48" s="1017"/>
      <c r="F48" s="1017"/>
      <c r="G48" s="1017"/>
      <c r="H48" s="1017"/>
      <c r="I48" s="1017"/>
      <c r="J48" s="1017"/>
      <c r="K48" s="1017"/>
      <c r="L48" s="1017"/>
      <c r="M48" s="1017"/>
      <c r="N48" s="1017"/>
      <c r="O48" s="1017"/>
      <c r="P48" s="1017"/>
      <c r="Q48" s="1017"/>
      <c r="R48" s="1017"/>
      <c r="S48" s="1017"/>
      <c r="T48" s="1017"/>
    </row>
  </sheetData>
  <printOptions horizontalCentered="1" verticalCentered="1"/>
  <pageMargins left="0.5" right="0.5" top="1.75" bottom="0.5" header="0" footer="0"/>
  <pageSetup scale="58" fitToHeight="0" orientation="landscape" cellComments="atEnd" r:id="rId1"/>
  <customProperties>
    <customPr name="GUID" r:id="rId2"/>
  </customPropertie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1C05-9F46-4472-9FEC-A1B6F9FA8E58}">
  <sheetPr codeName="Sheet110"/>
  <dimension ref="A1:C20"/>
  <sheetViews>
    <sheetView workbookViewId="0">
      <selection activeCell="B1" sqref="B1:B3"/>
    </sheetView>
  </sheetViews>
  <sheetFormatPr defaultColWidth="8.85546875" defaultRowHeight="15" x14ac:dyDescent="0.25"/>
  <cols>
    <col min="1" max="1" width="22.28515625" customWidth="1"/>
    <col min="2" max="2" width="27.28515625" customWidth="1"/>
    <col min="7" max="7" width="31.42578125" bestFit="1" customWidth="1"/>
    <col min="8" max="8" width="30.28515625" customWidth="1"/>
  </cols>
  <sheetData>
    <row r="1" spans="1:3" x14ac:dyDescent="0.25">
      <c r="A1" t="s">
        <v>0</v>
      </c>
      <c r="B1" t="s">
        <v>551</v>
      </c>
    </row>
    <row r="2" spans="1:3" x14ac:dyDescent="0.25">
      <c r="A2" t="s">
        <v>123</v>
      </c>
      <c r="B2" t="s">
        <v>552</v>
      </c>
    </row>
    <row r="3" spans="1:3" x14ac:dyDescent="0.25">
      <c r="A3" t="s">
        <v>4</v>
      </c>
      <c r="B3" t="s">
        <v>553</v>
      </c>
    </row>
    <row r="4" spans="1:3" x14ac:dyDescent="0.25">
      <c r="A4" t="s">
        <v>12</v>
      </c>
      <c r="B4" t="s">
        <v>553</v>
      </c>
    </row>
    <row r="5" spans="1:3" x14ac:dyDescent="0.25">
      <c r="A5" t="s">
        <v>16</v>
      </c>
      <c r="B5" t="s">
        <v>553</v>
      </c>
    </row>
    <row r="6" spans="1:3" x14ac:dyDescent="0.25">
      <c r="A6" t="s">
        <v>60</v>
      </c>
      <c r="B6" t="s">
        <v>554</v>
      </c>
    </row>
    <row r="7" spans="1:3" x14ac:dyDescent="0.25">
      <c r="A7" t="s">
        <v>42</v>
      </c>
      <c r="B7" t="s">
        <v>555</v>
      </c>
      <c r="C7" t="s">
        <v>556</v>
      </c>
    </row>
    <row r="8" spans="1:3" x14ac:dyDescent="0.25">
      <c r="A8" t="s">
        <v>95</v>
      </c>
      <c r="B8" t="s">
        <v>554</v>
      </c>
    </row>
    <row r="9" spans="1:3" x14ac:dyDescent="0.25">
      <c r="A9" t="s">
        <v>275</v>
      </c>
      <c r="B9" t="s">
        <v>554</v>
      </c>
    </row>
    <row r="10" spans="1:3" x14ac:dyDescent="0.25">
      <c r="A10" t="s">
        <v>97</v>
      </c>
      <c r="B10" t="s">
        <v>553</v>
      </c>
    </row>
    <row r="11" spans="1:3" x14ac:dyDescent="0.25">
      <c r="A11" t="s">
        <v>99</v>
      </c>
      <c r="B11" t="s">
        <v>553</v>
      </c>
    </row>
    <row r="12" spans="1:3" x14ac:dyDescent="0.25">
      <c r="A12" t="s">
        <v>100</v>
      </c>
      <c r="B12" t="s">
        <v>554</v>
      </c>
    </row>
    <row r="13" spans="1:3" x14ac:dyDescent="0.25">
      <c r="A13" t="s">
        <v>40</v>
      </c>
      <c r="B13" t="s">
        <v>555</v>
      </c>
      <c r="C13" t="s">
        <v>557</v>
      </c>
    </row>
    <row r="14" spans="1:3" x14ac:dyDescent="0.25">
      <c r="A14" t="s">
        <v>18</v>
      </c>
      <c r="B14" t="s">
        <v>554</v>
      </c>
    </row>
    <row r="15" spans="1:3" x14ac:dyDescent="0.25">
      <c r="A15" t="s">
        <v>22</v>
      </c>
      <c r="B15" t="s">
        <v>554</v>
      </c>
    </row>
    <row r="16" spans="1:3" x14ac:dyDescent="0.25">
      <c r="A16" t="s">
        <v>26</v>
      </c>
      <c r="B16" t="s">
        <v>553</v>
      </c>
    </row>
    <row r="17" spans="1:2" x14ac:dyDescent="0.25">
      <c r="A17" t="s">
        <v>558</v>
      </c>
      <c r="B17" t="s">
        <v>554</v>
      </c>
    </row>
    <row r="18" spans="1:2" x14ac:dyDescent="0.25">
      <c r="A18" t="s">
        <v>102</v>
      </c>
      <c r="B18" t="s">
        <v>554</v>
      </c>
    </row>
    <row r="19" spans="1:2" x14ac:dyDescent="0.25">
      <c r="A19" t="s">
        <v>30</v>
      </c>
      <c r="B19" t="s">
        <v>554</v>
      </c>
    </row>
    <row r="20" spans="1:2" x14ac:dyDescent="0.25">
      <c r="A20" t="s">
        <v>104</v>
      </c>
      <c r="B20" t="s">
        <v>554</v>
      </c>
    </row>
  </sheetData>
  <pageMargins left="0.7" right="0.7" top="0.75" bottom="0.75" header="0.3" footer="0.3"/>
  <pageSetup orientation="portrait" r:id="rId1"/>
  <customProperties>
    <customPr name="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405f326b8084902bf00ac75e6b15a46 xmlns="04f97eb2-6e56-4bba-b31e-e07ee6f0c02e">
      <Terms xmlns="http://schemas.microsoft.com/office/infopath/2007/PartnerControls">
        <TermInfo xmlns="http://schemas.microsoft.com/office/infopath/2007/PartnerControls">
          <TermName xmlns="http://schemas.microsoft.com/office/infopath/2007/PartnerControls">MNet Launch</TermName>
          <TermId xmlns="http://schemas.microsoft.com/office/infopath/2007/PartnerControls">ee0e51d8-7786-4b1b-b616-4011b85a20e7</TermId>
        </TermInfo>
      </Terms>
    </a405f326b8084902bf00ac75e6b15a46>
    <g44f9289345a459b943297baf26657e6 xmlns="04f97eb2-6e56-4bba-b31e-e07ee6f0c02e">
      <Terms xmlns="http://schemas.microsoft.com/office/infopath/2007/PartnerControls">
        <TermInfo xmlns="http://schemas.microsoft.com/office/infopath/2007/PartnerControls">
          <TermName xmlns="http://schemas.microsoft.com/office/infopath/2007/PartnerControls">Information Services</TermName>
          <TermId xmlns="http://schemas.microsoft.com/office/infopath/2007/PartnerControls">276f9b47-ffdc-4130-9a70-586484660ba0</TermId>
        </TermInfo>
        <TermInfo xmlns="http://schemas.microsoft.com/office/infopath/2007/PartnerControls">
          <TermName xmlns="http://schemas.microsoft.com/office/infopath/2007/PartnerControls">Operations</TermName>
          <TermId xmlns="http://schemas.microsoft.com/office/infopath/2007/PartnerControls">3d1b5732-3c9c-49bf-8b0f-b275099f00dc</TermId>
        </TermInfo>
        <TermInfo xmlns="http://schemas.microsoft.com/office/infopath/2007/PartnerControls">
          <TermName xmlns="http://schemas.microsoft.com/office/infopath/2007/PartnerControls">Learning Center</TermName>
          <TermId xmlns="http://schemas.microsoft.com/office/infopath/2007/PartnerControls">5a5e217e-30c2-4653-8bd1-e1c853fb8eb4</TermId>
        </TermInfo>
      </Terms>
    </g44f9289345a459b943297baf26657e6>
    <TaxCatchAll xmlns="04f97eb2-6e56-4bba-b31e-e07ee6f0c02e">
      <Value>31</Value>
      <Value>9</Value>
      <Value>7</Value>
      <Value>278</Value>
      <Value>276</Value>
      <Value>2</Value>
      <Value>102</Value>
    </TaxCatchAll>
    <g5e79f37bf1841a0a0c2b7d634ff0fda xmlns="04f97eb2-6e56-4bba-b31e-e07ee6f0c02e">
      <Terms xmlns="http://schemas.microsoft.com/office/infopath/2007/PartnerControls">
        <TermInfo xmlns="http://schemas.microsoft.com/office/infopath/2007/PartnerControls">
          <TermName xmlns="http://schemas.microsoft.com/office/infopath/2007/PartnerControls">REIS</TermName>
          <TermId xmlns="http://schemas.microsoft.com/office/infopath/2007/PartnerControls">e4d5d859-f200-4831-a32a-e3d4639f48d4</TermId>
        </TermInfo>
      </Terms>
    </g5e79f37bf1841a0a0c2b7d634ff0fda>
    <d9e8fcfd511642498aa75b44a1f32bd4 xmlns="04f97eb2-6e56-4bba-b31e-e07ee6f0c02e">
      <Terms xmlns="http://schemas.microsoft.com/office/infopath/2007/PartnerControls">
        <TermInfo xmlns="http://schemas.microsoft.com/office/infopath/2007/PartnerControls">
          <TermName xmlns="http://schemas.microsoft.com/office/infopath/2007/PartnerControls">Financial Model</TermName>
          <TermId xmlns="http://schemas.microsoft.com/office/infopath/2007/PartnerControls">554796cd-2c91-48d6-9735-2375e8e430a9</TermId>
        </TermInfo>
      </Terms>
    </d9e8fcfd511642498aa75b44a1f32bd4>
    <cc189e281f494860a464c26a4e3d4b36 xmlns="04f97eb2-6e56-4bba-b31e-e07ee6f0c02e">
      <Terms xmlns="http://schemas.microsoft.com/office/infopath/2007/PartnerControls">
        <TermInfo xmlns="http://schemas.microsoft.com/office/infopath/2007/PartnerControls">
          <TermName xmlns="http://schemas.microsoft.com/office/infopath/2007/PartnerControls">Apartments</TermName>
          <TermId xmlns="http://schemas.microsoft.com/office/infopath/2007/PartnerControls">942f89fd-6299-4d05-8562-0c122fdc0c90</TermId>
        </TermInfo>
      </Terms>
    </cc189e281f494860a464c26a4e3d4b36>
  </documentManagement>
</p:properties>
</file>

<file path=customXml/item3.xml><?xml version="1.0" encoding="utf-8"?>
<ct:contentTypeSchema xmlns:ct="http://schemas.microsoft.com/office/2006/metadata/contentType" xmlns:ma="http://schemas.microsoft.com/office/2006/metadata/properties/metaAttributes" ct:_="" ma:_="" ma:contentTypeName="Department Document" ma:contentTypeID="0x0101008172F55FBD02A948A3CD7BAA43A863AC00D1B4CF5C2331DC46ADFD00B45C812964" ma:contentTypeVersion="15" ma:contentTypeDescription="" ma:contentTypeScope="" ma:versionID="a89f87586332b5e324690f79a6a2508d">
  <xsd:schema xmlns:xsd="http://www.w3.org/2001/XMLSchema" xmlns:xs="http://www.w3.org/2001/XMLSchema" xmlns:p="http://schemas.microsoft.com/office/2006/metadata/properties" xmlns:ns2="04f97eb2-6e56-4bba-b31e-e07ee6f0c02e" xmlns:ns3="90b912d4-8e88-4936-9f67-8344c3652cae" targetNamespace="http://schemas.microsoft.com/office/2006/metadata/properties" ma:root="true" ma:fieldsID="52b08a0f3236b6a20c6bab260aa29e40" ns2:_="" ns3:_="">
    <xsd:import namespace="04f97eb2-6e56-4bba-b31e-e07ee6f0c02e"/>
    <xsd:import namespace="90b912d4-8e88-4936-9f67-8344c3652cae"/>
    <xsd:element name="properties">
      <xsd:complexType>
        <xsd:sequence>
          <xsd:element name="documentManagement">
            <xsd:complexType>
              <xsd:all>
                <xsd:element ref="ns2:d9e8fcfd511642498aa75b44a1f32bd4" minOccurs="0"/>
                <xsd:element ref="ns2:TaxCatchAll" minOccurs="0"/>
                <xsd:element ref="ns2:TaxCatchAllLabel" minOccurs="0"/>
                <xsd:element ref="ns2:a405f326b8084902bf00ac75e6b15a46" minOccurs="0"/>
                <xsd:element ref="ns2:g44f9289345a459b943297baf26657e6" minOccurs="0"/>
                <xsd:element ref="ns2:cc189e281f494860a464c26a4e3d4b36" minOccurs="0"/>
                <xsd:element ref="ns2:g5e79f37bf1841a0a0c2b7d634ff0fda" minOccurs="0"/>
                <xsd:element ref="ns3:MediaServiceMetadata" minOccurs="0"/>
                <xsd:element ref="ns3:MediaServiceFastMetadata" minOccurs="0"/>
                <xsd:element ref="ns2:SharedWithUsers" minOccurs="0"/>
                <xsd:element ref="ns2: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97eb2-6e56-4bba-b31e-e07ee6f0c02e" elementFormDefault="qualified">
    <xsd:import namespace="http://schemas.microsoft.com/office/2006/documentManagement/types"/>
    <xsd:import namespace="http://schemas.microsoft.com/office/infopath/2007/PartnerControls"/>
    <xsd:element name="d9e8fcfd511642498aa75b44a1f32bd4" ma:index="9" nillable="true" ma:taxonomy="true" ma:internalName="d9e8fcfd511642498aa75b44a1f32bd4" ma:taxonomyFieldName="Document_x0020_Type" ma:displayName="Document Type" ma:default="" ma:fieldId="{d9e8fcfd-5116-4249-8aa7-5b44a1f32bd4}" ma:taxonomyMulti="true" ma:sspId="7ac0a7a4-d698-44b8-9281-d884ca73278a" ma:termSetId="d6c86a68-feda-4f95-90e5-ba3353451b61"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e25fdd8f-cf8c-4116-85dd-aa5754e8d3fe}" ma:internalName="TaxCatchAll" ma:showField="CatchAllData" ma:web="04f97eb2-6e56-4bba-b31e-e07ee6f0c02e">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25fdd8f-cf8c-4116-85dd-aa5754e8d3fe}" ma:internalName="TaxCatchAllLabel" ma:readOnly="true" ma:showField="CatchAllDataLabel" ma:web="04f97eb2-6e56-4bba-b31e-e07ee6f0c02e">
      <xsd:complexType>
        <xsd:complexContent>
          <xsd:extension base="dms:MultiChoiceLookup">
            <xsd:sequence>
              <xsd:element name="Value" type="dms:Lookup" maxOccurs="unbounded" minOccurs="0" nillable="true"/>
            </xsd:sequence>
          </xsd:extension>
        </xsd:complexContent>
      </xsd:complexType>
    </xsd:element>
    <xsd:element name="a405f326b8084902bf00ac75e6b15a46" ma:index="13" nillable="true" ma:taxonomy="true" ma:internalName="a405f326b8084902bf00ac75e6b15a46" ma:taxonomyFieldName="Application" ma:displayName="Application" ma:default="" ma:fieldId="{a405f326-b808-4902-bf00-ac75e6b15a46}" ma:taxonomyMulti="true" ma:sspId="7ac0a7a4-d698-44b8-9281-d884ca73278a" ma:termSetId="151dd689-2cd4-4812-a1aa-ea74283b52bf" ma:anchorId="00000000-0000-0000-0000-000000000000" ma:open="false" ma:isKeyword="false">
      <xsd:complexType>
        <xsd:sequence>
          <xsd:element ref="pc:Terms" minOccurs="0" maxOccurs="1"/>
        </xsd:sequence>
      </xsd:complexType>
    </xsd:element>
    <xsd:element name="g44f9289345a459b943297baf26657e6" ma:index="15" nillable="true" ma:taxonomy="true" ma:internalName="g44f9289345a459b943297baf26657e6" ma:taxonomyFieldName="Department1" ma:displayName="Department" ma:default="" ma:fieldId="{044f9289-345a-459b-9432-97baf26657e6}" ma:taxonomyMulti="true" ma:sspId="7ac0a7a4-d698-44b8-9281-d884ca73278a" ma:termSetId="5f24991a-4486-4f93-ae89-e684ed2d6a33" ma:anchorId="00000000-0000-0000-0000-000000000000" ma:open="false" ma:isKeyword="false">
      <xsd:complexType>
        <xsd:sequence>
          <xsd:element ref="pc:Terms" minOccurs="0" maxOccurs="1"/>
        </xsd:sequence>
      </xsd:complexType>
    </xsd:element>
    <xsd:element name="cc189e281f494860a464c26a4e3d4b36" ma:index="17" nillable="true" ma:taxonomy="true" ma:internalName="cc189e281f494860a464c26a4e3d4b36" ma:taxonomyFieldName="Product_x0020_Type" ma:displayName="Product Type" ma:default="" ma:fieldId="{cc189e28-1f49-4860-a464-c26a4e3d4b36}" ma:taxonomyMulti="true" ma:sspId="7ac0a7a4-d698-44b8-9281-d884ca73278a" ma:termSetId="f775f20a-861b-4776-88be-d2d355e17e01" ma:anchorId="00000000-0000-0000-0000-000000000000" ma:open="false" ma:isKeyword="false">
      <xsd:complexType>
        <xsd:sequence>
          <xsd:element ref="pc:Terms" minOccurs="0" maxOccurs="1"/>
        </xsd:sequence>
      </xsd:complexType>
    </xsd:element>
    <xsd:element name="g5e79f37bf1841a0a0c2b7d634ff0fda" ma:index="19" nillable="true" ma:taxonomy="true" ma:internalName="g5e79f37bf1841a0a0c2b7d634ff0fda" ma:taxonomyFieldName="Business_x0020_Unit" ma:displayName="Business Unit" ma:default="" ma:fieldId="{05e79f37-bf18-41a0-a0c2-b7d634ff0fda}" ma:taxonomyMulti="true" ma:sspId="7ac0a7a4-d698-44b8-9281-d884ca73278a" ma:termSetId="8e26c43a-36af-4661-baa5-f7bf8b1d1c83" ma:anchorId="00000000-0000-0000-0000-000000000000" ma:open="false" ma:isKeyword="false">
      <xsd:complexType>
        <xsd:sequence>
          <xsd:element ref="pc:Terms" minOccurs="0" maxOccurs="1"/>
        </xsd:sequence>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b912d4-8e88-4936-9f67-8344c3652ca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6D272A-1D13-4DEF-837D-96731F2D7EA4}">
  <ds:schemaRefs>
    <ds:schemaRef ds:uri="http://schemas.microsoft.com/sharepoint/v3/contenttype/forms"/>
  </ds:schemaRefs>
</ds:datastoreItem>
</file>

<file path=customXml/itemProps2.xml><?xml version="1.0" encoding="utf-8"?>
<ds:datastoreItem xmlns:ds="http://schemas.openxmlformats.org/officeDocument/2006/customXml" ds:itemID="{0A09258F-1893-4582-B472-96523B73791F}">
  <ds:schemaRefs>
    <ds:schemaRef ds:uri="http://schemas.microsoft.com/office/2006/metadata/properties"/>
    <ds:schemaRef ds:uri="http://schemas.microsoft.com/office/infopath/2007/PartnerControls"/>
    <ds:schemaRef ds:uri="04f97eb2-6e56-4bba-b31e-e07ee6f0c02e"/>
  </ds:schemaRefs>
</ds:datastoreItem>
</file>

<file path=customXml/itemProps3.xml><?xml version="1.0" encoding="utf-8"?>
<ds:datastoreItem xmlns:ds="http://schemas.openxmlformats.org/officeDocument/2006/customXml" ds:itemID="{EB5D4B15-2986-4BDF-94CF-43977C78E1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253</vt:i4>
      </vt:variant>
    </vt:vector>
  </HeadingPairs>
  <TitlesOfParts>
    <vt:vector size="277" baseType="lpstr">
      <vt:lpstr>Import</vt:lpstr>
      <vt:lpstr>Input</vt:lpstr>
      <vt:lpstr>Loan Amort Table</vt:lpstr>
      <vt:lpstr>Debt Input</vt:lpstr>
      <vt:lpstr>Rent Roll Input</vt:lpstr>
      <vt:lpstr>Rent Roll Summary Calculations</vt:lpstr>
      <vt:lpstr>Calculations</vt:lpstr>
      <vt:lpstr>Annualized Rents</vt:lpstr>
      <vt:lpstr>Rent Roll Calculations</vt:lpstr>
      <vt:lpstr>Rent Roll Detail Calculations</vt:lpstr>
      <vt:lpstr>Equity Returns Input</vt:lpstr>
      <vt:lpstr>Data Validation</vt:lpstr>
      <vt:lpstr>Rent Roll Detail</vt:lpstr>
      <vt:lpstr>Rent Roll Summary</vt:lpstr>
      <vt:lpstr>Operating Statement</vt:lpstr>
      <vt:lpstr>Notes</vt:lpstr>
      <vt:lpstr>Pricing Detail</vt:lpstr>
      <vt:lpstr>Growth Rates</vt:lpstr>
      <vt:lpstr>Cash Flow</vt:lpstr>
      <vt:lpstr>Proposal Price IRR</vt:lpstr>
      <vt:lpstr>Equity Returns Options</vt:lpstr>
      <vt:lpstr>Equity Returns Chart</vt:lpstr>
      <vt:lpstr>Comps Charts</vt:lpstr>
      <vt:lpstr>data</vt:lpstr>
      <vt:lpstr>Acq_Financing_Type_Switch</vt:lpstr>
      <vt:lpstr>acquisition_cost</vt:lpstr>
      <vt:lpstr>adr</vt:lpstr>
      <vt:lpstr>adr_pro_forma</vt:lpstr>
      <vt:lpstr>Annualized_Rents_OS_Type</vt:lpstr>
      <vt:lpstr>Annualized_Total_Rents</vt:lpstr>
      <vt:lpstr>buildable_sq_ft</vt:lpstr>
      <vt:lpstr>buildable_units</vt:lpstr>
      <vt:lpstr>cap_over_lease</vt:lpstr>
      <vt:lpstr>cap_rate</vt:lpstr>
      <vt:lpstr>cap_rate_pro_forma</vt:lpstr>
      <vt:lpstr>CapEx_1</vt:lpstr>
      <vt:lpstr>CapEx_10</vt:lpstr>
      <vt:lpstr>CapEx_2</vt:lpstr>
      <vt:lpstr>CapEx_3</vt:lpstr>
      <vt:lpstr>CapEx_4</vt:lpstr>
      <vt:lpstr>CapEx_5</vt:lpstr>
      <vt:lpstr>CapEx_6</vt:lpstr>
      <vt:lpstr>CapEx_7</vt:lpstr>
      <vt:lpstr>CapEx_8</vt:lpstr>
      <vt:lpstr>CapEx_9</vt:lpstr>
      <vt:lpstr>cash_on_cash</vt:lpstr>
      <vt:lpstr>cash_on_cash_pro_forma</vt:lpstr>
      <vt:lpstr>Cost_of_Sale</vt:lpstr>
      <vt:lpstr>Current_GAR</vt:lpstr>
      <vt:lpstr>Current_Loan_Balance</vt:lpstr>
      <vt:lpstr>Current_Loan_Origination_Fee</vt:lpstr>
      <vt:lpstr>Current_PMT</vt:lpstr>
      <vt:lpstr>Date_of_Analysis</vt:lpstr>
      <vt:lpstr>debt_service</vt:lpstr>
      <vt:lpstr>debt_service_pro_forma</vt:lpstr>
      <vt:lpstr>density</vt:lpstr>
      <vt:lpstr>development_type</vt:lpstr>
      <vt:lpstr>down_payment</vt:lpstr>
      <vt:lpstr>Equity_Returns_Input</vt:lpstr>
      <vt:lpstr>Equity_Returns_Input_Headers</vt:lpstr>
      <vt:lpstr>Equity_Returns_List</vt:lpstr>
      <vt:lpstr>ER_Exchange</vt:lpstr>
      <vt:lpstr>ER_Hold</vt:lpstr>
      <vt:lpstr>ER_Refinance</vt:lpstr>
      <vt:lpstr>ER_Sell</vt:lpstr>
      <vt:lpstr>ERO_H</vt:lpstr>
      <vt:lpstr>ERO_R</vt:lpstr>
      <vt:lpstr>ERO_S</vt:lpstr>
      <vt:lpstr>ERO_SaleStart</vt:lpstr>
      <vt:lpstr>ERO_SE</vt:lpstr>
      <vt:lpstr>Existing_Debt_Switch</vt:lpstr>
      <vt:lpstr>Exit_CAP</vt:lpstr>
      <vt:lpstr>exp_reimbursement</vt:lpstr>
      <vt:lpstr>exp_reimbursement_pro_forma</vt:lpstr>
      <vt:lpstr>floor_area_ratio</vt:lpstr>
      <vt:lpstr>Format_Rows</vt:lpstr>
      <vt:lpstr>franchise_fee</vt:lpstr>
      <vt:lpstr>gross_scheduled_income</vt:lpstr>
      <vt:lpstr>gross_scheduled_income_pro_forma</vt:lpstr>
      <vt:lpstr>guarantor</vt:lpstr>
      <vt:lpstr>home_inventory_cost</vt:lpstr>
      <vt:lpstr>home_rent</vt:lpstr>
      <vt:lpstr>home_rent_pro_forma</vt:lpstr>
      <vt:lpstr>Input_Shading</vt:lpstr>
      <vt:lpstr>Label_Total</vt:lpstr>
      <vt:lpstr>lease_end</vt:lpstr>
      <vt:lpstr>lease_term</vt:lpstr>
      <vt:lpstr>lease_type</vt:lpstr>
      <vt:lpstr>leasing_commissions</vt:lpstr>
      <vt:lpstr>leasing_commissions_pro_forma</vt:lpstr>
      <vt:lpstr>loan_type</vt:lpstr>
      <vt:lpstr>Mezz_Amort</vt:lpstr>
      <vt:lpstr>Mezz_Amort_P_Adj</vt:lpstr>
      <vt:lpstr>Mezz_Amort_Periods</vt:lpstr>
      <vt:lpstr>Mezz_Begin_PMT</vt:lpstr>
      <vt:lpstr>Mezz_Compounding_Switch</vt:lpstr>
      <vt:lpstr>Mezz_CUMPRINC</vt:lpstr>
      <vt:lpstr>Mezz_FV</vt:lpstr>
      <vt:lpstr>Mezz_FV_Refi</vt:lpstr>
      <vt:lpstr>Mezz_I_Adj</vt:lpstr>
      <vt:lpstr>Mezz_Int_Only_Period</vt:lpstr>
      <vt:lpstr>Mezz_Interest_Only</vt:lpstr>
      <vt:lpstr>Mezz_interest_Only_PMT</vt:lpstr>
      <vt:lpstr>Mezz_Interest_Rate</vt:lpstr>
      <vt:lpstr>Mezz_IPMT</vt:lpstr>
      <vt:lpstr>Mezz_Loan_Balance</vt:lpstr>
      <vt:lpstr>Mezz_Loan_Constant</vt:lpstr>
      <vt:lpstr>Mezz_Loan_Due_Date</vt:lpstr>
      <vt:lpstr>Mezz_Loan_Name</vt:lpstr>
      <vt:lpstr>Mezz_Loan_Payment</vt:lpstr>
      <vt:lpstr>Mezz_LTV</vt:lpstr>
      <vt:lpstr>Mezz_Orig_Loan_Amount</vt:lpstr>
      <vt:lpstr>Mezz_Origination_Date</vt:lpstr>
      <vt:lpstr>Mezz_PMT</vt:lpstr>
      <vt:lpstr>Mezz_PPMT</vt:lpstr>
      <vt:lpstr>Mezz_Prepayment_Penalty</vt:lpstr>
      <vt:lpstr>Mezz_Rate_Compounding_Switch</vt:lpstr>
      <vt:lpstr>Mezz_Rate_Period_Switch</vt:lpstr>
      <vt:lpstr>Mezz_Refi_Term</vt:lpstr>
      <vt:lpstr>Mezz_Switch</vt:lpstr>
      <vt:lpstr>Mezz_Table</vt:lpstr>
      <vt:lpstr>Mezz_Term</vt:lpstr>
      <vt:lpstr>Mezz_Time_Remaining</vt:lpstr>
      <vt:lpstr>net_operating_income</vt:lpstr>
      <vt:lpstr>net_operating_income_pro_forma</vt:lpstr>
      <vt:lpstr>NEW_Amort</vt:lpstr>
      <vt:lpstr>NEW_Amort_P_Adj</vt:lpstr>
      <vt:lpstr>NEW_Amort_Periods</vt:lpstr>
      <vt:lpstr>NEW_Begin_PMT</vt:lpstr>
      <vt:lpstr>NEW_Compounding_Switch</vt:lpstr>
      <vt:lpstr>NEW_CUMPRINC</vt:lpstr>
      <vt:lpstr>NEW_FV</vt:lpstr>
      <vt:lpstr>NEW_I_Adj</vt:lpstr>
      <vt:lpstr>NEW_Int_Only_Period</vt:lpstr>
      <vt:lpstr>NEW_Interest_Only</vt:lpstr>
      <vt:lpstr>New_Interest_Only_PMT</vt:lpstr>
      <vt:lpstr>NEW_Interest_Rate</vt:lpstr>
      <vt:lpstr>NEW_IPMT</vt:lpstr>
      <vt:lpstr>NEW_Loan_Balance</vt:lpstr>
      <vt:lpstr>NEW_Loan_Constant</vt:lpstr>
      <vt:lpstr>NEW_Loan_Due_Date</vt:lpstr>
      <vt:lpstr>NEW_Loan_Name</vt:lpstr>
      <vt:lpstr>NEW_Loan_Payment</vt:lpstr>
      <vt:lpstr>NEW_LTV</vt:lpstr>
      <vt:lpstr>NEW_Orig_Loan_Amount</vt:lpstr>
      <vt:lpstr>NEW_Origination_Date</vt:lpstr>
      <vt:lpstr>NEW_Origination_Fee</vt:lpstr>
      <vt:lpstr>NEW_PMT</vt:lpstr>
      <vt:lpstr>NEW_PPMT</vt:lpstr>
      <vt:lpstr>NEW_Prepayment_Penalty</vt:lpstr>
      <vt:lpstr>NEW_Rate_Compounding_Switch</vt:lpstr>
      <vt:lpstr>NEW_Rate_Period_Switch</vt:lpstr>
      <vt:lpstr>NEW_Table</vt:lpstr>
      <vt:lpstr>NEW_Term</vt:lpstr>
      <vt:lpstr>NEW_Time_Remaining</vt:lpstr>
      <vt:lpstr>number_of_lots</vt:lpstr>
      <vt:lpstr>operating_expenses</vt:lpstr>
      <vt:lpstr>operating_expenses_pro_forma</vt:lpstr>
      <vt:lpstr>OS_YrsHist</vt:lpstr>
      <vt:lpstr>other_income</vt:lpstr>
      <vt:lpstr>other_income_pro_forma</vt:lpstr>
      <vt:lpstr>pip</vt:lpstr>
      <vt:lpstr>PPIRR_DispIncr</vt:lpstr>
      <vt:lpstr>PPIRR_Displncr</vt:lpstr>
      <vt:lpstr>PPIRR_Increments</vt:lpstr>
      <vt:lpstr>Price_Increments</vt:lpstr>
      <vt:lpstr>Priced</vt:lpstr>
      <vt:lpstr>principal_reduction_pro_forma</vt:lpstr>
      <vt:lpstr>principal_reduction_yr_1</vt:lpstr>
      <vt:lpstr>'Cash Flow'!Print_Area</vt:lpstr>
      <vt:lpstr>'Comps Charts'!Print_Area</vt:lpstr>
      <vt:lpstr>'Equity Returns Options'!Print_Area</vt:lpstr>
      <vt:lpstr>'Growth Rates'!Print_Area</vt:lpstr>
      <vt:lpstr>Notes!Print_Area</vt:lpstr>
      <vt:lpstr>'Operating Statement'!Print_Area</vt:lpstr>
      <vt:lpstr>'Pricing Detail'!Print_Area</vt:lpstr>
      <vt:lpstr>'Rent Roll Detail'!Print_Area</vt:lpstr>
      <vt:lpstr>'Rent Roll Summary'!Print_Area</vt:lpstr>
      <vt:lpstr>Property_Address</vt:lpstr>
      <vt:lpstr>Property_City</vt:lpstr>
      <vt:lpstr>Property_Name</vt:lpstr>
      <vt:lpstr>Property_State</vt:lpstr>
      <vt:lpstr>Refi_Amort</vt:lpstr>
      <vt:lpstr>Refi_Amort_P_Adj</vt:lpstr>
      <vt:lpstr>Refi_Amort_Periods</vt:lpstr>
      <vt:lpstr>Refi_Begin_PMT</vt:lpstr>
      <vt:lpstr>Refi_Compounding_Switch</vt:lpstr>
      <vt:lpstr>Refi_CUMIPMT</vt:lpstr>
      <vt:lpstr>Refi_CUMPRINC</vt:lpstr>
      <vt:lpstr>Refi_FV</vt:lpstr>
      <vt:lpstr>Refi_I_Adj</vt:lpstr>
      <vt:lpstr>Refi_Int_Only_Period</vt:lpstr>
      <vt:lpstr>Refi_Interest_Only</vt:lpstr>
      <vt:lpstr>Refi_Interest_Only_PMT</vt:lpstr>
      <vt:lpstr>Refi_Interest_Rate</vt:lpstr>
      <vt:lpstr>Refi_IPMT</vt:lpstr>
      <vt:lpstr>Refi_Loan_Balance</vt:lpstr>
      <vt:lpstr>Refi_Loan_Constant</vt:lpstr>
      <vt:lpstr>Refi_Loan_Due_Date</vt:lpstr>
      <vt:lpstr>Refi_Loan_Name</vt:lpstr>
      <vt:lpstr>Refi_Loan_Payment</vt:lpstr>
      <vt:lpstr>Refi_Orig_Loan_Amount</vt:lpstr>
      <vt:lpstr>Refi_Origination_Date</vt:lpstr>
      <vt:lpstr>Refi_Origination_Feee</vt:lpstr>
      <vt:lpstr>Refi_PMT</vt:lpstr>
      <vt:lpstr>Refi_PPMT</vt:lpstr>
      <vt:lpstr>Refi_Rate_Compounding_Switch</vt:lpstr>
      <vt:lpstr>Refi_Rate_Period_Switch</vt:lpstr>
      <vt:lpstr>Refi_Refi_Term</vt:lpstr>
      <vt:lpstr>Refi_Switch</vt:lpstr>
      <vt:lpstr>Refi_Table</vt:lpstr>
      <vt:lpstr>Refi_Term</vt:lpstr>
      <vt:lpstr>Refi_Time_Remaining</vt:lpstr>
      <vt:lpstr>RentMult</vt:lpstr>
      <vt:lpstr>RentRoll_StartDate</vt:lpstr>
      <vt:lpstr>revpar</vt:lpstr>
      <vt:lpstr>revpar_pro_forma</vt:lpstr>
      <vt:lpstr>rrm</vt:lpstr>
      <vt:lpstr>rrm_pro_forma</vt:lpstr>
      <vt:lpstr>sale_leaseback</vt:lpstr>
      <vt:lpstr>sale_price</vt:lpstr>
      <vt:lpstr>SED_Amort</vt:lpstr>
      <vt:lpstr>SED_Amort_P_Adj</vt:lpstr>
      <vt:lpstr>SED_Amort_Periods</vt:lpstr>
      <vt:lpstr>SED_Begin_PMT</vt:lpstr>
      <vt:lpstr>SED_Compounding_Switch</vt:lpstr>
      <vt:lpstr>SED_CUMPRINC</vt:lpstr>
      <vt:lpstr>SED_FV</vt:lpstr>
      <vt:lpstr>SED_FV_Refi</vt:lpstr>
      <vt:lpstr>SED_I_Adj</vt:lpstr>
      <vt:lpstr>SED_Int_Only_Period</vt:lpstr>
      <vt:lpstr>SED_Interest_Only</vt:lpstr>
      <vt:lpstr>SED_Interest_Only_PMT</vt:lpstr>
      <vt:lpstr>SED_Interest_Rate</vt:lpstr>
      <vt:lpstr>SED_IPMT</vt:lpstr>
      <vt:lpstr>SED_Loan_Balance</vt:lpstr>
      <vt:lpstr>SED_Loan_Constant</vt:lpstr>
      <vt:lpstr>SED_Loan_Due_Date</vt:lpstr>
      <vt:lpstr>SED_Loan_Name</vt:lpstr>
      <vt:lpstr>SED_Loan_Payment</vt:lpstr>
      <vt:lpstr>SED_LTV</vt:lpstr>
      <vt:lpstr>SED_Orig_Loan_Amount</vt:lpstr>
      <vt:lpstr>SED_Origination_Date</vt:lpstr>
      <vt:lpstr>SED_Origination_Fee</vt:lpstr>
      <vt:lpstr>SED_PMT</vt:lpstr>
      <vt:lpstr>SED_PPMT</vt:lpstr>
      <vt:lpstr>SED_Prepayment_Penalty</vt:lpstr>
      <vt:lpstr>SED_Rate_Compounding_Switch</vt:lpstr>
      <vt:lpstr>SED_Rate_Period_Switch</vt:lpstr>
      <vt:lpstr>SED_Refi_Term</vt:lpstr>
      <vt:lpstr>SED_Table</vt:lpstr>
      <vt:lpstr>SED_Term</vt:lpstr>
      <vt:lpstr>SED_TIme_Remaining</vt:lpstr>
      <vt:lpstr>SED_to_Refi_Period</vt:lpstr>
      <vt:lpstr>SwitchCapEx</vt:lpstr>
      <vt:lpstr>SwitchIRRCalc</vt:lpstr>
      <vt:lpstr>SwitchLossToLease</vt:lpstr>
      <vt:lpstr>SwitchRentRollType</vt:lpstr>
      <vt:lpstr>tenant</vt:lpstr>
      <vt:lpstr>tenant_improvements</vt:lpstr>
      <vt:lpstr>tenant_improvements_pro_forma</vt:lpstr>
      <vt:lpstr>tenant_type</vt:lpstr>
      <vt:lpstr>total_return</vt:lpstr>
      <vt:lpstr>total_return_pro_forma</vt:lpstr>
      <vt:lpstr>Total_Sq_Ft</vt:lpstr>
      <vt:lpstr>TotalOccupiedUnits</vt:lpstr>
      <vt:lpstr>TotalUnits</vt:lpstr>
      <vt:lpstr>unit_count</vt:lpstr>
      <vt:lpstr>unit_mix</vt:lpstr>
      <vt:lpstr>Units</vt:lpstr>
      <vt:lpstr>vacancy_cost</vt:lpstr>
      <vt:lpstr>vacancy_cost_pro_forma</vt:lpstr>
      <vt:lpstr>vacancy_percent</vt:lpstr>
      <vt:lpstr>vacancy_percent_pro_forma</vt:lpstr>
      <vt:lpstr>Variable_Rent_Roll_Detail</vt:lpstr>
      <vt:lpstr>Year_Built</vt:lpstr>
      <vt:lpstr>Year1_RentGrowth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VBA Free Multifamily Model for MNet Launch</dc:title>
  <dc:subject/>
  <dc:creator>Smith, Sean P.</dc:creator>
  <cp:keywords/>
  <dc:description>This model is the VBA free version of the Multifamily Financial Model. It can be used on both Macs and PCs and works in online versions of Excel.</dc:description>
  <cp:lastModifiedBy>Esser, Michele</cp:lastModifiedBy>
  <cp:revision/>
  <dcterms:created xsi:type="dcterms:W3CDTF">2021-07-15T19:06:15Z</dcterms:created>
  <dcterms:modified xsi:type="dcterms:W3CDTF">2024-06-07T22:40:23Z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0x0101008172F55FBD02A948A3CD7BAA43A863AC00D1B4CF5C2331DC46ADFD00B45C812964</vt:lpwstr>
  </property>
  <property fmtid="{D5CDD505-2E9C-101B-9397-08002B2CF9AE}" pid="3" name="Business Unit">
    <vt:lpwstr>7;#REIS|e4d5d859-f200-4831-a32a-e3d4639f48d4</vt:lpwstr>
  </property>
  <property fmtid="{D5CDD505-2E9C-101B-9397-08002B2CF9AE}" pid="4" name="Document Type">
    <vt:lpwstr>278;#Financial Model|554796cd-2c91-48d6-9735-2375e8e430a9</vt:lpwstr>
  </property>
  <property fmtid="{D5CDD505-2E9C-101B-9397-08002B2CF9AE}" pid="5" name="Application">
    <vt:lpwstr>276;#MNet Launch|ee0e51d8-7786-4b1b-b616-4011b85a20e7</vt:lpwstr>
  </property>
  <property fmtid="{D5CDD505-2E9C-101B-9397-08002B2CF9AE}" pid="6" name="Department1">
    <vt:lpwstr>31;#Information Services|276f9b47-ffdc-4130-9a70-586484660ba0;#9;#Operations|3d1b5732-3c9c-49bf-8b0f-b275099f00dc;#102;#Learning Center|5a5e217e-30c2-4653-8bd1-e1c853fb8eb4</vt:lpwstr>
  </property>
  <property fmtid="{D5CDD505-2E9C-101B-9397-08002B2CF9AE}" pid="7" name="Product Type">
    <vt:lpwstr>2;#Apartments|942f89fd-6299-4d05-8562-0c122fdc0c90</vt:lpwstr>
  </property>
  <property fmtid="{D5CDD505-2E9C-101B-9397-08002B2CF9AE}" pid="8" name="Document number">
    <vt:lpwstr>1.0.4</vt:lpwstr>
  </property>
</Properties>
</file>